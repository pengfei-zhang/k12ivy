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drawings/drawing1.xml" ContentType="application/vnd.openxmlformats-officedocument.drawing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/>
  <bookViews>
    <workbookView windowWidth="21600" windowHeight="10040"/>
  </bookViews>
  <sheets>
    <sheet name="文件管理系统" sheetId="1" r:id="rId1"/>
  </sheets>
  <externalReferences>
    <externalReference r:id="rId2"/>
  </externalReferences>
  <definedNames>
    <definedName name="ncolumn">19</definedName>
    <definedName name="nRow">46</definedName>
    <definedName name="xxx_MN">MID(GET.WORKBOOK(1),FIND("]",GET.WORKBOOK(1))+1,100)&amp;T(NOW())</definedName>
  </definedNames>
  <calcPr calcId="144525"/>
</workbook>
</file>

<file path=xl/sharedStrings.xml><?xml version="1.0" encoding="utf-8"?>
<sst xmlns="http://schemas.openxmlformats.org/spreadsheetml/2006/main" count="266" uniqueCount="25">
  <si>
    <t>一级分类</t>
  </si>
  <si>
    <t>二级分类</t>
  </si>
  <si>
    <t>三级分类</t>
  </si>
  <si>
    <t>作者</t>
  </si>
  <si>
    <t>主题</t>
  </si>
  <si>
    <t>注释</t>
  </si>
  <si>
    <t>文件夹</t>
  </si>
  <si>
    <t>文件清单&amp;link</t>
  </si>
  <si>
    <t>文件类型</t>
  </si>
  <si>
    <t>Size(M)</t>
  </si>
  <si>
    <t>Path&amp;link</t>
  </si>
  <si>
    <t>创建时间</t>
  </si>
  <si>
    <t>修改时间</t>
  </si>
  <si>
    <t>★★★☆</t>
  </si>
  <si>
    <t>E:\附赠：Excel模板</t>
  </si>
  <si>
    <t xml:space="preserve"> </t>
  </si>
  <si>
    <t>E:\附赠：Excel模板\Excel office官方模板</t>
  </si>
  <si>
    <t>E:\附赠：Excel模板\Excel office官方模板\业务</t>
  </si>
  <si>
    <t>E:\附赠：Excel模板\Excel office官方模板\健康与健身</t>
  </si>
  <si>
    <t>E:\附赠：Excel模板\Excel office官方模板\客户管理 服务</t>
  </si>
  <si>
    <t>E:\附赠：Excel模板\Excel office官方模板\教育</t>
  </si>
  <si>
    <t>E:\附赠：Excel模板\Excel office官方模板\日历</t>
  </si>
  <si>
    <t>手动区</t>
  </si>
  <si>
    <t/>
  </si>
  <si>
    <t>E:\附赠：Excel模板\Excel office官方模板\行程 规划 事项列表 清单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</si>
</sst>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9">
    <font>
      <sz val="11"/>
      <color theme="1"/>
      <name val="宋体"/>
      <charset val="134"/>
      <scheme val="minor"/>
    </font>
    <font>
      <b/>
      <sz val="16"/>
      <color theme="1"/>
      <name val="宋体"/>
      <charset val="134"/>
      <scheme val="minor"/>
    </font>
    <font>
      <b/>
      <sz val="14"/>
      <color theme="1"/>
      <name val="宋体"/>
      <charset val="134"/>
      <scheme val="minor"/>
    </font>
    <font>
      <b/>
      <sz val="12"/>
      <color theme="1"/>
      <name val="宋体"/>
      <charset val="134"/>
      <scheme val="minor"/>
    </font>
    <font>
      <b/>
      <sz val="11"/>
      <color theme="4"/>
      <name val="宋体"/>
      <charset val="134"/>
      <scheme val="minor"/>
    </font>
    <font>
      <b/>
      <sz val="11"/>
      <color theme="1"/>
      <name val="宋体"/>
      <charset val="134"/>
      <scheme val="minor"/>
    </font>
    <font>
      <u/>
      <sz val="11"/>
      <color rgb="FF0000FF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sz val="8"/>
      <color theme="1"/>
      <name val="宋体"/>
      <charset val="134"/>
      <scheme val="minor"/>
    </font>
    <font>
      <b/>
      <sz val="11"/>
      <color theme="0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sz val="11"/>
      <color theme="1"/>
      <name val="宋体"/>
      <charset val="134"/>
      <scheme val="minor"/>
    </font>
    <font>
      <b/>
      <sz val="11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1"/>
      <color theme="1"/>
      <name val="宋体"/>
      <charset val="0"/>
      <scheme val="minor"/>
    </font>
    <font>
      <i/>
      <sz val="11"/>
      <color rgb="FF7F7F7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rgb="FFFA7D00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006100"/>
      <name val="宋体"/>
      <charset val="0"/>
      <scheme val="minor"/>
    </font>
  </fonts>
  <fills count="3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9">
    <xf numFmtId="0" fontId="0" fillId="0" borderId="0">
      <alignment vertical="center"/>
    </xf>
    <xf numFmtId="42" fontId="11" fillId="0" borderId="0" applyFont="0" applyFill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4" fillId="6" borderId="4" applyNumberFormat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20" fillId="10" borderId="0" applyNumberFormat="0" applyBorder="0" applyAlignment="0" applyProtection="0">
      <alignment vertical="center"/>
    </xf>
    <xf numFmtId="43" fontId="11" fillId="0" borderId="0" applyFont="0" applyFill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1" fillId="18" borderId="9" applyNumberFormat="0" applyFont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25" fillId="0" borderId="6" applyNumberFormat="0" applyFill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0" fillId="5" borderId="2" applyNumberFormat="0" applyAlignment="0" applyProtection="0">
      <alignment vertical="center"/>
    </xf>
    <xf numFmtId="0" fontId="26" fillId="5" borderId="4" applyNumberFormat="0" applyAlignment="0" applyProtection="0">
      <alignment vertical="center"/>
    </xf>
    <xf numFmtId="0" fontId="15" fillId="7" borderId="5" applyNumberFormat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24" fillId="0" borderId="8" applyNumberFormat="0" applyFill="0" applyAlignment="0" applyProtection="0">
      <alignment vertical="center"/>
    </xf>
    <xf numFmtId="0" fontId="22" fillId="0" borderId="7" applyNumberFormat="0" applyFill="0" applyAlignment="0" applyProtection="0">
      <alignment vertical="center"/>
    </xf>
    <xf numFmtId="0" fontId="28" fillId="24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18" fillId="8" borderId="0" applyNumberFormat="0" applyBorder="0" applyAlignment="0" applyProtection="0">
      <alignment vertical="center"/>
    </xf>
    <xf numFmtId="0" fontId="18" fillId="30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18" fillId="34" borderId="0" applyNumberFormat="0" applyBorder="0" applyAlignment="0" applyProtection="0">
      <alignment vertical="center"/>
    </xf>
    <xf numFmtId="0" fontId="19" fillId="35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</cellStyleXfs>
  <cellXfs count="16">
    <xf numFmtId="0" fontId="0" fillId="0" borderId="0" xfId="0">
      <alignment vertical="center"/>
    </xf>
    <xf numFmtId="0" fontId="1" fillId="2" borderId="1" xfId="0" applyFont="1" applyFill="1" applyBorder="1" applyProtection="1">
      <alignment vertical="center"/>
      <protection locked="0"/>
    </xf>
    <xf numFmtId="0" fontId="2" fillId="2" borderId="1" xfId="0" applyFont="1" applyFill="1" applyBorder="1" applyProtection="1">
      <alignment vertical="center"/>
      <protection locked="0"/>
    </xf>
    <xf numFmtId="0" fontId="3" fillId="2" borderId="1" xfId="0" applyFont="1" applyFill="1" applyBorder="1" applyProtection="1">
      <alignment vertical="center"/>
      <protection locked="0"/>
    </xf>
    <xf numFmtId="0" fontId="4" fillId="0" borderId="1" xfId="0" applyFont="1" applyBorder="1" applyProtection="1">
      <alignment vertical="center"/>
      <protection locked="0"/>
    </xf>
    <xf numFmtId="0" fontId="5" fillId="0" borderId="0" xfId="0" applyFont="1">
      <alignment vertical="center"/>
    </xf>
    <xf numFmtId="0" fontId="5" fillId="0" borderId="0" xfId="0" applyFont="1" applyAlignment="1">
      <alignment vertical="center" wrapText="1"/>
    </xf>
    <xf numFmtId="0" fontId="6" fillId="0" borderId="0" xfId="10">
      <alignment vertical="center"/>
    </xf>
    <xf numFmtId="22" fontId="7" fillId="0" borderId="0" xfId="10" applyNumberFormat="1" applyFont="1">
      <alignment vertical="center"/>
    </xf>
    <xf numFmtId="22" fontId="0" fillId="0" borderId="0" xfId="0" applyNumberFormat="1">
      <alignment vertical="center"/>
    </xf>
    <xf numFmtId="22" fontId="6" fillId="0" borderId="0" xfId="10" applyNumberFormat="1">
      <alignment vertical="center"/>
    </xf>
    <xf numFmtId="22" fontId="8" fillId="0" borderId="0" xfId="0" applyNumberFormat="1" applyFont="1">
      <alignment vertical="center"/>
    </xf>
    <xf numFmtId="0" fontId="0" fillId="0" borderId="0" xfId="0" applyFont="1">
      <alignment vertical="center"/>
    </xf>
    <xf numFmtId="0" fontId="0" fillId="3" borderId="0" xfId="0" applyFill="1">
      <alignment vertical="center"/>
    </xf>
    <xf numFmtId="0" fontId="7" fillId="0" borderId="1" xfId="10" applyFont="1" applyBorder="1">
      <alignment vertical="center"/>
    </xf>
    <xf numFmtId="0" fontId="9" fillId="4" borderId="0" xfId="0" applyFont="1" applyFill="1">
      <alignment vertical="center"/>
    </xf>
    <xf numFmtId="0" fontId="0" fillId="0" borderId="0" xfId="0" quotePrefix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&#30446;&#24405;!A1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260350</xdr:colOff>
          <xdr:row>0</xdr:row>
          <xdr:rowOff>0</xdr:rowOff>
        </xdr:from>
        <xdr:to>
          <xdr:col>27</xdr:col>
          <xdr:colOff>2762250</xdr:colOff>
          <xdr:row>0</xdr:row>
          <xdr:rowOff>279400</xdr:rowOff>
        </xdr:to>
        <xdr:sp macro="[1]!Apf总汇_实例190209.Allen个人文档管理系统_alzeng_28F">
          <xdr:nvSpPr>
            <xdr:cNvPr id="1025" name="TestBt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3639800" y="0"/>
              <a:ext cx="2501900" cy="279400"/>
            </a:xfrm>
            <a:prstGeom prst="rect">
              <a:avLst/>
            </a:prstGeom>
          </xdr:spPr>
          <xdr:txBody>
            <a:bodyPr vertOverflow="clip" wrap="non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Allen个人文档管理系统_alzeng_28F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13</xdr:col>
      <xdr:colOff>2159000</xdr:colOff>
      <xdr:row>0</xdr:row>
      <xdr:rowOff>635</xdr:rowOff>
    </xdr:from>
    <xdr:ext cx="607785" cy="183384"/>
    <xdr:sp>
      <xdr:nvSpPr>
        <xdr:cNvPr id="3" name="矩形 1">
          <a:hlinkClick xmlns:r="http://schemas.openxmlformats.org/officeDocument/2006/relationships" r:id="rId1"/>
        </xdr:cNvPr>
        <xdr:cNvSpPr/>
      </xdr:nvSpPr>
      <xdr:spPr>
        <a:xfrm>
          <a:off x="4324350" y="635"/>
          <a:ext cx="607695" cy="182880"/>
        </a:xfrm>
        <a:prstGeom prst="rect">
          <a:avLst/>
        </a:prstGeom>
        <a:solidFill>
          <a:schemeClr val="accent1">
            <a:alpha val="28000"/>
          </a:schemeClr>
        </a:solidFill>
        <a:ln w="31750" cmpd="sng">
          <a:solidFill>
            <a:srgbClr val="00B0F0"/>
          </a:solidFill>
        </a:ln>
        <a:scene3d>
          <a:camera prst="orthographicFront"/>
          <a:lightRig rig="threePt" dir="t"/>
        </a:scene3d>
        <a:sp3d>
          <a:bevelT prst="relaxedInset"/>
          <a:bevelB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>
          <a:spAutoFit/>
        </a:bodyPr>
        <a:lstStyle/>
        <a:p>
          <a:pPr algn="ctr"/>
          <a:r>
            <a:rPr lang="zh-CN" altLang="en-US" sz="1100" b="1">
              <a:solidFill>
                <a:srgbClr val="FF0000">
                  <a:alpha val="28000"/>
                </a:srgbClr>
              </a:solidFill>
            </a:rPr>
            <a:t>回目录</a:t>
          </a:r>
          <a:endParaRPr lang="zh-CN" altLang="en-US" sz="1100" b="1">
            <a:solidFill>
              <a:srgbClr val="FF0000">
                <a:alpha val="28000"/>
              </a:srgbClr>
            </a:solidFill>
          </a:endParaRP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Users\pengfei\Desktop\&#26032;&#24314;-&#28165;&#31354;-&#25991;&#20214;&#22841;\PFZ-2019-zb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目录"/>
      <sheetName val="vbcode"/>
      <sheetName val="vc2"/>
      <sheetName val="code"/>
      <sheetName val="perf"/>
      <sheetName val="文件管理系统"/>
      <sheetName val="_wj"/>
      <sheetName val="精进"/>
      <sheetName val="BC"/>
      <sheetName val="st"/>
      <sheetName val="mp_cj"/>
      <sheetName val="st1mk"/>
      <sheetName val="rar_bk"/>
      <sheetName val="学习"/>
      <sheetName val="版本"/>
      <sheetName val="st8-"/>
      <sheetName val="注释"/>
      <sheetName val="草稿"/>
    </sheetNames>
    <definedNames>
      <definedName name="Apf总汇_实例190209.Allen个人文档管理系统_alzeng_28F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00B050"/>
  </sheetPr>
  <dimension ref="A1:AH4240"/>
  <sheetViews>
    <sheetView tabSelected="1" zoomScale="60" zoomScaleNormal="60" workbookViewId="0">
      <pane ySplit="8" topLeftCell="A9" activePane="bottomLeft" state="frozen"/>
      <selection/>
      <selection pane="bottomLeft" activeCell="AB11" sqref="AB11"/>
    </sheetView>
  </sheetViews>
  <sheetFormatPr defaultColWidth="8.72727272727273" defaultRowHeight="14"/>
  <cols>
    <col min="1" max="11" width="2.54545454545455" customWidth="1"/>
    <col min="12" max="12" width="2.45454545454545" customWidth="1"/>
    <col min="13" max="13" width="7.81818181818182" customWidth="1"/>
    <col min="14" max="14" width="23.6363636363636" customWidth="1"/>
    <col min="15" max="15" width="6.63636363636364" customWidth="1"/>
    <col min="16" max="16" width="3.09090909090909" customWidth="1"/>
    <col min="17" max="17" width="7.54545454545455" customWidth="1"/>
    <col min="18" max="18" width="59.7272727272727" customWidth="1"/>
    <col min="19" max="19" width="16.2727272727273" customWidth="1"/>
    <col min="20" max="20" width="18.5454545454545" customWidth="1"/>
    <col min="21" max="27" width="2.54545454545455" customWidth="1"/>
    <col min="28" max="28" width="76.5454545454545" customWidth="1"/>
    <col min="29" max="29" width="1.54545454545455" customWidth="1"/>
    <col min="31" max="34" width="2.54545454545455" customWidth="1"/>
  </cols>
  <sheetData>
    <row r="1" ht="28" spans="1:34">
      <c r="A1">
        <v>0</v>
      </c>
      <c r="B1">
        <v>0</v>
      </c>
      <c r="C1">
        <v>0</v>
      </c>
      <c r="D1" s="1" t="s">
        <v>0</v>
      </c>
      <c r="E1" s="2" t="s">
        <v>1</v>
      </c>
      <c r="F1" s="3" t="s">
        <v>2</v>
      </c>
      <c r="G1" s="4" t="s">
        <v>3</v>
      </c>
      <c r="H1" s="4" t="s">
        <v>4</v>
      </c>
      <c r="I1" s="4" t="s">
        <v>5</v>
      </c>
      <c r="J1">
        <v>0</v>
      </c>
      <c r="K1">
        <v>0</v>
      </c>
      <c r="L1">
        <v>0</v>
      </c>
      <c r="M1" s="5" t="s">
        <v>6</v>
      </c>
      <c r="N1" s="5" t="s">
        <v>7</v>
      </c>
      <c r="O1" s="6" t="s">
        <v>8</v>
      </c>
      <c r="P1" s="5"/>
      <c r="Q1" s="5" t="s">
        <v>9</v>
      </c>
      <c r="R1" s="5" t="s">
        <v>10</v>
      </c>
      <c r="S1" s="5" t="s">
        <v>11</v>
      </c>
      <c r="T1" s="5" t="s">
        <v>12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D1" s="12" t="s">
        <v>13</v>
      </c>
      <c r="AE1">
        <v>0</v>
      </c>
      <c r="AF1">
        <v>0</v>
      </c>
      <c r="AG1">
        <v>0</v>
      </c>
      <c r="AH1">
        <v>0</v>
      </c>
    </row>
    <row r="2" spans="13:30">
      <c r="M2" t="s">
        <v>14</v>
      </c>
      <c r="N2" s="7"/>
      <c r="O2" t="s">
        <v>15</v>
      </c>
      <c r="Q2" t="s">
        <v>15</v>
      </c>
      <c r="R2" s="8" t="s">
        <v>15</v>
      </c>
      <c r="S2" s="9" t="s">
        <v>15</v>
      </c>
      <c r="T2" s="9" t="s">
        <v>15</v>
      </c>
      <c r="AB2" s="13" t="s">
        <v>14</v>
      </c>
      <c r="AD2" s="14" t="str">
        <f>HYPERLINK(""&amp;AB2&amp;"","open-c")</f>
        <v>open-c</v>
      </c>
    </row>
    <row r="3" spans="13:20">
      <c r="M3" t="s">
        <v>16</v>
      </c>
      <c r="N3" s="7"/>
      <c r="O3"/>
      <c r="R3" s="10"/>
      <c r="S3" s="9"/>
      <c r="T3" s="9"/>
    </row>
    <row r="4" spans="13:20">
      <c r="M4" t="s">
        <v>17</v>
      </c>
      <c r="N4" s="7"/>
      <c r="O4"/>
      <c r="R4" s="10"/>
      <c r="S4" s="9"/>
      <c r="T4" s="9"/>
    </row>
    <row r="5" spans="13:20">
      <c r="M5" t="s">
        <v>18</v>
      </c>
      <c r="N5"/>
      <c r="O5"/>
      <c r="R5" s="11"/>
      <c r="S5" s="9"/>
      <c r="T5" s="9"/>
    </row>
    <row r="6" spans="13:20">
      <c r="M6" t="s">
        <v>19</v>
      </c>
      <c r="N6" s="7"/>
      <c r="O6"/>
      <c r="R6" s="7"/>
      <c r="S6" s="9"/>
      <c r="T6" s="9"/>
    </row>
    <row r="7" spans="13:20">
      <c r="M7" t="s">
        <v>20</v>
      </c>
      <c r="N7" s="7"/>
      <c r="O7"/>
      <c r="S7" s="9"/>
      <c r="T7" s="9"/>
    </row>
    <row r="8" spans="13:29">
      <c r="M8" t="s">
        <v>21</v>
      </c>
      <c r="N8" s="7"/>
      <c r="O8"/>
      <c r="S8" s="9"/>
      <c r="T8" s="9"/>
      <c r="AB8" s="15" t="s">
        <v>22</v>
      </c>
      <c r="AC8" s="16" t="s">
        <v>23</v>
      </c>
    </row>
    <row r="9" spans="13:29">
      <c r="M9" t="s">
        <v>24</v>
      </c>
      <c r="N9" s="7"/>
      <c r="O9"/>
      <c r="R9" s="9"/>
      <c r="S9" s="7"/>
      <c r="T9" s="9"/>
      <c r="AC9" s="16" t="s">
        <v>23</v>
      </c>
    </row>
    <row r="11" spans="14:20">
      <c r="N11" s="7" t="str">
        <f>HYPERLINK("E:\附赠：Excel模板\加入QQ群获取更多免费资源.txt","加入QQ群获取更多免费资源.txt")</f>
        <v>加入QQ群获取更多免费资源.txt</v>
      </c>
      <c r="Q11">
        <v>0</v>
      </c>
      <c r="R11" s="7" t="str">
        <f>HYPERLINK("E:\附赠：Excel模板","E:\附赠：Excel模板")</f>
        <v>E:\附赠：Excel模板</v>
      </c>
      <c r="S11" s="9">
        <v>43600.3860648148</v>
      </c>
      <c r="T11" s="9">
        <v>43598.4481481481</v>
      </c>
    </row>
    <row r="12" spans="14:20">
      <c r="N12" s="7" t="str">
        <f>HYPERLINK("E:\附赠：Excel模板\找淘宝天猫优惠卷 买东西必搜.url","找淘宝天猫优惠卷 买东西必搜.url")</f>
        <v>找淘宝天猫优惠卷 买东西必搜.url</v>
      </c>
      <c r="Q12">
        <v>0</v>
      </c>
      <c r="R12" s="7" t="str">
        <f>HYPERLINK("E:\附赠：Excel模板","E:\附赠：Excel模板")</f>
        <v>E:\附赠：Excel模板</v>
      </c>
      <c r="S12" s="9">
        <v>43600.3860648148</v>
      </c>
      <c r="T12" s="9">
        <v>43597.4836805556</v>
      </c>
    </row>
    <row r="13" spans="14:20">
      <c r="N13" t="s">
        <v>15</v>
      </c>
      <c r="Q13" t="s">
        <v>15</v>
      </c>
      <c r="R13" t="s">
        <v>15</v>
      </c>
      <c r="S13" t="s">
        <v>15</v>
      </c>
      <c r="T13" t="s">
        <v>15</v>
      </c>
    </row>
    <row r="14" spans="14:20">
      <c r="N14" t="s">
        <v>15</v>
      </c>
      <c r="Q14" t="s">
        <v>15</v>
      </c>
      <c r="R14" t="s">
        <v>15</v>
      </c>
      <c r="S14" t="s">
        <v>15</v>
      </c>
      <c r="T14" t="s">
        <v>15</v>
      </c>
    </row>
    <row r="15" spans="14:20">
      <c r="N15" s="7" t="str">
        <f>HYPERLINK("E:\附赠：Excel模板\Excel office官方模板\业务\18个时段预算(1).xltx","18个时段预算(1).xltx")</f>
        <v>18个时段预算(1).xltx</v>
      </c>
      <c r="Q15">
        <v>0.04</v>
      </c>
      <c r="R15" s="7" t="str">
        <f t="shared" ref="R15:R78" si="0">HYPERLINK("E:\附赠：Excel模板\Excel office官方模板\业务","E:\附赠：Excel模板\Excel office官方模板\业务")</f>
        <v>E:\附赠：Excel模板\Excel office官方模板\业务</v>
      </c>
      <c r="S15" s="9">
        <v>43600.3821296296</v>
      </c>
      <c r="T15" s="9">
        <v>43390.5185416667</v>
      </c>
    </row>
    <row r="16" spans="14:20">
      <c r="N16" s="7" t="str">
        <f>HYPERLINK("E:\附赠：Excel模板\Excel office官方模板\业务\SharePoint server功能区参考工作簿.xltx","SharePoint server功能区参考工作簿.xltx")</f>
        <v>SharePoint server功能区参考工作簿.xltx</v>
      </c>
      <c r="Q16">
        <v>0.12</v>
      </c>
      <c r="R16" s="7" t="str">
        <f t="shared" si="0"/>
        <v>E:\附赠：Excel模板\Excel office官方模板\业务</v>
      </c>
      <c r="S16" s="9">
        <v>43600.3821296296</v>
      </c>
      <c r="T16" s="9">
        <v>43390.5185185185</v>
      </c>
    </row>
    <row r="17" spans="14:20">
      <c r="N17" s="7" t="str">
        <f>HYPERLINK("E:\附赠：Excel模板\Excel office官方模板\业务\Visio2010：菜单到功能区参考工作簿.xltx","Visio2010：菜单到功能区参考工作簿.xltx")</f>
        <v>Visio2010：菜单到功能区参考工作簿.xltx</v>
      </c>
      <c r="Q17">
        <v>0.24</v>
      </c>
      <c r="R17" s="7" t="str">
        <f t="shared" si="0"/>
        <v>E:\附赠：Excel模板\Excel office官方模板\业务</v>
      </c>
      <c r="S17" s="9">
        <v>43600.3821296296</v>
      </c>
      <c r="T17" s="9">
        <v>43390.5185185185</v>
      </c>
    </row>
    <row r="18" spans="14:20">
      <c r="N18" s="7" t="str">
        <f>HYPERLINK("E:\附赠：Excel模板\Excel office官方模板\业务\infopath2010：菜单到功能区参考工作簿.xltx","infopath2010：菜单到功能区参考工作簿.xltx")</f>
        <v>infopath2010：菜单到功能区参考工作簿.xltx</v>
      </c>
      <c r="Q18">
        <v>0.13</v>
      </c>
      <c r="R18" s="7" t="str">
        <f t="shared" si="0"/>
        <v>E:\附赠：Excel模板\Excel office官方模板\业务</v>
      </c>
      <c r="S18" s="9">
        <v>43600.3821296296</v>
      </c>
      <c r="T18" s="9">
        <v>43390.5185185185</v>
      </c>
    </row>
    <row r="19" spans="14:20">
      <c r="N19" s="7" t="str">
        <f>HYPERLINK("E:\附赠：Excel模板\Excel office官方模板\业务\project2010：菜单到功能区参考工作簿.xltx","project2010：菜单到功能区参考工作簿.xltx")</f>
        <v>project2010：菜单到功能区参考工作簿.xltx</v>
      </c>
      <c r="Q19">
        <v>0.13</v>
      </c>
      <c r="R19" s="7" t="str">
        <f t="shared" si="0"/>
        <v>E:\附赠：Excel模板\Excel office官方模板\业务</v>
      </c>
      <c r="S19" s="9">
        <v>43600.3821296296</v>
      </c>
      <c r="T19" s="9">
        <v>43390.5185185185</v>
      </c>
    </row>
    <row r="20" spans="14:20">
      <c r="N20" s="7" t="str">
        <f>HYPERLINK("E:\附赠：Excel模板\Excel office官方模板\业务\业务零用金报销单.xltx","业务零用金报销单.xltx")</f>
        <v>业务零用金报销单.xltx</v>
      </c>
      <c r="Q20">
        <v>0.72</v>
      </c>
      <c r="R20" s="7" t="str">
        <f t="shared" si="0"/>
        <v>E:\附赠：Excel模板\Excel office官方模板\业务</v>
      </c>
      <c r="S20" s="9">
        <v>43600.3821296296</v>
      </c>
      <c r="T20" s="9">
        <v>43390.5183796296</v>
      </c>
    </row>
    <row r="21" spans="14:20">
      <c r="N21" s="7" t="str">
        <f>HYPERLINK("E:\附赠：Excel模板\Excel office官方模板\业务\产品价格列表.xlt","产品价格列表.xlt")</f>
        <v>产品价格列表.xlt</v>
      </c>
      <c r="Q21">
        <v>0.02</v>
      </c>
      <c r="R21" s="7" t="str">
        <f t="shared" si="0"/>
        <v>E:\附赠：Excel模板\Excel office官方模板\业务</v>
      </c>
      <c r="S21" s="9">
        <v>43600.3821296296</v>
      </c>
      <c r="T21" s="9">
        <v>43390.5184953704</v>
      </c>
    </row>
    <row r="22" spans="14:20">
      <c r="N22" s="7" t="str">
        <f>HYPERLINK("E:\附赠：Excel模板\Excel office官方模板\业务\产品价格单.xltx","产品价格单.xltx")</f>
        <v>产品价格单.xltx</v>
      </c>
      <c r="Q22">
        <v>0.01</v>
      </c>
      <c r="R22" s="7" t="str">
        <f t="shared" si="0"/>
        <v>E:\附赠：Excel模板\Excel office官方模板\业务</v>
      </c>
      <c r="S22" s="9">
        <v>43600.3821296296</v>
      </c>
      <c r="T22" s="9">
        <v>43390.5184953704</v>
      </c>
    </row>
    <row r="23" spans="14:20">
      <c r="N23" s="7" t="str">
        <f>HYPERLINK("E:\附赠：Excel模板\Excel office官方模板\业务\产品保修记录.xlt","产品保修记录.xlt")</f>
        <v>产品保修记录.xlt</v>
      </c>
      <c r="Q23">
        <v>0.02</v>
      </c>
      <c r="R23" s="7" t="str">
        <f t="shared" si="0"/>
        <v>E:\附赠：Excel模板\Excel office官方模板\业务</v>
      </c>
      <c r="S23" s="9">
        <v>43600.3821296296</v>
      </c>
      <c r="T23" s="9">
        <v>43390.5185185185</v>
      </c>
    </row>
    <row r="24" spans="14:20">
      <c r="N24" s="7" t="str">
        <f>HYPERLINK("E:\附赠：Excel模板\Excel office官方模板\业务\付款日记账.xltx","付款日记账.xltx")</f>
        <v>付款日记账.xltx</v>
      </c>
      <c r="Q24">
        <v>0.02</v>
      </c>
      <c r="R24" s="7" t="str">
        <f t="shared" si="0"/>
        <v>E:\附赠：Excel模板\Excel office官方模板\业务</v>
      </c>
      <c r="S24" s="9">
        <v>43600.3821296296</v>
      </c>
      <c r="T24" s="9">
        <v>43390.5184722222</v>
      </c>
    </row>
    <row r="25" spans="14:20">
      <c r="N25" s="7" t="str">
        <f>HYPERLINK("E:\附赠：Excel模板\Excel office官方模板\业务\任意年费消费日历.xltx","任意年费消费日历.xltx")</f>
        <v>任意年费消费日历.xltx</v>
      </c>
      <c r="Q25">
        <v>0.08</v>
      </c>
      <c r="R25" s="7" t="str">
        <f t="shared" si="0"/>
        <v>E:\附赠：Excel模板\Excel office官方模板\业务</v>
      </c>
      <c r="S25" s="9">
        <v>43600.3821296296</v>
      </c>
      <c r="T25" s="9">
        <v>43390.5184259259</v>
      </c>
    </row>
    <row r="26" spans="14:20">
      <c r="N26" s="7" t="str">
        <f>HYPERLINK("E:\附赠：Excel模板\Excel office官方模板\业务\使用swot进行竞争分析.xltx","使用swot进行竞争分析.xltx")</f>
        <v>使用swot进行竞争分析.xltx</v>
      </c>
      <c r="Q26">
        <v>0.02</v>
      </c>
      <c r="R26" s="7" t="str">
        <f t="shared" si="0"/>
        <v>E:\附赠：Excel模板\Excel office官方模板\业务</v>
      </c>
      <c r="S26" s="9">
        <v>43600.3821296296</v>
      </c>
      <c r="T26" s="9">
        <v>43390.5184027778</v>
      </c>
    </row>
    <row r="27" spans="14:20">
      <c r="N27" s="7" t="str">
        <f>HYPERLINK("E:\附赠：Excel模板\Excel office官方模板\业务\供应商比较表.xlt","供应商比较表.xlt")</f>
        <v>供应商比较表.xlt</v>
      </c>
      <c r="Q27">
        <v>0.02</v>
      </c>
      <c r="R27" s="7" t="str">
        <f t="shared" si="0"/>
        <v>E:\附赠：Excel模板\Excel office官方模板\业务</v>
      </c>
      <c r="S27" s="9">
        <v>43600.3821296296</v>
      </c>
      <c r="T27" s="9">
        <v>43390.5184722222</v>
      </c>
    </row>
    <row r="28" spans="14:20">
      <c r="N28" s="7" t="str">
        <f>HYPERLINK("E:\附赠：Excel模板\Excel office官方模板\业务\信用卡记录.xltx","信用卡记录.xltx")</f>
        <v>信用卡记录.xltx</v>
      </c>
      <c r="Q28">
        <v>0.01</v>
      </c>
      <c r="R28" s="7" t="str">
        <f t="shared" si="0"/>
        <v>E:\附赠：Excel模板\Excel office官方模板\业务</v>
      </c>
      <c r="S28" s="9">
        <v>43600.3821296296</v>
      </c>
      <c r="T28" s="9">
        <v>43390.5183564815</v>
      </c>
    </row>
    <row r="29" spans="14:20">
      <c r="N29" s="7" t="str">
        <f>HYPERLINK("E:\附赠：Excel模板\Excel office官方模板\业务\信用卡还款计算表.xltx","信用卡还款计算表.xltx")</f>
        <v>信用卡还款计算表.xltx</v>
      </c>
      <c r="Q29">
        <v>0.02</v>
      </c>
      <c r="R29" s="7" t="str">
        <f t="shared" si="0"/>
        <v>E:\附赠：Excel模板\Excel office官方模板\业务</v>
      </c>
      <c r="S29" s="9">
        <v>43600.3821296296</v>
      </c>
      <c r="T29" s="9">
        <v>43390.5183796296</v>
      </c>
    </row>
    <row r="30" spans="14:20">
      <c r="N30" s="7" t="str">
        <f>HYPERLINK("E:\附赠：Excel模板\Excel office官方模板\业务\制作输出图表.xltx","制作输出图表.xltx")</f>
        <v>制作输出图表.xltx</v>
      </c>
      <c r="Q30">
        <v>0.02</v>
      </c>
      <c r="R30" s="7" t="str">
        <f t="shared" si="0"/>
        <v>E:\附赠：Excel模板\Excel office官方模板\业务</v>
      </c>
      <c r="S30" s="9">
        <v>43600.3821296296</v>
      </c>
      <c r="T30" s="9">
        <v>43390.5183564815</v>
      </c>
    </row>
    <row r="31" spans="14:20">
      <c r="N31" s="7" t="str">
        <f>HYPERLINK("E:\附赠：Excel模板\Excel office官方模板\业务\包含销售税发票.xltx","包含销售税发票.xltx")</f>
        <v>包含销售税发票.xltx</v>
      </c>
      <c r="Q31">
        <v>0.03</v>
      </c>
      <c r="R31" s="7" t="str">
        <f t="shared" si="0"/>
        <v>E:\附赠：Excel模板\Excel office官方模板\业务</v>
      </c>
      <c r="S31" s="9">
        <v>43600.3821296296</v>
      </c>
      <c r="T31" s="9">
        <v>43390.5185185185</v>
      </c>
    </row>
    <row r="32" spans="14:20">
      <c r="N32" s="7" t="str">
        <f>HYPERLINK("E:\附赠：Excel模板\Excel office官方模板\业务\区域销售额图表.xltx","区域销售额图表.xltx")</f>
        <v>区域销售额图表.xltx</v>
      </c>
      <c r="Q32">
        <v>0.02</v>
      </c>
      <c r="R32" s="7" t="str">
        <f t="shared" si="0"/>
        <v>E:\附赠：Excel模板\Excel office官方模板\业务</v>
      </c>
      <c r="S32" s="9">
        <v>43600.3821296296</v>
      </c>
      <c r="T32" s="9">
        <v>43390.5184259259</v>
      </c>
    </row>
    <row r="33" spans="14:20">
      <c r="N33" s="7" t="str">
        <f>HYPERLINK("E:\附赠：Excel模板\Excel office官方模板\业务\发票.xltx","发票.xltx")</f>
        <v>发票.xltx</v>
      </c>
      <c r="Q33">
        <v>0.01</v>
      </c>
      <c r="R33" s="7" t="str">
        <f t="shared" si="0"/>
        <v>E:\附赠：Excel模板\Excel office官方模板\业务</v>
      </c>
      <c r="S33" s="9">
        <v>43600.3821296296</v>
      </c>
      <c r="T33" s="9">
        <v>43390.5184722222</v>
      </c>
    </row>
    <row r="34" spans="14:20">
      <c r="N34" s="7" t="str">
        <f>HYPERLINK("E:\附赠：Excel模板\Excel office官方模板\业务\可调整的会议日程.xltx","可调整的会议日程.xltx")</f>
        <v>可调整的会议日程.xltx</v>
      </c>
      <c r="Q34">
        <v>0.04</v>
      </c>
      <c r="R34" s="7" t="str">
        <f t="shared" si="0"/>
        <v>E:\附赠：Excel模板\Excel office官方模板\业务</v>
      </c>
      <c r="S34" s="9">
        <v>43600.3821296296</v>
      </c>
      <c r="T34" s="9">
        <v>43390.5184490741</v>
      </c>
    </row>
    <row r="35" spans="14:20">
      <c r="N35" s="7" t="str">
        <f>HYPERLINK("E:\附赠：Excel模板\Excel office官方模板\业务\员工出勤跟踪表.xltx","员工出勤跟踪表.xltx")</f>
        <v>员工出勤跟踪表.xltx</v>
      </c>
      <c r="Q35">
        <v>0.04</v>
      </c>
      <c r="R35" s="7" t="str">
        <f t="shared" si="0"/>
        <v>E:\附赠：Excel模板\Excel office官方模板\业务</v>
      </c>
      <c r="S35" s="9">
        <v>43600.3821296296</v>
      </c>
      <c r="T35" s="9">
        <v>43390.5183564815</v>
      </c>
    </row>
    <row r="36" spans="14:20">
      <c r="N36" s="7" t="str">
        <f>HYPERLINK("E:\附赠：Excel模板\Excel office官方模板\业务\员工培训跟踪器.xltx","员工培训跟踪器.xltx")</f>
        <v>员工培训跟踪器.xltx</v>
      </c>
      <c r="Q36">
        <v>0.04</v>
      </c>
      <c r="R36" s="7" t="str">
        <f t="shared" si="0"/>
        <v>E:\附赠：Excel模板\Excel office官方模板\业务</v>
      </c>
      <c r="S36" s="9">
        <v>43600.3821296296</v>
      </c>
      <c r="T36" s="9">
        <v>43390.5184027778</v>
      </c>
    </row>
    <row r="37" spans="14:20">
      <c r="N37" s="7" t="str">
        <f>HYPERLINK("E:\附赠：Excel模板\Excel office官方模板\业务\员工换班日程.xltx","员工换班日程.xltx")</f>
        <v>员工换班日程.xltx</v>
      </c>
      <c r="Q37">
        <v>0.07</v>
      </c>
      <c r="R37" s="7" t="str">
        <f t="shared" si="0"/>
        <v>E:\附赠：Excel模板\Excel office官方模板\业务</v>
      </c>
      <c r="S37" s="9">
        <v>43600.3821296296</v>
      </c>
      <c r="T37" s="9">
        <v>43390.5183796296</v>
      </c>
    </row>
    <row r="38" spans="14:20">
      <c r="N38" s="7" t="str">
        <f>HYPERLINK("E:\附赠：Excel模板\Excel office官方模板\业务\商业发票.xltx","商业发票.xltx")</f>
        <v>商业发票.xltx</v>
      </c>
      <c r="Q38">
        <v>0.04</v>
      </c>
      <c r="R38" s="7" t="str">
        <f t="shared" si="0"/>
        <v>E:\附赠：Excel模板\Excel office官方模板\业务</v>
      </c>
      <c r="S38" s="9">
        <v>43600.3821296296</v>
      </c>
      <c r="T38" s="9">
        <v>43390.5184027778</v>
      </c>
    </row>
    <row r="39" spans="14:20">
      <c r="N39" s="7" t="str">
        <f>HYPERLINK("E:\附赠：Excel模板\Excel office官方模板\业务\商业规划清单.xltx","商业规划清单.xltx")</f>
        <v>商业规划清单.xltx</v>
      </c>
      <c r="Q39">
        <v>0.01</v>
      </c>
      <c r="R39" s="7" t="str">
        <f t="shared" si="0"/>
        <v>E:\附赠：Excel模板\Excel office官方模板\业务</v>
      </c>
      <c r="S39" s="9">
        <v>43600.3821296296</v>
      </c>
      <c r="T39" s="9">
        <v>43390.5184027778</v>
      </c>
    </row>
    <row r="40" spans="14:20">
      <c r="N40" s="7" t="str">
        <f>HYPERLINK("E:\附赠：Excel模板\Excel office官方模板\业务\商务旅行预算.xltx","商务旅行预算.xltx")</f>
        <v>商务旅行预算.xltx</v>
      </c>
      <c r="Q40">
        <v>0.04</v>
      </c>
      <c r="R40" s="7" t="str">
        <f t="shared" si="0"/>
        <v>E:\附赠：Excel模板\Excel office官方模板\业务</v>
      </c>
      <c r="S40" s="9">
        <v>43600.3821296296</v>
      </c>
      <c r="T40" s="9">
        <v>43390.5184027778</v>
      </c>
    </row>
    <row r="41" spans="14:20">
      <c r="N41" s="7" t="str">
        <f>HYPERLINK("E:\附赠：Excel模板\Excel office官方模板\业务\基本的客户联系人列表.xltx","基本的客户联系人列表.xltx")</f>
        <v>基本的客户联系人列表.xltx</v>
      </c>
      <c r="Q41">
        <v>0.01</v>
      </c>
      <c r="R41" s="7" t="str">
        <f t="shared" si="0"/>
        <v>E:\附赠：Excel模板\Excel office官方模板\业务</v>
      </c>
      <c r="S41" s="9">
        <v>43600.3821296296</v>
      </c>
      <c r="T41" s="9">
        <v>43390.5184722222</v>
      </c>
    </row>
    <row r="42" spans="14:20">
      <c r="N42" s="7" t="str">
        <f>HYPERLINK("E:\附赠：Excel模板\Excel office官方模板\业务\基本销售报表.xltx","基本销售报表.xltx")</f>
        <v>基本销售报表.xltx</v>
      </c>
      <c r="Q42">
        <v>0.06</v>
      </c>
      <c r="R42" s="7" t="str">
        <f t="shared" si="0"/>
        <v>E:\附赠：Excel模板\Excel office官方模板\业务</v>
      </c>
      <c r="S42" s="9">
        <v>43600.3821296296</v>
      </c>
      <c r="T42" s="9">
        <v>43390.5184722222</v>
      </c>
    </row>
    <row r="43" spans="14:20">
      <c r="N43" s="7" t="str">
        <f>HYPERLINK("E:\附赠：Excel模板\Excel office官方模板\业务\客户管理表.xlt","客户管理表.xlt")</f>
        <v>客户管理表.xlt</v>
      </c>
      <c r="Q43">
        <v>0.02</v>
      </c>
      <c r="R43" s="7" t="str">
        <f t="shared" si="0"/>
        <v>E:\附赠：Excel模板\Excel office官方模板\业务</v>
      </c>
      <c r="S43" s="9">
        <v>43600.3821296296</v>
      </c>
      <c r="T43" s="9">
        <v>43390.5184490741</v>
      </c>
    </row>
    <row r="44" spans="14:20">
      <c r="N44" s="7" t="str">
        <f>HYPERLINK("E:\附赠：Excel模板\Excel office官方模板\业务\客户联系人列表 (1).xltm","客户联系人列表 (1).xltm")</f>
        <v>客户联系人列表 (1).xltm</v>
      </c>
      <c r="Q44">
        <v>0.08</v>
      </c>
      <c r="R44" s="7" t="str">
        <f t="shared" si="0"/>
        <v>E:\附赠：Excel模板\Excel office官方模板\业务</v>
      </c>
      <c r="S44" s="9">
        <v>43600.3821296296</v>
      </c>
      <c r="T44" s="9">
        <v>43390.5184490741</v>
      </c>
    </row>
    <row r="45" spans="14:20">
      <c r="N45" s="7" t="str">
        <f>HYPERLINK("E:\附赠：Excel模板\Excel office官方模板\业务\客户联系人列表.xltm","客户联系人列表.xltm")</f>
        <v>客户联系人列表.xltm</v>
      </c>
      <c r="Q45">
        <v>0.08</v>
      </c>
      <c r="R45" s="7" t="str">
        <f t="shared" si="0"/>
        <v>E:\附赠：Excel模板\Excel office官方模板\业务</v>
      </c>
      <c r="S45" s="9">
        <v>43600.3821296296</v>
      </c>
      <c r="T45" s="9">
        <v>43390.5184490741</v>
      </c>
    </row>
    <row r="46" spans="14:20">
      <c r="N46" s="7" t="str">
        <f>HYPERLINK("E:\附赠：Excel模板\Excel office官方模板\业务\客户联系人列表.xltx","客户联系人列表.xltx")</f>
        <v>客户联系人列表.xltx</v>
      </c>
      <c r="Q46">
        <v>0.04</v>
      </c>
      <c r="R46" s="7" t="str">
        <f t="shared" si="0"/>
        <v>E:\附赠：Excel模板\Excel office官方模板\业务</v>
      </c>
      <c r="S46" s="9">
        <v>43600.3821296296</v>
      </c>
      <c r="T46" s="9">
        <v>43390.5184490741</v>
      </c>
    </row>
    <row r="47" spans="14:20">
      <c r="N47" s="7" t="str">
        <f>HYPERLINK("E:\附赠：Excel模板\Excel office官方模板\业务\对账单.xltx","对账单.xltx")</f>
        <v>对账单.xltx</v>
      </c>
      <c r="Q47">
        <v>0.01</v>
      </c>
      <c r="R47" s="7" t="str">
        <f t="shared" si="0"/>
        <v>E:\附赠：Excel模板\Excel office官方模板\业务</v>
      </c>
      <c r="S47" s="9">
        <v>43600.3821296296</v>
      </c>
      <c r="T47" s="9">
        <v>43390.5184953704</v>
      </c>
    </row>
    <row r="48" spans="14:20">
      <c r="N48" s="7" t="str">
        <f>HYPERLINK("E:\附赠：Excel模板\Excel office官方模板\业务\小额现金申请.xlt","小额现金申请.xlt")</f>
        <v>小额现金申请.xlt</v>
      </c>
      <c r="Q48">
        <v>0.02</v>
      </c>
      <c r="R48" s="7" t="str">
        <f t="shared" si="0"/>
        <v>E:\附赠：Excel模板\Excel office官方模板\业务</v>
      </c>
      <c r="S48" s="9">
        <v>43600.3821296296</v>
      </c>
      <c r="T48" s="9">
        <v>43390.5183796296</v>
      </c>
    </row>
    <row r="49" spans="14:20">
      <c r="N49" s="7" t="str">
        <f>HYPERLINK("E:\附赠：Excel模板\Excel office官方模板\业务\工作分配计划.xltx","工作分配计划.xltx")</f>
        <v>工作分配计划.xltx</v>
      </c>
      <c r="Q49">
        <v>0.2</v>
      </c>
      <c r="R49" s="7" t="str">
        <f t="shared" si="0"/>
        <v>E:\附赠：Excel模板\Excel office官方模板\业务</v>
      </c>
      <c r="S49" s="9">
        <v>43600.3821296296</v>
      </c>
      <c r="T49" s="9">
        <v>43390.5184722222</v>
      </c>
    </row>
    <row r="50" spans="14:20">
      <c r="N50" s="7" t="str">
        <f>HYPERLINK("E:\附赠：Excel模板\Excel office官方模板\业务\工作通知单跟踪器.xltx","工作通知单跟踪器.xltx")</f>
        <v>工作通知单跟踪器.xltx</v>
      </c>
      <c r="Q50">
        <v>0.04</v>
      </c>
      <c r="R50" s="7" t="str">
        <f t="shared" si="0"/>
        <v>E:\附赠：Excel模板\Excel office官方模板\业务</v>
      </c>
      <c r="S50" s="9">
        <v>43600.3821296296</v>
      </c>
      <c r="T50" s="9">
        <v>43390.5184722222</v>
      </c>
    </row>
    <row r="51" spans="14:20">
      <c r="N51" s="7" t="str">
        <f>HYPERLINK("E:\附赠：Excel模板\Excel office官方模板\业务\差旅费报销单.xltx","差旅费报销单.xltx")</f>
        <v>差旅费报销单.xltx</v>
      </c>
      <c r="Q51">
        <v>0.02</v>
      </c>
      <c r="R51" s="7" t="str">
        <f t="shared" si="0"/>
        <v>E:\附赠：Excel模板\Excel office官方模板\业务</v>
      </c>
      <c r="S51" s="9">
        <v>43600.3821296296</v>
      </c>
      <c r="T51" s="9">
        <v>43390.5184953704</v>
      </c>
    </row>
    <row r="52" spans="14:20">
      <c r="N52" s="7" t="str">
        <f>HYPERLINK("E:\附赠：Excel模板\Excel office官方模板\业务\带图表的汽油里程日志.xltx","带图表的汽油里程日志.xltx")</f>
        <v>带图表的汽油里程日志.xltx</v>
      </c>
      <c r="Q52">
        <v>0.06</v>
      </c>
      <c r="R52" s="7" t="str">
        <f t="shared" si="0"/>
        <v>E:\附赠：Excel模板\Excel office官方模板\业务</v>
      </c>
      <c r="S52" s="9">
        <v>43600.3821296296</v>
      </c>
      <c r="T52" s="9">
        <v>43390.5184953704</v>
      </c>
    </row>
    <row r="53" spans="14:20">
      <c r="N53" s="7" t="str">
        <f>HYPERLINK("E:\附赠：Excel模板\Excel office官方模板\业务\带有比率和流动资金的资产负债表.xlt","带有比率和流动资金的资产负债表.xlt")</f>
        <v>带有比率和流动资金的资产负债表.xlt</v>
      </c>
      <c r="Q53">
        <v>0.03</v>
      </c>
      <c r="R53" s="7" t="str">
        <f t="shared" si="0"/>
        <v>E:\附赠：Excel模板\Excel office官方模板\业务</v>
      </c>
      <c r="S53" s="9">
        <v>43600.3821296296</v>
      </c>
      <c r="T53" s="9">
        <v>43390.5184953704</v>
      </c>
    </row>
    <row r="54" spans="14:20">
      <c r="N54" s="7" t="str">
        <f>HYPERLINK("E:\附赠：Excel模板\Excel office官方模板\业务\带进度跟踪表的待办事项列表.xltx","带进度跟踪表的待办事项列表.xltx")</f>
        <v>带进度跟踪表的待办事项列表.xltx</v>
      </c>
      <c r="Q54">
        <v>0.01</v>
      </c>
      <c r="R54" s="7" t="str">
        <f t="shared" si="0"/>
        <v>E:\附赠：Excel模板\Excel office官方模板\业务</v>
      </c>
      <c r="S54" s="9">
        <v>43600.3821296296</v>
      </c>
      <c r="T54" s="9">
        <v>43390.5184953704</v>
      </c>
    </row>
    <row r="55" spans="14:20">
      <c r="N55" s="7" t="str">
        <f>HYPERLINK("E:\附赠：Excel模板\Excel office官方模板\业务\库存清单.xltx","库存清单.xltx")</f>
        <v>库存清单.xltx</v>
      </c>
      <c r="Q55">
        <v>0.01</v>
      </c>
      <c r="R55" s="7" t="str">
        <f t="shared" si="0"/>
        <v>E:\附赠：Excel模板\Excel office官方模板\业务</v>
      </c>
      <c r="S55" s="9">
        <v>43600.3821296296</v>
      </c>
      <c r="T55" s="9">
        <v>43390.5184490741</v>
      </c>
    </row>
    <row r="56" spans="14:20">
      <c r="N56" s="7" t="str">
        <f>HYPERLINK("E:\附赠：Excel模板\Excel office官方模板\业务\应聘者信息及对照表.xlt","应聘者信息及对照表.xlt")</f>
        <v>应聘者信息及对照表.xlt</v>
      </c>
      <c r="Q56">
        <v>0.05</v>
      </c>
      <c r="R56" s="7" t="str">
        <f t="shared" si="0"/>
        <v>E:\附赠：Excel模板\Excel office官方模板\业务</v>
      </c>
      <c r="S56" s="9">
        <v>43600.3821296296</v>
      </c>
      <c r="T56" s="9">
        <v>43390.5183564815</v>
      </c>
    </row>
    <row r="57" spans="14:20">
      <c r="N57" s="7" t="str">
        <f>HYPERLINK("E:\附赠：Excel模板\Excel office官方模板\业务\抵押贷款计算器.xltx","抵押贷款计算器.xltx")</f>
        <v>抵押贷款计算器.xltx</v>
      </c>
      <c r="Q57">
        <v>0.08</v>
      </c>
      <c r="R57" s="7" t="str">
        <f t="shared" si="0"/>
        <v>E:\附赠：Excel模板\Excel office官方模板\业务</v>
      </c>
      <c r="S57" s="9">
        <v>43600.3821296296</v>
      </c>
      <c r="T57" s="9">
        <v>43390.5184953704</v>
      </c>
    </row>
    <row r="58" spans="14:20">
      <c r="N58" s="7" t="str">
        <f>HYPERLINK("E:\附赠：Excel模板\Excel office官方模板\业务\损益表.xlsx","损益表.xlsx")</f>
        <v>损益表.xlsx</v>
      </c>
      <c r="Q58">
        <v>0.03</v>
      </c>
      <c r="R58" s="7" t="str">
        <f t="shared" si="0"/>
        <v>E:\附赠：Excel模板\Excel office官方模板\业务</v>
      </c>
      <c r="S58" s="9">
        <v>43600.3821296296</v>
      </c>
      <c r="T58" s="9">
        <v>43390.5184027778</v>
      </c>
    </row>
    <row r="59" spans="14:20">
      <c r="N59" s="7" t="str">
        <f>HYPERLINK("E:\附赠：Excel模板\Excel office官方模板\业务\损益表2.xlt","损益表2.xlt")</f>
        <v>损益表2.xlt</v>
      </c>
      <c r="Q59">
        <v>0.05</v>
      </c>
      <c r="R59" s="7" t="str">
        <f t="shared" si="0"/>
        <v>E:\附赠：Excel模板\Excel office官方模板\业务</v>
      </c>
      <c r="S59" s="9">
        <v>43600.3821296296</v>
      </c>
      <c r="T59" s="9">
        <v>43390.5183796296</v>
      </c>
    </row>
    <row r="60" spans="14:20">
      <c r="N60" s="7" t="str">
        <f>HYPERLINK("E:\附赠：Excel模板\Excel office官方模板\业务\损益表3.xltx","损益表3.xltx")</f>
        <v>损益表3.xltx</v>
      </c>
      <c r="Q60">
        <v>0.04</v>
      </c>
      <c r="R60" s="7" t="str">
        <f t="shared" si="0"/>
        <v>E:\附赠：Excel模板\Excel office官方模板\业务</v>
      </c>
      <c r="S60" s="9">
        <v>43600.3821296296</v>
      </c>
      <c r="T60" s="9">
        <v>43390.5183796296</v>
      </c>
    </row>
    <row r="61" spans="14:20">
      <c r="N61" s="7" t="str">
        <f>HYPERLINK("E:\附赠：Excel模板\Excel office官方模板\业务\损益表4（带微标）.xltx","损益表4（带微标）.xltx")</f>
        <v>损益表4（带微标）.xltx</v>
      </c>
      <c r="Q61">
        <v>0.05</v>
      </c>
      <c r="R61" s="7" t="str">
        <f t="shared" si="0"/>
        <v>E:\附赠：Excel模板\Excel office官方模板\业务</v>
      </c>
      <c r="S61" s="9">
        <v>43600.3821296296</v>
      </c>
      <c r="T61" s="9">
        <v>43390.5184027778</v>
      </c>
    </row>
    <row r="62" spans="14:20">
      <c r="N62" s="7" t="str">
        <f>HYPERLINK("E:\附赠：Excel模板\Excel office官方模板\业务\收入趋势图.xltx","收入趋势图.xltx")</f>
        <v>收入趋势图.xltx</v>
      </c>
      <c r="Q62">
        <v>0.04</v>
      </c>
      <c r="R62" s="7" t="str">
        <f t="shared" si="0"/>
        <v>E:\附赠：Excel模板\Excel office官方模板\业务</v>
      </c>
      <c r="S62" s="9">
        <v>43600.3821296296</v>
      </c>
      <c r="T62" s="9">
        <v>43390.5184027778</v>
      </c>
    </row>
    <row r="63" spans="14:20">
      <c r="N63" s="7" t="str">
        <f>HYPERLINK("E:\附赠：Excel模板\Excel office官方模板\业务\施工投标表格.xltx","施工投标表格.xltx")</f>
        <v>施工投标表格.xltx</v>
      </c>
      <c r="Q63">
        <v>0.14</v>
      </c>
      <c r="R63" s="7" t="str">
        <f t="shared" si="0"/>
        <v>E:\附赠：Excel模板\Excel office官方模板\业务</v>
      </c>
      <c r="S63" s="9">
        <v>43600.3821296296</v>
      </c>
      <c r="T63" s="9">
        <v>43390.5184027778</v>
      </c>
    </row>
    <row r="64" spans="14:20">
      <c r="N64" s="7" t="str">
        <f>HYPERLINK("E:\附赠：Excel模板\Excel office官方模板\业务\日常收支记录.xlt","日常收支记录.xlt")</f>
        <v>日常收支记录.xlt</v>
      </c>
      <c r="Q64">
        <v>0.02</v>
      </c>
      <c r="R64" s="7" t="str">
        <f t="shared" si="0"/>
        <v>E:\附赠：Excel模板\Excel office官方模板\业务</v>
      </c>
      <c r="S64" s="9">
        <v>43600.3821296296</v>
      </c>
      <c r="T64" s="9">
        <v>43390.5184259259</v>
      </c>
    </row>
    <row r="65" spans="14:20">
      <c r="N65" s="7" t="str">
        <f>HYPERLINK("E:\附赠：Excel模板\Excel office官方模板\业务\日常收支记录.xltx","日常收支记录.xltx")</f>
        <v>日常收支记录.xltx</v>
      </c>
      <c r="Q65">
        <v>0.04</v>
      </c>
      <c r="R65" s="7" t="str">
        <f t="shared" si="0"/>
        <v>E:\附赠：Excel模板\Excel office官方模板\业务</v>
      </c>
      <c r="S65" s="9">
        <v>43600.3821296296</v>
      </c>
      <c r="T65" s="9">
        <v>43390.5184259259</v>
      </c>
    </row>
    <row r="66" spans="14:20">
      <c r="N66" s="7" t="str">
        <f>HYPERLINK("E:\附赠：Excel模板\Excel office官方模板\业务\日常销售报表.xltx","日常销售报表.xltx")</f>
        <v>日常销售报表.xltx</v>
      </c>
      <c r="Q66">
        <v>0.04</v>
      </c>
      <c r="R66" s="7" t="str">
        <f t="shared" si="0"/>
        <v>E:\附赠：Excel模板\Excel office官方模板\业务</v>
      </c>
      <c r="S66" s="9">
        <v>43600.3821296296</v>
      </c>
      <c r="T66" s="9">
        <v>43390.5184259259</v>
      </c>
    </row>
    <row r="67" spans="14:20">
      <c r="N67" s="7" t="str">
        <f>HYPERLINK("E:\附赠：Excel模板\Excel office官方模板\业务\日程表（含里程碑）.xltx","日程表（含里程碑）.xltx")</f>
        <v>日程表（含里程碑）.xltx</v>
      </c>
      <c r="Q67">
        <v>0.04</v>
      </c>
      <c r="R67" s="7" t="str">
        <f t="shared" si="0"/>
        <v>E:\附赠：Excel模板\Excel office官方模板\业务</v>
      </c>
      <c r="S67" s="9">
        <v>43600.3821296296</v>
      </c>
      <c r="T67" s="9">
        <v>43390.5184259259</v>
      </c>
    </row>
    <row r="68" spans="14:20">
      <c r="N68" s="7" t="str">
        <f>HYPERLINK("E:\附赠：Excel模板\Excel office官方模板\业务\服务价目表.xltx","服务价目表.xltx")</f>
        <v>服务价目表.xltx</v>
      </c>
      <c r="Q68">
        <v>0.02</v>
      </c>
      <c r="R68" s="7" t="str">
        <f t="shared" si="0"/>
        <v>E:\附赠：Excel模板\Excel office官方模板\业务</v>
      </c>
      <c r="S68" s="9">
        <v>43600.3821296296</v>
      </c>
      <c r="T68" s="9">
        <v>43390.5184953704</v>
      </c>
    </row>
    <row r="69" spans="14:20">
      <c r="N69" s="7" t="str">
        <f>HYPERLINK("E:\附赠：Excel模板\Excel office官方模板\业务\每周销售活动报表.xltx","每周销售活动报表.xltx")</f>
        <v>每周销售活动报表.xltx</v>
      </c>
      <c r="Q69">
        <v>0.02</v>
      </c>
      <c r="R69" s="7" t="str">
        <f t="shared" si="0"/>
        <v>E:\附赠：Excel模板\Excel office官方模板\业务</v>
      </c>
      <c r="S69" s="9">
        <v>43600.3821296296</v>
      </c>
      <c r="T69" s="9">
        <v>43390.5184259259</v>
      </c>
    </row>
    <row r="70" spans="14:20">
      <c r="N70" s="7" t="str">
        <f>HYPERLINK("E:\附赠：Excel模板\Excel office官方模板\业务\每月大学预算.xltx","每月大学预算.xltx")</f>
        <v>每月大学预算.xltx</v>
      </c>
      <c r="Q70">
        <v>0.06</v>
      </c>
      <c r="R70" s="7" t="str">
        <f t="shared" si="0"/>
        <v>E:\附赠：Excel模板\Excel office官方模板\业务</v>
      </c>
      <c r="S70" s="9">
        <v>43600.3821296296</v>
      </c>
      <c r="T70" s="9">
        <v>43390.5184259259</v>
      </c>
    </row>
    <row r="71" spans="14:20">
      <c r="N71" s="7" t="str">
        <f>HYPERLINK("E:\附赠：Excel模板\Excel office官方模板\业务\汽车维修跟踪表.xltx","汽车维修跟踪表.xltx")</f>
        <v>汽车维修跟踪表.xltx</v>
      </c>
      <c r="Q71">
        <v>0.12</v>
      </c>
      <c r="R71" s="7" t="str">
        <f t="shared" si="0"/>
        <v>E:\附赠：Excel模板\Excel office官方模板\业务</v>
      </c>
      <c r="S71" s="9">
        <v>43600.3821296296</v>
      </c>
      <c r="T71" s="9">
        <v>43390.5184259259</v>
      </c>
    </row>
    <row r="72" spans="14:20">
      <c r="N72" s="7" t="str">
        <f>HYPERLINK("E:\附赠：Excel模板\Excel office官方模板\业务\潜在客户跟踪表.xltx","潜在客户跟踪表.xltx")</f>
        <v>潜在客户跟踪表.xltx</v>
      </c>
      <c r="Q72">
        <v>0.03</v>
      </c>
      <c r="R72" s="7" t="str">
        <f t="shared" si="0"/>
        <v>E:\附赠：Excel模板\Excel office官方模板\业务</v>
      </c>
      <c r="S72" s="9">
        <v>43600.3821296296</v>
      </c>
      <c r="T72" s="9">
        <v>43390.5184259259</v>
      </c>
    </row>
    <row r="73" spans="14:20">
      <c r="N73" s="7" t="str">
        <f>HYPERLINK("E:\附赠：Excel模板\Excel office官方模板\业务\现金流量表.xlsx","现金流量表.xlsx")</f>
        <v>现金流量表.xlsx</v>
      </c>
      <c r="Q73">
        <v>0.02</v>
      </c>
      <c r="R73" s="7" t="str">
        <f t="shared" si="0"/>
        <v>E:\附赠：Excel模板\Excel office官方模板\业务</v>
      </c>
      <c r="S73" s="9">
        <v>43600.3821296296</v>
      </c>
      <c r="T73" s="9">
        <v>43390.5184027778</v>
      </c>
    </row>
    <row r="74" spans="14:20">
      <c r="N74" s="7" t="str">
        <f>HYPERLINK("E:\附赠：Excel模板\Excel office官方模板\业务\生产误差散点图.xlt","生产误差散点图.xlt")</f>
        <v>生产误差散点图.xlt</v>
      </c>
      <c r="Q74">
        <v>0.03</v>
      </c>
      <c r="R74" s="7" t="str">
        <f t="shared" si="0"/>
        <v>E:\附赠：Excel模板\Excel office官方模板\业务</v>
      </c>
      <c r="S74" s="9">
        <v>43600.3821296296</v>
      </c>
      <c r="T74" s="9">
        <v>43390.5184027778</v>
      </c>
    </row>
    <row r="75" spans="14:20">
      <c r="N75" s="7" t="str">
        <f>HYPERLINK("E:\附赠：Excel模板\Excel office官方模板\业务\电话会话跟踪表（用于接入和呼出电话）.xltx","电话会话跟踪表（用于接入和呼出电话）.xltx")</f>
        <v>电话会话跟踪表（用于接入和呼出电话）.xltx</v>
      </c>
      <c r="Q75">
        <v>0.02</v>
      </c>
      <c r="R75" s="7" t="str">
        <f t="shared" si="0"/>
        <v>E:\附赠：Excel模板\Excel office官方模板\业务</v>
      </c>
      <c r="S75" s="9">
        <v>43600.3821296296</v>
      </c>
      <c r="T75" s="9">
        <v>43390.5184953704</v>
      </c>
    </row>
    <row r="76" spans="14:20">
      <c r="N76" s="7" t="str">
        <f>HYPERLINK("E:\附赠：Excel模板\Excel office官方模板\业务\盈亏平衡分析.xltx","盈亏平衡分析.xltx")</f>
        <v>盈亏平衡分析.xltx</v>
      </c>
      <c r="Q76">
        <v>0.02</v>
      </c>
      <c r="R76" s="7" t="str">
        <f t="shared" si="0"/>
        <v>E:\附赠：Excel模板\Excel office官方模板\业务</v>
      </c>
      <c r="S76" s="9">
        <v>43600.3821296296</v>
      </c>
      <c r="T76" s="9">
        <v>43390.5183564815</v>
      </c>
    </row>
    <row r="77" spans="14:20">
      <c r="N77" s="7" t="str">
        <f>HYPERLINK("E:\附赠：Excel模板\Excel office官方模板\业务\简单发票.xltx","简单发票.xltx")</f>
        <v>简单发票.xltx</v>
      </c>
      <c r="Q77">
        <v>0.02</v>
      </c>
      <c r="R77" s="7" t="str">
        <f t="shared" si="0"/>
        <v>E:\附赠：Excel模板\Excel office官方模板\业务</v>
      </c>
      <c r="S77" s="9">
        <v>43600.3821296296</v>
      </c>
      <c r="T77" s="9">
        <v>43390.5184490741</v>
      </c>
    </row>
    <row r="78" spans="14:20">
      <c r="N78" s="7" t="str">
        <f>HYPERLINK("E:\附赠：Excel模板\Excel office官方模板\业务\简单支出预算.xltx","简单支出预算.xltx")</f>
        <v>简单支出预算.xltx</v>
      </c>
      <c r="Q78">
        <v>0.04</v>
      </c>
      <c r="R78" s="7" t="str">
        <f t="shared" si="0"/>
        <v>E:\附赠：Excel模板\Excel office官方模板\业务</v>
      </c>
      <c r="S78" s="9">
        <v>43600.3821296296</v>
      </c>
      <c r="T78" s="9">
        <v>43390.5184490741</v>
      </c>
    </row>
    <row r="79" spans="14:20">
      <c r="N79" s="7" t="str">
        <f>HYPERLINK("E:\附赠：Excel模板\Excel office官方模板\业务\组织结构图（可视）.xltx","组织结构图（可视）.xltx")</f>
        <v>组织结构图（可视）.xltx</v>
      </c>
      <c r="Q79">
        <v>1.28</v>
      </c>
      <c r="R79" s="7" t="str">
        <f t="shared" ref="R79:R98" si="1">HYPERLINK("E:\附赠：Excel模板\Excel office官方模板\业务","E:\附赠：Excel模板\Excel office官方模板\业务")</f>
        <v>E:\附赠：Excel模板\Excel office官方模板\业务</v>
      </c>
      <c r="S79" s="9">
        <v>43600.3821296296</v>
      </c>
      <c r="T79" s="9">
        <v>43390.5183796296</v>
      </c>
    </row>
    <row r="80" spans="14:20">
      <c r="N80" s="7" t="str">
        <f>HYPERLINK("E:\附赠：Excel模板\Excel office官方模板\业务\结合swot分析的商业规划清单.xltx","结合swot分析的商业规划清单.xltx")</f>
        <v>结合swot分析的商业规划清单.xltx</v>
      </c>
      <c r="Q80">
        <v>0.01</v>
      </c>
      <c r="R80" s="7" t="str">
        <f t="shared" si="1"/>
        <v>E:\附赠：Excel模板\Excel office官方模板\业务</v>
      </c>
      <c r="S80" s="9">
        <v>43600.3821296296</v>
      </c>
      <c r="T80" s="9">
        <v>43390.5184490741</v>
      </c>
    </row>
    <row r="81" spans="14:20">
      <c r="N81" s="7" t="str">
        <f>HYPERLINK("E:\附赠：Excel模板\Excel office官方模板\业务\股票投资业绩.xlt","股票投资业绩.xlt")</f>
        <v>股票投资业绩.xlt</v>
      </c>
      <c r="Q81">
        <v>0.03</v>
      </c>
      <c r="R81" s="7" t="str">
        <f t="shared" si="1"/>
        <v>E:\附赠：Excel模板\Excel office官方模板\业务</v>
      </c>
      <c r="S81" s="9">
        <v>43600.3821296296</v>
      </c>
      <c r="T81" s="9">
        <v>43390.5184722222</v>
      </c>
    </row>
    <row r="82" spans="14:20">
      <c r="N82" s="7" t="str">
        <f>HYPERLINK("E:\附赠：Excel模板\Excel office官方模板\业务\营销项目计划.xltx","营销项目计划.xltx")</f>
        <v>营销项目计划.xltx</v>
      </c>
      <c r="Q82">
        <v>0.02</v>
      </c>
      <c r="R82" s="7" t="str">
        <f t="shared" si="1"/>
        <v>E:\附赠：Excel模板\Excel office官方模板\业务</v>
      </c>
      <c r="S82" s="9">
        <v>43600.3821296296</v>
      </c>
      <c r="T82" s="9">
        <v>43390.5183564815</v>
      </c>
    </row>
    <row r="83" spans="14:20">
      <c r="N83" s="7" t="str">
        <f>HYPERLINK("E:\附赠：Excel模板\Excel office官方模板\业务\计算总额的发票（横线））.xltx","计算总额的发票（横线））.xltx")</f>
        <v>计算总额的发票（横线））.xltx</v>
      </c>
      <c r="Q83">
        <v>0.02</v>
      </c>
      <c r="R83" s="7" t="str">
        <f t="shared" si="1"/>
        <v>E:\附赠：Excel模板\Excel office官方模板\业务</v>
      </c>
      <c r="S83" s="9">
        <v>43600.3821296296</v>
      </c>
      <c r="T83" s="9">
        <v>43390.5184490741</v>
      </c>
    </row>
    <row r="84" spans="14:20">
      <c r="N84" s="7" t="str">
        <f>HYPERLINK("E:\附赠：Excel模板\Excel office官方模板\业务\设备列表.xltm","设备列表.xltm")</f>
        <v>设备列表.xltm</v>
      </c>
      <c r="Q84">
        <v>0.07</v>
      </c>
      <c r="R84" s="7" t="str">
        <f t="shared" si="1"/>
        <v>E:\附赠：Excel模板\Excel office官方模板\业务</v>
      </c>
      <c r="S84" s="9">
        <v>43600.3821296296</v>
      </c>
      <c r="T84" s="9">
        <v>43390.5184027778</v>
      </c>
    </row>
    <row r="85" spans="14:20">
      <c r="N85" s="7" t="str">
        <f>HYPERLINK("E:\附赠：Excel模板\Excel office官方模板\业务\货币转换工具.xltm","货币转换工具.xltm")</f>
        <v>货币转换工具.xltm</v>
      </c>
      <c r="Q85">
        <v>0.21</v>
      </c>
      <c r="R85" s="7" t="str">
        <f t="shared" si="1"/>
        <v>E:\附赠：Excel模板\Excel office官方模板\业务</v>
      </c>
      <c r="S85" s="9">
        <v>43600.3821296296</v>
      </c>
      <c r="T85" s="9">
        <v>43390.5184490741</v>
      </c>
    </row>
    <row r="86" spans="14:20">
      <c r="N86" s="7" t="str">
        <f>HYPERLINK("E:\附赠：Excel模板\Excel office官方模板\业务\贷款分析工作表.xltx","贷款分析工作表.xltx")</f>
        <v>贷款分析工作表.xltx</v>
      </c>
      <c r="Q86">
        <v>0.03</v>
      </c>
      <c r="R86" s="7" t="str">
        <f t="shared" si="1"/>
        <v>E:\附赠：Excel模板\Excel office官方模板\业务</v>
      </c>
      <c r="S86" s="9">
        <v>43600.3821296296</v>
      </c>
      <c r="T86" s="9">
        <v>43390.5184953704</v>
      </c>
    </row>
    <row r="87" spans="14:20">
      <c r="N87" s="7" t="str">
        <f>HYPERLINK("E:\附赠：Excel模板\Excel office官方模板\业务\贷款对比计算器.xltx","贷款对比计算器.xltx")</f>
        <v>贷款对比计算器.xltx</v>
      </c>
      <c r="Q87">
        <v>0.11</v>
      </c>
      <c r="R87" s="7" t="str">
        <f t="shared" si="1"/>
        <v>E:\附赠：Excel模板\Excel office官方模板\业务</v>
      </c>
      <c r="S87" s="9">
        <v>43600.3821296296</v>
      </c>
      <c r="T87" s="9">
        <v>43390.5184953704</v>
      </c>
    </row>
    <row r="88" spans="14:20">
      <c r="N88" s="7" t="str">
        <f>HYPERLINK("E:\附赠：Excel模板\Excel office官方模板\业务\费用报表.xlsx","费用报表.xlsx")</f>
        <v>费用报表.xlsx</v>
      </c>
      <c r="Q88">
        <v>0.01</v>
      </c>
      <c r="R88" s="7" t="str">
        <f t="shared" si="1"/>
        <v>E:\附赠：Excel模板\Excel office官方模板\业务</v>
      </c>
      <c r="S88" s="9">
        <v>43600.3821296296</v>
      </c>
      <c r="T88" s="9">
        <v>43390.5184722222</v>
      </c>
    </row>
    <row r="89" spans="14:20">
      <c r="N89" s="7" t="str">
        <f>HYPERLINK("E:\附赠：Excel模板\Excel office官方模板\业务\费用报销单.xltx","费用报销单.xltx")</f>
        <v>费用报销单.xltx</v>
      </c>
      <c r="Q89">
        <v>0.02</v>
      </c>
      <c r="R89" s="7" t="str">
        <f t="shared" si="1"/>
        <v>E:\附赠：Excel模板\Excel office官方模板\业务</v>
      </c>
      <c r="S89" s="9">
        <v>43600.3821296296</v>
      </c>
      <c r="T89" s="9">
        <v>43390.5184722222</v>
      </c>
    </row>
    <row r="90" spans="14:20">
      <c r="N90" s="7" t="str">
        <f>HYPERLINK("E:\附赠：Excel模板\Excel office官方模板\业务\费用预算.xltx","费用预算.xltx")</f>
        <v>费用预算.xltx</v>
      </c>
      <c r="Q90">
        <v>0.02</v>
      </c>
      <c r="R90" s="7" t="str">
        <f t="shared" si="1"/>
        <v>E:\附赠：Excel模板\Excel office官方模板\业务</v>
      </c>
      <c r="S90" s="9">
        <v>43600.3821296296</v>
      </c>
      <c r="T90" s="9">
        <v>43390.5184722222</v>
      </c>
    </row>
    <row r="91" spans="14:20">
      <c r="N91" s="7" t="str">
        <f>HYPERLINK("E:\附赠：Excel模板\Excel office官方模板\业务\车辆服务记录.xltx","车辆服务记录.xltx")</f>
        <v>车辆服务记录.xltx</v>
      </c>
      <c r="Q91">
        <v>0.01</v>
      </c>
      <c r="R91" s="7" t="str">
        <f t="shared" si="1"/>
        <v>E:\附赠：Excel模板\Excel office官方模板\业务</v>
      </c>
      <c r="S91" s="9">
        <v>43600.3821296296</v>
      </c>
      <c r="T91" s="9">
        <v>43390.5184953704</v>
      </c>
    </row>
    <row r="92" spans="14:20">
      <c r="N92" s="7" t="str">
        <f>HYPERLINK("E:\附赠：Excel模板\Excel office官方模板\业务\销售佣金计算表.xltx","销售佣金计算表.xltx")</f>
        <v>销售佣金计算表.xltx</v>
      </c>
      <c r="Q92">
        <v>0.01</v>
      </c>
      <c r="R92" s="7" t="str">
        <f t="shared" si="1"/>
        <v>E:\附赠：Excel模板\Excel office官方模板\业务</v>
      </c>
      <c r="S92" s="9">
        <v>43600.3821296296</v>
      </c>
      <c r="T92" s="9">
        <v>43390.5183796296</v>
      </c>
    </row>
    <row r="93" spans="14:20">
      <c r="N93" s="7" t="str">
        <f>HYPERLINK("E:\附赠：Excel模板\Excel office官方模板\业务\销售漏斗图.xltx","销售漏斗图.xltx")</f>
        <v>销售漏斗图.xltx</v>
      </c>
      <c r="Q93">
        <v>0.02</v>
      </c>
      <c r="R93" s="7" t="str">
        <f t="shared" si="1"/>
        <v>E:\附赠：Excel模板\Excel office官方模板\业务</v>
      </c>
      <c r="S93" s="9">
        <v>43600.3821296296</v>
      </c>
      <c r="T93" s="9">
        <v>43390.5183796296</v>
      </c>
    </row>
    <row r="94" spans="14:20">
      <c r="N94" s="7" t="str">
        <f>HYPERLINK("E:\附赠：Excel模板\Excel office官方模板\业务\零用金报销单 (1).xltx","零用金报销单 (1).xltx")</f>
        <v>零用金报销单 (1).xltx</v>
      </c>
      <c r="Q94">
        <v>0.02</v>
      </c>
      <c r="R94" s="7" t="str">
        <f t="shared" si="1"/>
        <v>E:\附赠：Excel模板\Excel office官方模板\业务</v>
      </c>
      <c r="S94" s="9">
        <v>43600.3821296296</v>
      </c>
      <c r="T94" s="9">
        <v>43390.5184490741</v>
      </c>
    </row>
    <row r="95" spans="14:20">
      <c r="N95" s="7" t="str">
        <f>HYPERLINK("E:\附赠：Excel模板\Excel office官方模板\业务\零用金报销单.xltx","零用金报销单.xltx")</f>
        <v>零用金报销单.xltx</v>
      </c>
      <c r="Q95">
        <v>0.04</v>
      </c>
      <c r="R95" s="7" t="str">
        <f t="shared" si="1"/>
        <v>E:\附赠：Excel模板\Excel office官方模板\业务</v>
      </c>
      <c r="S95" s="9">
        <v>43600.3821296296</v>
      </c>
      <c r="T95" s="9">
        <v>43390.5184259259</v>
      </c>
    </row>
    <row r="96" spans="14:20">
      <c r="N96" s="7" t="str">
        <f>HYPERLINK("E:\附赠：Excel模板\Excel office官方模板\业务\非盈利预算（募捐）.xltx","非盈利预算（募捐）.xltx")</f>
        <v>非盈利预算（募捐）.xltx</v>
      </c>
      <c r="Q96">
        <v>0.04</v>
      </c>
      <c r="R96" s="7" t="str">
        <f t="shared" si="1"/>
        <v>E:\附赠：Excel模板\Excel office官方模板\业务</v>
      </c>
      <c r="S96" s="9">
        <v>43600.3821296296</v>
      </c>
      <c r="T96" s="9">
        <v>43390.5184722222</v>
      </c>
    </row>
    <row r="97" spans="14:20">
      <c r="N97" s="7" t="str">
        <f>HYPERLINK("E:\附赠：Excel模板\Excel office官方模板\业务\项目待办事项列表.xltx","项目待办事项列表.xltx")</f>
        <v>项目待办事项列表.xltx</v>
      </c>
      <c r="Q97">
        <v>0.04</v>
      </c>
      <c r="R97" s="7" t="str">
        <f t="shared" si="1"/>
        <v>E:\附赠：Excel模板\Excel office官方模板\业务</v>
      </c>
      <c r="S97" s="9">
        <v>43600.3821296296</v>
      </c>
      <c r="T97" s="9">
        <v>43390.5184027778</v>
      </c>
    </row>
    <row r="98" spans="14:20">
      <c r="N98" s="7" t="str">
        <f>HYPERLINK("E:\附赠：Excel模板\Excel office官方模板\业务\项目绩效报表.xltx","项目绩效报表.xltx")</f>
        <v>项目绩效报表.xltx</v>
      </c>
      <c r="Q98">
        <v>0.03</v>
      </c>
      <c r="R98" s="7" t="str">
        <f t="shared" si="1"/>
        <v>E:\附赠：Excel模板\Excel office官方模板\业务</v>
      </c>
      <c r="S98" s="9">
        <v>43600.3821296296</v>
      </c>
      <c r="T98" s="9">
        <v>43390.5183796296</v>
      </c>
    </row>
    <row r="99" spans="14:20">
      <c r="N99" t="s">
        <v>15</v>
      </c>
      <c r="Q99" t="s">
        <v>15</v>
      </c>
      <c r="R99" t="s">
        <v>15</v>
      </c>
      <c r="S99" t="s">
        <v>15</v>
      </c>
      <c r="T99" t="s">
        <v>15</v>
      </c>
    </row>
    <row r="100" spans="14:20">
      <c r="N100" s="7" t="str">
        <f>HYPERLINK("E:\附赠：Excel模板\Excel office官方模板\健康与健身\伴侣体重跟踪表.xlsx","伴侣体重跟踪表.xlsx")</f>
        <v>伴侣体重跟踪表.xlsx</v>
      </c>
      <c r="Q100">
        <v>0.01</v>
      </c>
      <c r="R100" s="7" t="str">
        <f t="shared" ref="R100:R113" si="2">HYPERLINK("E:\附赠：Excel模板\Excel office官方模板\健康与健身","E:\附赠：Excel模板\Excel office官方模板\健康与健身")</f>
        <v>E:\附赠：Excel模板\Excel office官方模板\健康与健身</v>
      </c>
      <c r="S100" s="9">
        <v>43600.3821296296</v>
      </c>
      <c r="T100" s="9">
        <v>43390.5187037037</v>
      </c>
    </row>
    <row r="101" spans="14:20">
      <c r="N101" s="7" t="str">
        <f>HYPERLINK("E:\附赠：Excel模板\Excel office官方模板\健康与健身\体重跟踪器.xltx","体重跟踪器.xltx")</f>
        <v>体重跟踪器.xltx</v>
      </c>
      <c r="Q101">
        <v>0.04</v>
      </c>
      <c r="R101" s="7" t="str">
        <f t="shared" si="2"/>
        <v>E:\附赠：Excel模板\Excel office官方模板\健康与健身</v>
      </c>
      <c r="S101" s="9">
        <v>43600.3821296296</v>
      </c>
      <c r="T101" s="9">
        <v>43390.5186805556</v>
      </c>
    </row>
    <row r="102" spans="14:20">
      <c r="N102" s="7" t="str">
        <f>HYPERLINK("E:\附赠：Excel模板\Excel office官方模板\健康与健身\健身计划.xlsx","健身计划.xlsx")</f>
        <v>健身计划.xlsx</v>
      </c>
      <c r="Q102">
        <v>0.09</v>
      </c>
      <c r="R102" s="7" t="str">
        <f t="shared" si="2"/>
        <v>E:\附赠：Excel模板\Excel office官方模板\健康与健身</v>
      </c>
      <c r="S102" s="9">
        <v>43600.3821296296</v>
      </c>
      <c r="T102" s="9">
        <v>43390.5187037037</v>
      </c>
    </row>
    <row r="103" spans="14:20">
      <c r="N103" s="7" t="str">
        <f>HYPERLINK("E:\附赠：Excel模板\Excel office官方模板\健康与健身\减肥跟踪器 (1).xltx","减肥跟踪器 (1).xltx")</f>
        <v>减肥跟踪器 (1).xltx</v>
      </c>
      <c r="Q103">
        <v>0.07</v>
      </c>
      <c r="R103" s="7" t="str">
        <f t="shared" si="2"/>
        <v>E:\附赠：Excel模板\Excel office官方模板\健康与健身</v>
      </c>
      <c r="S103" s="9">
        <v>43600.3821296296</v>
      </c>
      <c r="T103" s="9">
        <v>43390.5187037037</v>
      </c>
    </row>
    <row r="104" spans="14:20">
      <c r="N104" s="7" t="str">
        <f>HYPERLINK("E:\附赠：Excel模板\Excel office官方模板\健康与健身\减肥跟踪器.xltx","减肥跟踪器.xltx")</f>
        <v>减肥跟踪器.xltx</v>
      </c>
      <c r="Q104">
        <v>0.05</v>
      </c>
      <c r="R104" s="7" t="str">
        <f t="shared" si="2"/>
        <v>E:\附赠：Excel模板\Excel office官方模板\健康与健身</v>
      </c>
      <c r="S104" s="9">
        <v>43600.3821296296</v>
      </c>
      <c r="T104" s="9">
        <v>43390.5187268518</v>
      </c>
    </row>
    <row r="105" spans="14:20">
      <c r="N105" s="7" t="str">
        <f>HYPERLINK("E:\附赠：Excel模板\Excel office官方模板\健康与健身\女士节食和减肥计划表.xlt","女士节食和减肥计划表.xlt")</f>
        <v>女士节食和减肥计划表.xlt</v>
      </c>
      <c r="Q105">
        <v>0.12</v>
      </c>
      <c r="R105" s="7" t="str">
        <f t="shared" si="2"/>
        <v>E:\附赠：Excel模板\Excel office官方模板\健康与健身</v>
      </c>
      <c r="S105" s="9">
        <v>43600.3821296296</v>
      </c>
      <c r="T105" s="9">
        <v>43390.5186805556</v>
      </c>
    </row>
    <row r="106" spans="14:20">
      <c r="N106" s="7" t="str">
        <f>HYPERLINK("E:\附赠：Excel模板\Excel office官方模板\健康与健身\女性健身计划图表.xltx","女性健身计划图表.xltx")</f>
        <v>女性健身计划图表.xltx</v>
      </c>
      <c r="Q106">
        <v>0.03</v>
      </c>
      <c r="R106" s="7" t="str">
        <f t="shared" si="2"/>
        <v>E:\附赠：Excel模板\Excel office官方模板\健康与健身</v>
      </c>
      <c r="S106" s="9">
        <v>43600.3821296296</v>
      </c>
      <c r="T106" s="9">
        <v>43390.5186805556</v>
      </c>
    </row>
    <row r="107" spans="14:20">
      <c r="N107" s="7" t="str">
        <f>HYPERLINK("E:\附赠：Excel模板\Excel office官方模板\健康与健身\男女减重跟踪表.xltx","男女减重跟踪表.xltx")</f>
        <v>男女减重跟踪表.xltx</v>
      </c>
      <c r="Q107">
        <v>0.02</v>
      </c>
      <c r="R107" s="7" t="str">
        <f t="shared" si="2"/>
        <v>E:\附赠：Excel模板\Excel office官方模板\健康与健身</v>
      </c>
      <c r="S107" s="9">
        <v>43600.3821296296</v>
      </c>
      <c r="T107" s="9">
        <v>43390.5186805556</v>
      </c>
    </row>
    <row r="108" spans="14:20">
      <c r="N108" s="7" t="str">
        <f>HYPERLINK("E:\附赠：Excel模板\Excel office官方模板\健康与健身\男生节食和减肥计划.xlt","男生节食和减肥计划.xlt")</f>
        <v>男生节食和减肥计划.xlt</v>
      </c>
      <c r="Q108">
        <v>0.11</v>
      </c>
      <c r="R108" s="7" t="str">
        <f t="shared" si="2"/>
        <v>E:\附赠：Excel模板\Excel office官方模板\健康与健身</v>
      </c>
      <c r="S108" s="9">
        <v>43600.3821296296</v>
      </c>
      <c r="T108" s="9">
        <v>43390.5186805556</v>
      </c>
    </row>
    <row r="109" spans="14:20">
      <c r="N109" s="7" t="str">
        <f>HYPERLINK("E:\附赠：Excel模板\Excel office官方模板\健康与健身\血压和血糖跟踪表.xlsx","血压和血糖跟踪表.xlsx")</f>
        <v>血压和血糖跟踪表.xlsx</v>
      </c>
      <c r="Q109">
        <v>0.02</v>
      </c>
      <c r="R109" s="7" t="str">
        <f t="shared" si="2"/>
        <v>E:\附赠：Excel模板\Excel office官方模板\健康与健身</v>
      </c>
      <c r="S109" s="9">
        <v>43600.3821296296</v>
      </c>
      <c r="T109" s="9">
        <v>43390.5186805556</v>
      </c>
    </row>
    <row r="110" spans="14:20">
      <c r="N110" s="7" t="str">
        <f>HYPERLINK("E:\附赠：Excel模板\Excel office官方模板\健康与健身\血压和血糖跟踪表.xltx","血压和血糖跟踪表.xltx")</f>
        <v>血压和血糖跟踪表.xltx</v>
      </c>
      <c r="Q110">
        <v>0.02</v>
      </c>
      <c r="R110" s="7" t="str">
        <f t="shared" si="2"/>
        <v>E:\附赠：Excel模板\Excel office官方模板\健康与健身</v>
      </c>
      <c r="S110" s="9">
        <v>43600.3821296296</v>
      </c>
      <c r="T110" s="9">
        <v>43390.5186805556</v>
      </c>
    </row>
    <row r="111" spans="14:20">
      <c r="N111" s="7" t="str">
        <f>HYPERLINK("E:\附赠：Excel模板\Excel office官方模板\健康与健身\跑步日志.xltx","跑步日志.xltx")</f>
        <v>跑步日志.xltx</v>
      </c>
      <c r="Q111">
        <v>0.05</v>
      </c>
      <c r="R111" s="7" t="str">
        <f t="shared" si="2"/>
        <v>E:\附赠：Excel模板\Excel office官方模板\健康与健身</v>
      </c>
      <c r="S111" s="9">
        <v>43600.3821296296</v>
      </c>
      <c r="T111" s="9">
        <v>43390.5187037037</v>
      </c>
    </row>
    <row r="112" spans="14:20">
      <c r="N112" s="7" t="str">
        <f>HYPERLINK("E:\附赠：Excel模板\Excel office官方模板\健康与健身\食物脂肪百分比计算器.xlt","食物脂肪百分比计算器.xlt")</f>
        <v>食物脂肪百分比计算器.xlt</v>
      </c>
      <c r="Q112">
        <v>0.02</v>
      </c>
      <c r="R112" s="7" t="str">
        <f t="shared" si="2"/>
        <v>E:\附赠：Excel模板\Excel office官方模板\健康与健身</v>
      </c>
      <c r="S112" s="9">
        <v>43600.3821296296</v>
      </c>
      <c r="T112" s="9">
        <v>43390.5186805556</v>
      </c>
    </row>
    <row r="113" spans="14:20">
      <c r="N113" s="7" t="str">
        <f>HYPERLINK("E:\附赠：Excel模板\Excel office官方模板\健康与健身\饮食和锻炼日记.xltx","饮食和锻炼日记.xltx")</f>
        <v>饮食和锻炼日记.xltx</v>
      </c>
      <c r="Q113">
        <v>0.04</v>
      </c>
      <c r="R113" s="7" t="str">
        <f t="shared" si="2"/>
        <v>E:\附赠：Excel模板\Excel office官方模板\健康与健身</v>
      </c>
      <c r="S113" s="9">
        <v>43600.3821296296</v>
      </c>
      <c r="T113" s="9">
        <v>43390.5186805556</v>
      </c>
    </row>
    <row r="114" spans="14:20">
      <c r="N114" t="s">
        <v>15</v>
      </c>
      <c r="Q114" t="s">
        <v>15</v>
      </c>
      <c r="R114" t="s">
        <v>15</v>
      </c>
      <c r="S114" t="s">
        <v>15</v>
      </c>
      <c r="T114" t="s">
        <v>15</v>
      </c>
    </row>
    <row r="115" spans="14:20">
      <c r="N115" s="7" t="str">
        <f>HYPERLINK("E:\附赠：Excel模板\Excel office官方模板\客户管理 服务\产品保修记录.xlt","产品保修记录.xlt")</f>
        <v>产品保修记录.xlt</v>
      </c>
      <c r="Q115">
        <v>0.02</v>
      </c>
      <c r="R115" s="7" t="str">
        <f t="shared" ref="R115:R126" si="3">HYPERLINK("E:\附赠：Excel模板\Excel office官方模板\客户管理 服务","E:\附赠：Excel模板\Excel office官方模板\客户管理 服务")</f>
        <v>E:\附赠：Excel模板\Excel office官方模板\客户管理 服务</v>
      </c>
      <c r="S115" s="9">
        <v>43600.3821296296</v>
      </c>
      <c r="T115" s="9">
        <v>43390.5186574074</v>
      </c>
    </row>
    <row r="116" spans="14:20">
      <c r="N116" s="7" t="str">
        <f>HYPERLINK("E:\附赠：Excel模板\Excel office官方模板\客户管理 服务\会员表.xlt","会员表.xlt")</f>
        <v>会员表.xlt</v>
      </c>
      <c r="Q116">
        <v>0.02</v>
      </c>
      <c r="R116" s="7" t="str">
        <f t="shared" si="3"/>
        <v>E:\附赠：Excel模板\Excel office官方模板\客户管理 服务</v>
      </c>
      <c r="S116" s="9">
        <v>43600.3821296296</v>
      </c>
      <c r="T116" s="9">
        <v>43390.5186574074</v>
      </c>
    </row>
    <row r="117" spans="14:20">
      <c r="N117" s="7" t="str">
        <f>HYPERLINK("E:\附赠：Excel模板\Excel office官方模板\客户管理 服务\基本的客户联系人列表.xltx","基本的客户联系人列表.xltx")</f>
        <v>基本的客户联系人列表.xltx</v>
      </c>
      <c r="Q117">
        <v>0.01</v>
      </c>
      <c r="R117" s="7" t="str">
        <f t="shared" si="3"/>
        <v>E:\附赠：Excel模板\Excel office官方模板\客户管理 服务</v>
      </c>
      <c r="S117" s="9">
        <v>43600.3821296296</v>
      </c>
      <c r="T117" s="9">
        <v>43390.5186342593</v>
      </c>
    </row>
    <row r="118" spans="14:20">
      <c r="N118" s="7" t="str">
        <f>HYPERLINK("E:\附赠：Excel模板\Excel office官方模板\客户管理 服务\婚礼来宾列表.xltx","婚礼来宾列表.xltx")</f>
        <v>婚礼来宾列表.xltx</v>
      </c>
      <c r="Q118">
        <v>0.03</v>
      </c>
      <c r="R118" s="7" t="str">
        <f t="shared" si="3"/>
        <v>E:\附赠：Excel模板\Excel office官方模板\客户管理 服务</v>
      </c>
      <c r="S118" s="9">
        <v>43600.3821296296</v>
      </c>
      <c r="T118" s="9">
        <v>43390.5186574074</v>
      </c>
    </row>
    <row r="119" spans="14:20">
      <c r="N119" s="7" t="str">
        <f>HYPERLINK("E:\附赠：Excel模板\Excel office官方模板\客户管理 服务\客户管理表.xlt","客户管理表.xlt")</f>
        <v>客户管理表.xlt</v>
      </c>
      <c r="Q119">
        <v>0.02</v>
      </c>
      <c r="R119" s="7" t="str">
        <f t="shared" si="3"/>
        <v>E:\附赠：Excel模板\Excel office官方模板\客户管理 服务</v>
      </c>
      <c r="S119" s="9">
        <v>43600.3821296296</v>
      </c>
      <c r="T119" s="9">
        <v>43390.5186342593</v>
      </c>
    </row>
    <row r="120" spans="14:20">
      <c r="N120" s="7" t="str">
        <f>HYPERLINK("E:\附赠：Excel模板\Excel office官方模板\客户管理 服务\客户联系人列表 (1).xltm","客户联系人列表 (1).xltm")</f>
        <v>客户联系人列表 (1).xltm</v>
      </c>
      <c r="Q120">
        <v>0.08</v>
      </c>
      <c r="R120" s="7" t="str">
        <f t="shared" si="3"/>
        <v>E:\附赠：Excel模板\Excel office官方模板\客户管理 服务</v>
      </c>
      <c r="S120" s="9">
        <v>43600.3821296296</v>
      </c>
      <c r="T120" s="9">
        <v>43390.5186342593</v>
      </c>
    </row>
    <row r="121" spans="14:20">
      <c r="N121" s="7" t="str">
        <f>HYPERLINK("E:\附赠：Excel模板\Excel office官方模板\客户管理 服务\客户联系人列表.xltm","客户联系人列表.xltm")</f>
        <v>客户联系人列表.xltm</v>
      </c>
      <c r="Q121">
        <v>0.08</v>
      </c>
      <c r="R121" s="7" t="str">
        <f t="shared" si="3"/>
        <v>E:\附赠：Excel模板\Excel office官方模板\客户管理 服务</v>
      </c>
      <c r="S121" s="9">
        <v>43600.3821296296</v>
      </c>
      <c r="T121" s="9">
        <v>43390.5186342593</v>
      </c>
    </row>
    <row r="122" spans="14:20">
      <c r="N122" s="7" t="str">
        <f>HYPERLINK("E:\附赠：Excel模板\Excel office官方模板\客户管理 服务\客户联系人列表.xltx","客户联系人列表.xltx")</f>
        <v>客户联系人列表.xltx</v>
      </c>
      <c r="Q122">
        <v>0.04</v>
      </c>
      <c r="R122" s="7" t="str">
        <f t="shared" si="3"/>
        <v>E:\附赠：Excel模板\Excel office官方模板\客户管理 服务</v>
      </c>
      <c r="S122" s="9">
        <v>43600.3821296296</v>
      </c>
      <c r="T122" s="9">
        <v>43390.5186342593</v>
      </c>
    </row>
    <row r="123" spans="14:20">
      <c r="N123" s="7" t="str">
        <f>HYPERLINK("E:\附赠：Excel模板\Excel office官方模板\客户管理 服务\汽车维修跟踪表.xltx","汽车维修跟踪表.xltx")</f>
        <v>汽车维修跟踪表.xltx</v>
      </c>
      <c r="Q123">
        <v>0.12</v>
      </c>
      <c r="R123" s="7" t="str">
        <f t="shared" si="3"/>
        <v>E:\附赠：Excel模板\Excel office官方模板\客户管理 服务</v>
      </c>
      <c r="S123" s="9">
        <v>43600.3821296296</v>
      </c>
      <c r="T123" s="9">
        <v>43390.5186574074</v>
      </c>
    </row>
    <row r="124" spans="14:20">
      <c r="N124" s="7" t="str">
        <f>HYPERLINK("E:\附赠：Excel模板\Excel office官方模板\客户管理 服务\潜在客户跟踪表.xltx","潜在客户跟踪表.xltx")</f>
        <v>潜在客户跟踪表.xltx</v>
      </c>
      <c r="Q124">
        <v>0.03</v>
      </c>
      <c r="R124" s="7" t="str">
        <f t="shared" si="3"/>
        <v>E:\附赠：Excel模板\Excel office官方模板\客户管理 服务</v>
      </c>
      <c r="S124" s="9">
        <v>43600.3821296296</v>
      </c>
      <c r="T124" s="9">
        <v>43390.5186342593</v>
      </c>
    </row>
    <row r="125" spans="14:20">
      <c r="N125" s="7" t="str">
        <f>HYPERLINK("E:\附赠：Excel模板\Excel office官方模板\客户管理 服务\车辆日志.xltx","车辆日志.xltx")</f>
        <v>车辆日志.xltx</v>
      </c>
      <c r="Q125">
        <v>0.05</v>
      </c>
      <c r="R125" s="7" t="str">
        <f t="shared" si="3"/>
        <v>E:\附赠：Excel模板\Excel office官方模板\客户管理 服务</v>
      </c>
      <c r="S125" s="9">
        <v>43600.3821296296</v>
      </c>
      <c r="T125" s="9">
        <v>43390.5186574074</v>
      </c>
    </row>
    <row r="126" spans="14:20">
      <c r="N126" s="7" t="str">
        <f>HYPERLINK("E:\附赠：Excel模板\Excel office官方模板\客户管理 服务\车辆服务记录.xltx","车辆服务记录.xltx")</f>
        <v>车辆服务记录.xltx</v>
      </c>
      <c r="Q126">
        <v>0.01</v>
      </c>
      <c r="R126" s="7" t="str">
        <f t="shared" si="3"/>
        <v>E:\附赠：Excel模板\Excel office官方模板\客户管理 服务</v>
      </c>
      <c r="S126" s="9">
        <v>43600.3821296296</v>
      </c>
      <c r="T126" s="9">
        <v>43390.5186574074</v>
      </c>
    </row>
    <row r="127" spans="14:20">
      <c r="N127" t="s">
        <v>15</v>
      </c>
      <c r="Q127" t="s">
        <v>15</v>
      </c>
      <c r="R127" t="s">
        <v>15</v>
      </c>
      <c r="S127" t="s">
        <v>15</v>
      </c>
      <c r="T127" t="s">
        <v>15</v>
      </c>
    </row>
    <row r="128" spans="14:20">
      <c r="N128" s="7" t="str">
        <f>HYPERLINK("E:\附赠：Excel模板\Excel office官方模板\教育\体育赛事报名表.xltx","体育赛事报名表.xltx")</f>
        <v>体育赛事报名表.xltx</v>
      </c>
      <c r="Q128">
        <v>0.02</v>
      </c>
      <c r="R128" s="7" t="str">
        <f t="shared" ref="R128:R138" si="4">HYPERLINK("E:\附赠：Excel模板\Excel office官方模板\教育","E:\附赠：Excel模板\Excel office官方模板\教育")</f>
        <v>E:\附赠：Excel模板\Excel office官方模板\教育</v>
      </c>
      <c r="S128" s="9">
        <v>43600.3821296296</v>
      </c>
      <c r="T128" s="9">
        <v>43390.5186574074</v>
      </c>
    </row>
    <row r="129" spans="14:20">
      <c r="N129" s="7" t="str">
        <f>HYPERLINK("E:\附赠：Excel模板\Excel office官方模板\教育\图书收藏清单.xltx","图书收藏清单.xltx")</f>
        <v>图书收藏清单.xltx</v>
      </c>
      <c r="Q129">
        <v>0.02</v>
      </c>
      <c r="R129" s="7" t="str">
        <f t="shared" si="4"/>
        <v>E:\附赠：Excel模板\Excel office官方模板\教育</v>
      </c>
      <c r="S129" s="9">
        <v>43600.3821296296</v>
      </c>
      <c r="T129" s="9">
        <v>43390.5186574074</v>
      </c>
    </row>
    <row r="130" spans="14:20">
      <c r="N130" s="7" t="str">
        <f>HYPERLINK("E:\附赠：Excel模板\Excel office官方模板\教育\学生作业规划器.xltx","学生作业规划器.xltx")</f>
        <v>学生作业规划器.xltx</v>
      </c>
      <c r="Q130">
        <v>0.03</v>
      </c>
      <c r="R130" s="7" t="str">
        <f t="shared" si="4"/>
        <v>E:\附赠：Excel模板\Excel office官方模板\教育</v>
      </c>
      <c r="S130" s="9">
        <v>43600.3821296296</v>
      </c>
      <c r="T130" s="9">
        <v>43390.5186574074</v>
      </c>
    </row>
    <row r="131" spans="14:20">
      <c r="N131" s="7" t="str">
        <f>HYPERLINK("E:\附赠：Excel模板\Excel office官方模板\教育\学生的教室出入日志.xltx","学生的教室出入日志.xltx")</f>
        <v>学生的教室出入日志.xltx</v>
      </c>
      <c r="Q131">
        <v>0.02</v>
      </c>
      <c r="R131" s="7" t="str">
        <f t="shared" si="4"/>
        <v>E:\附赠：Excel模板\Excel office官方模板\教育</v>
      </c>
      <c r="S131" s="9">
        <v>43600.3821296296</v>
      </c>
      <c r="T131" s="9">
        <v>43390.5186574074</v>
      </c>
    </row>
    <row r="132" spans="14:20">
      <c r="N132" s="7" t="str">
        <f>HYPERLINK("E:\附赠：Excel模板\Excel office官方模板\教育\学生课程安排.xltx","学生课程安排.xltx")</f>
        <v>学生课程安排.xltx</v>
      </c>
      <c r="Q132">
        <v>0.03</v>
      </c>
      <c r="R132" s="7" t="str">
        <f t="shared" si="4"/>
        <v>E:\附赠：Excel模板\Excel office官方模板\教育</v>
      </c>
      <c r="S132" s="9">
        <v>43600.3821296296</v>
      </c>
      <c r="T132" s="9">
        <v>43390.5186574074</v>
      </c>
    </row>
    <row r="133" spans="14:20">
      <c r="N133" s="7" t="str">
        <f>HYPERLINK("E:\附赠：Excel模板\Excel office官方模板\教育\教师待办事项列表.xltx","教师待办事项列表.xltx")</f>
        <v>教师待办事项列表.xltx</v>
      </c>
      <c r="Q133">
        <v>0.03</v>
      </c>
      <c r="R133" s="7" t="str">
        <f t="shared" si="4"/>
        <v>E:\附赠：Excel模板\Excel office官方模板\教育</v>
      </c>
      <c r="S133" s="9">
        <v>43600.3821296296</v>
      </c>
      <c r="T133" s="9">
        <v>43390.5186805556</v>
      </c>
    </row>
    <row r="134" spans="14:20">
      <c r="N134" s="7" t="str">
        <f>HYPERLINK("E:\附赠：Excel模板\Excel office官方模板\教育\校历.xltx","校历.xltx")</f>
        <v>校历.xltx</v>
      </c>
      <c r="Q134">
        <v>0.02</v>
      </c>
      <c r="R134" s="7" t="str">
        <f t="shared" si="4"/>
        <v>E:\附赠：Excel模板\Excel office官方模板\教育</v>
      </c>
      <c r="S134" s="9">
        <v>43600.3821296296</v>
      </c>
      <c r="T134" s="9">
        <v>43390.5186805556</v>
      </c>
    </row>
    <row r="135" spans="14:20">
      <c r="N135" s="7" t="str">
        <f>HYPERLINK("E:\附赠：Excel模板\Excel office官方模板\教育\每周大学日程.xltm","每周大学日程.xltm")</f>
        <v>每周大学日程.xltm</v>
      </c>
      <c r="Q135">
        <v>0.05</v>
      </c>
      <c r="R135" s="7" t="str">
        <f t="shared" si="4"/>
        <v>E:\附赠：Excel模板\Excel office官方模板\教育</v>
      </c>
      <c r="S135" s="9">
        <v>43600.3821296296</v>
      </c>
      <c r="T135" s="9">
        <v>43390.5186574074</v>
      </c>
    </row>
    <row r="136" spans="14:20">
      <c r="N136" s="7" t="str">
        <f>HYPERLINK("E:\附赠：Excel模板\Excel office官方模板\教育\每周学生出勤记录.xlt","每周学生出勤记录.xlt")</f>
        <v>每周学生出勤记录.xlt</v>
      </c>
      <c r="Q136">
        <v>0.02</v>
      </c>
      <c r="R136" s="7" t="str">
        <f t="shared" si="4"/>
        <v>E:\附赠：Excel模板\Excel office官方模板\教育</v>
      </c>
      <c r="S136" s="9">
        <v>43600.3821296296</v>
      </c>
      <c r="T136" s="9">
        <v>43390.5186805556</v>
      </c>
    </row>
    <row r="137" spans="14:20">
      <c r="N137" s="7" t="str">
        <f>HYPERLINK("E:\附赠：Excel模板\Excel office官方模板\教育\班级花名册.xltx","班级花名册.xltx")</f>
        <v>班级花名册.xltx</v>
      </c>
      <c r="Q137">
        <v>0.34</v>
      </c>
      <c r="R137" s="7" t="str">
        <f t="shared" si="4"/>
        <v>E:\附赠：Excel模板\Excel office官方模板\教育</v>
      </c>
      <c r="S137" s="9">
        <v>43600.3821296296</v>
      </c>
      <c r="T137" s="9">
        <v>43390.5186805556</v>
      </c>
    </row>
    <row r="138" spans="14:20">
      <c r="N138" s="7" t="str">
        <f>HYPERLINK("E:\附赠：Excel模板\Excel office官方模板\教育\返校清单.xlsx","返校清单.xlsx")</f>
        <v>返校清单.xlsx</v>
      </c>
      <c r="Q138">
        <v>0.01</v>
      </c>
      <c r="R138" s="7" t="str">
        <f t="shared" si="4"/>
        <v>E:\附赠：Excel模板\Excel office官方模板\教育</v>
      </c>
      <c r="S138" s="9">
        <v>43600.3821296296</v>
      </c>
      <c r="T138" s="9">
        <v>43390.5186574074</v>
      </c>
    </row>
    <row r="139" spans="14:20">
      <c r="N139" t="s">
        <v>15</v>
      </c>
      <c r="Q139" t="s">
        <v>15</v>
      </c>
      <c r="R139" t="s">
        <v>15</v>
      </c>
      <c r="S139" t="s">
        <v>15</v>
      </c>
      <c r="T139" t="s">
        <v>15</v>
      </c>
    </row>
    <row r="140" spans="14:20">
      <c r="N140" s="7" t="str">
        <f>HYPERLINK("E:\附赠：Excel模板\Excel office官方模板\日历\任意年费消费日历.xltx","任意年费消费日历.xltx")</f>
        <v>任意年费消费日历.xltx</v>
      </c>
      <c r="Q140">
        <v>0.08</v>
      </c>
      <c r="R140" s="7" t="str">
        <f>HYPERLINK("E:\附赠：Excel模板\Excel office官方模板\日历","E:\附赠：Excel模板\Excel office官方模板\日历")</f>
        <v>E:\附赠：Excel模板\Excel office官方模板\日历</v>
      </c>
      <c r="S140" s="9">
        <v>43600.3821296296</v>
      </c>
      <c r="T140" s="9">
        <v>43390.5186342593</v>
      </c>
    </row>
    <row r="141" spans="14:20">
      <c r="N141" s="7" t="str">
        <f>HYPERLINK("E:\附赠：Excel模板\Excel office官方模板\日历\日历.xlsx","日历.xlsx")</f>
        <v>日历.xlsx</v>
      </c>
      <c r="Q141">
        <v>0.04</v>
      </c>
      <c r="R141" s="7" t="str">
        <f>HYPERLINK("E:\附赠：Excel模板\Excel office官方模板\日历","E:\附赠：Excel模板\Excel office官方模板\日历")</f>
        <v>E:\附赠：Excel模板\Excel office官方模板\日历</v>
      </c>
      <c r="S141" s="9">
        <v>43600.3821296296</v>
      </c>
      <c r="T141" s="9">
        <v>43390.5186342593</v>
      </c>
    </row>
    <row r="142" spans="14:20">
      <c r="N142" s="7" t="str">
        <f>HYPERLINK("E:\附赠：Excel模板\Excel office官方模板\日历\校历.xltx","校历.xltx")</f>
        <v>校历.xltx</v>
      </c>
      <c r="Q142">
        <v>0.02</v>
      </c>
      <c r="R142" s="7" t="str">
        <f>HYPERLINK("E:\附赠：Excel模板\Excel office官方模板\日历","E:\附赠：Excel模板\Excel office官方模板\日历")</f>
        <v>E:\附赠：Excel模板\Excel office官方模板\日历</v>
      </c>
      <c r="S142" s="9">
        <v>43600.3821296296</v>
      </c>
      <c r="T142" s="9">
        <v>43390.5186111111</v>
      </c>
    </row>
    <row r="143" spans="14:20">
      <c r="N143" s="7" t="str">
        <f>HYPERLINK("E:\附赠：Excel模板\Excel office官方模板\日历\趣味日历.xltx","趣味日历.xltx")</f>
        <v>趣味日历.xltx</v>
      </c>
      <c r="Q143">
        <v>0.09</v>
      </c>
      <c r="R143" s="7" t="str">
        <f>HYPERLINK("E:\附赠：Excel模板\Excel office官方模板\日历","E:\附赠：Excel模板\Excel office官方模板\日历")</f>
        <v>E:\附赠：Excel模板\Excel office官方模板\日历</v>
      </c>
      <c r="S143" s="9">
        <v>43600.3821296296</v>
      </c>
      <c r="T143" s="9">
        <v>43390.5186342593</v>
      </c>
    </row>
    <row r="144" spans="14:20">
      <c r="N144" t="s">
        <v>15</v>
      </c>
      <c r="Q144" t="s">
        <v>15</v>
      </c>
      <c r="R144" t="s">
        <v>15</v>
      </c>
      <c r="S144" t="s">
        <v>15</v>
      </c>
      <c r="T144" t="s">
        <v>15</v>
      </c>
    </row>
    <row r="145" spans="14:20">
      <c r="N145" s="7" t="str">
        <f>HYPERLINK("E:\附赠：Excel模板\Excel office官方模板\行程 规划 事项列表 清单\个人清单.xltx","个人清单.xltx")</f>
        <v>个人清单.xltx</v>
      </c>
      <c r="Q145">
        <v>0.01</v>
      </c>
      <c r="R145" s="7" t="str">
        <f t="shared" ref="R145:R199" si="5">HYPERLINK("E:\附赠：Excel模板\Excel office官方模板\行程 规划 事项列表 清单","E:\附赠：Excel模板\Excel office官方模板\行程 规划 事项列表 清单")</f>
        <v>E:\附赠：Excel模板\Excel office官方模板\行程 规划 事项列表 清单</v>
      </c>
      <c r="S145" s="9">
        <v>43600.3821296296</v>
      </c>
      <c r="T145" s="9">
        <v>43390.5186111111</v>
      </c>
    </row>
    <row r="146" spans="14:20">
      <c r="N146" s="7" t="str">
        <f>HYPERLINK("E:\附赠：Excel模板\Excel office官方模板\行程 规划 事项列表 清单\假日礼品清单.xltx","假日礼品清单.xltx")</f>
        <v>假日礼品清单.xltx</v>
      </c>
      <c r="Q146">
        <v>0.02</v>
      </c>
      <c r="R146" s="7" t="str">
        <f t="shared" si="5"/>
        <v>E:\附赠：Excel模板\Excel office官方模板\行程 规划 事项列表 清单</v>
      </c>
      <c r="S146" s="9">
        <v>43600.3821296296</v>
      </c>
      <c r="T146" s="9">
        <v>43390.518587963</v>
      </c>
    </row>
    <row r="147" spans="14:20">
      <c r="N147" s="7" t="str">
        <f>HYPERLINK("E:\附赠：Excel模板\Excel office官方模板\行程 规划 事项列表 清单\出行规划表.xlsx","出行规划表.xlsx")</f>
        <v>出行规划表.xlsx</v>
      </c>
      <c r="Q147">
        <v>0.07</v>
      </c>
      <c r="R147" s="7" t="str">
        <f t="shared" si="5"/>
        <v>E:\附赠：Excel模板\Excel office官方模板\行程 规划 事项列表 清单</v>
      </c>
      <c r="S147" s="9">
        <v>43600.3821296296</v>
      </c>
      <c r="T147" s="9">
        <v>43390.5186111111</v>
      </c>
    </row>
    <row r="148" spans="14:20">
      <c r="N148" s="7" t="str">
        <f>HYPERLINK("E:\附赠：Excel模板\Excel office官方模板\行程 规划 事项列表 清单\制作清单.xlsx","制作清单.xlsx")</f>
        <v>制作清单.xlsx</v>
      </c>
      <c r="Q148">
        <v>0.01</v>
      </c>
      <c r="R148" s="7" t="str">
        <f t="shared" si="5"/>
        <v>E:\附赠：Excel模板\Excel office官方模板\行程 规划 事项列表 清单</v>
      </c>
      <c r="S148" s="9">
        <v>43600.3821296296</v>
      </c>
      <c r="T148" s="9">
        <v>43390.5185185185</v>
      </c>
    </row>
    <row r="149" spans="14:20">
      <c r="N149" s="7" t="str">
        <f>HYPERLINK("E:\附赠：Excel模板\Excel office官方模板\行程 规划 事项列表 清单\可调整的会议日程.xltx","可调整的会议日程.xltx")</f>
        <v>可调整的会议日程.xltx</v>
      </c>
      <c r="Q149">
        <v>0.04</v>
      </c>
      <c r="R149" s="7" t="str">
        <f t="shared" si="5"/>
        <v>E:\附赠：Excel模板\Excel office官方模板\行程 规划 事项列表 清单</v>
      </c>
      <c r="S149" s="9">
        <v>43600.3821296296</v>
      </c>
      <c r="T149" s="9">
        <v>43390.518587963</v>
      </c>
    </row>
    <row r="150" spans="14:20">
      <c r="N150" s="7" t="str">
        <f>HYPERLINK("E:\附赠：Excel模板\Excel office官方模板\行程 规划 事项列表 清单\员工出勤跟踪表.xltx","员工出勤跟踪表.xltx")</f>
        <v>员工出勤跟踪表.xltx</v>
      </c>
      <c r="Q150">
        <v>0.04</v>
      </c>
      <c r="R150" s="7" t="str">
        <f t="shared" si="5"/>
        <v>E:\附赠：Excel模板\Excel office官方模板\行程 规划 事项列表 清单</v>
      </c>
      <c r="S150" s="9">
        <v>43600.3821296296</v>
      </c>
      <c r="T150" s="9">
        <v>43390.5185416667</v>
      </c>
    </row>
    <row r="151" spans="14:20">
      <c r="N151" s="7" t="str">
        <f>HYPERLINK("E:\附赠：Excel模板\Excel office官方模板\行程 规划 事项列表 清单\员工培训跟踪器.xltx","员工培训跟踪器.xltx")</f>
        <v>员工培训跟踪器.xltx</v>
      </c>
      <c r="Q151">
        <v>0.04</v>
      </c>
      <c r="R151" s="7" t="str">
        <f t="shared" si="5"/>
        <v>E:\附赠：Excel模板\Excel office官方模板\行程 规划 事项列表 清单</v>
      </c>
      <c r="S151" s="9">
        <v>43600.3821296296</v>
      </c>
      <c r="T151" s="9">
        <v>43390.5185185185</v>
      </c>
    </row>
    <row r="152" spans="14:20">
      <c r="N152" s="7" t="str">
        <f>HYPERLINK("E:\附赠：Excel模板\Excel office官方模板\行程 规划 事项列表 清单\员工换班日程.xltx","员工换班日程.xltx")</f>
        <v>员工换班日程.xltx</v>
      </c>
      <c r="Q152">
        <v>0.07</v>
      </c>
      <c r="R152" s="7" t="str">
        <f t="shared" si="5"/>
        <v>E:\附赠：Excel模板\Excel office官方模板\行程 规划 事项列表 清单</v>
      </c>
      <c r="S152" s="9">
        <v>43600.3821296296</v>
      </c>
      <c r="T152" s="9">
        <v>43390.5185416667</v>
      </c>
    </row>
    <row r="153" spans="14:20">
      <c r="N153" s="7" t="str">
        <f>HYPERLINK("E:\附赠：Excel模板\Excel office官方模板\行程 规划 事项列表 清单\商业规划清单.xltx","商业规划清单.xltx")</f>
        <v>商业规划清单.xltx</v>
      </c>
      <c r="Q153">
        <v>0.01</v>
      </c>
      <c r="R153" s="7" t="str">
        <f t="shared" si="5"/>
        <v>E:\附赠：Excel模板\Excel office官方模板\行程 规划 事项列表 清单</v>
      </c>
      <c r="S153" s="9">
        <v>43600.3821296296</v>
      </c>
      <c r="T153" s="9">
        <v>43390.5185648148</v>
      </c>
    </row>
    <row r="154" spans="14:20">
      <c r="N154" s="7" t="str">
        <f>HYPERLINK("E:\附赠：Excel模板\Excel office官方模板\行程 规划 事项列表 清单\园区绿化一览表.xlt","园区绿化一览表.xlt")</f>
        <v>园区绿化一览表.xlt</v>
      </c>
      <c r="Q154">
        <v>0.07</v>
      </c>
      <c r="R154" s="7" t="str">
        <f t="shared" si="5"/>
        <v>E:\附赠：Excel模板\Excel office官方模板\行程 规划 事项列表 清单</v>
      </c>
      <c r="S154" s="9">
        <v>43600.3821296296</v>
      </c>
      <c r="T154" s="9">
        <v>43390.5185416667</v>
      </c>
    </row>
    <row r="155" spans="14:20">
      <c r="N155" s="7" t="str">
        <f>HYPERLINK("E:\附赠：Excel模板\Excel office官方模板\行程 规划 事项列表 清单\图书清单.xlt","图书清单.xlt")</f>
        <v>图书清单.xlt</v>
      </c>
      <c r="Q155">
        <v>0.05</v>
      </c>
      <c r="R155" s="7" t="str">
        <f t="shared" si="5"/>
        <v>E:\附赠：Excel模板\Excel office官方模板\行程 规划 事项列表 清单</v>
      </c>
      <c r="S155" s="9">
        <v>43600.3821296296</v>
      </c>
      <c r="T155" s="9">
        <v>43390.5185648148</v>
      </c>
    </row>
    <row r="156" spans="14:20">
      <c r="N156" s="7" t="str">
        <f>HYPERLINK("E:\附赠：Excel模板\Excel office官方模板\行程 规划 事项列表 清单\基本的客户联系人列表.xltx","基本的客户联系人列表.xltx")</f>
        <v>基本的客户联系人列表.xltx</v>
      </c>
      <c r="Q156">
        <v>0.01</v>
      </c>
      <c r="R156" s="7" t="str">
        <f t="shared" si="5"/>
        <v>E:\附赠：Excel模板\Excel office官方模板\行程 规划 事项列表 清单</v>
      </c>
      <c r="S156" s="9">
        <v>43600.3821296296</v>
      </c>
      <c r="T156" s="9">
        <v>43390.518587963</v>
      </c>
    </row>
    <row r="157" spans="14:20">
      <c r="N157" s="7" t="str">
        <f>HYPERLINK("E:\附赠：Excel模板\Excel office官方模板\行程 规划 事项列表 清单\婚姻程序.xlsx","婚姻程序.xlsx")</f>
        <v>婚姻程序.xlsx</v>
      </c>
      <c r="Q157">
        <v>0.04</v>
      </c>
      <c r="R157" s="7" t="str">
        <f t="shared" si="5"/>
        <v>E:\附赠：Excel模板\Excel office官方模板\行程 规划 事项列表 清单</v>
      </c>
      <c r="S157" s="9">
        <v>43600.3821296296</v>
      </c>
      <c r="T157" s="9">
        <v>43390.518587963</v>
      </c>
    </row>
    <row r="158" spans="14:20">
      <c r="N158" s="7" t="str">
        <f>HYPERLINK("E:\附赠：Excel模板\Excel office官方模板\行程 规划 事项列表 清单\学生作业规划器.xltx","学生作业规划器.xltx")</f>
        <v>学生作业规划器.xltx</v>
      </c>
      <c r="Q158">
        <v>0.03</v>
      </c>
      <c r="R158" s="7" t="str">
        <f t="shared" si="5"/>
        <v>E:\附赠：Excel模板\Excel office官方模板\行程 规划 事项列表 清单</v>
      </c>
      <c r="S158" s="9">
        <v>43600.3821296296</v>
      </c>
      <c r="T158" s="9">
        <v>43390.5185416667</v>
      </c>
    </row>
    <row r="159" spans="14:20">
      <c r="N159" s="7" t="str">
        <f>HYPERLINK("E:\附赠：Excel模板\Excel office官方模板\行程 规划 事项列表 清单\学生出勤记录.xltx","学生出勤记录.xltx")</f>
        <v>学生出勤记录.xltx</v>
      </c>
      <c r="Q159">
        <v>0.16</v>
      </c>
      <c r="R159" s="7" t="str">
        <f t="shared" si="5"/>
        <v>E:\附赠：Excel模板\Excel office官方模板\行程 规划 事项列表 清单</v>
      </c>
      <c r="S159" s="9">
        <v>43600.3821296296</v>
      </c>
      <c r="T159" s="9">
        <v>43390.5185416667</v>
      </c>
    </row>
    <row r="160" spans="14:20">
      <c r="N160" s="7" t="str">
        <f>HYPERLINK("E:\附赠：Excel模板\Excel office官方模板\行程 规划 事项列表 清单\学生课程安排.xltx","学生课程安排.xltx")</f>
        <v>学生课程安排.xltx</v>
      </c>
      <c r="Q160">
        <v>0.03</v>
      </c>
      <c r="R160" s="7" t="str">
        <f t="shared" si="5"/>
        <v>E:\附赠：Excel模板\Excel office官方模板\行程 规划 事项列表 清单</v>
      </c>
      <c r="S160" s="9">
        <v>43600.3821296296</v>
      </c>
      <c r="T160" s="9">
        <v>43390.5185416667</v>
      </c>
    </row>
    <row r="161" spans="14:20">
      <c r="N161" s="7" t="str">
        <f>HYPERLINK("E:\附赠：Excel模板\Excel office官方模板\行程 规划 事项列表 清单\室内清洁清单.xltx","室内清洁清单.xltx")</f>
        <v>室内清洁清单.xltx</v>
      </c>
      <c r="Q161">
        <v>0.31</v>
      </c>
      <c r="R161" s="7" t="str">
        <f t="shared" si="5"/>
        <v>E:\附赠：Excel模板\Excel office官方模板\行程 规划 事项列表 清单</v>
      </c>
      <c r="S161" s="9">
        <v>43600.3821296296</v>
      </c>
      <c r="T161" s="9">
        <v>43390.518587963</v>
      </c>
    </row>
    <row r="162" spans="14:20">
      <c r="N162" s="7" t="str">
        <f>HYPERLINK("E:\附赠：Excel模板\Excel office官方模板\行程 规划 事项列表 清单\家用品清单.xltx","家用品清单.xltx")</f>
        <v>家用品清单.xltx</v>
      </c>
      <c r="Q162">
        <v>0.08</v>
      </c>
      <c r="R162" s="7" t="str">
        <f t="shared" si="5"/>
        <v>E:\附赠：Excel模板\Excel office官方模板\行程 规划 事项列表 清单</v>
      </c>
      <c r="S162" s="9">
        <v>43600.3821296296</v>
      </c>
      <c r="T162" s="9">
        <v>43390.518587963</v>
      </c>
    </row>
    <row r="163" spans="14:20">
      <c r="N163" s="7" t="str">
        <f>HYPERLINK("E:\附赠：Excel模板\Excel office官方模板\行程 规划 事项列表 清单\小组旅行待办事项列表 (1).xlsx","小组旅行待办事项列表 (1).xlsx")</f>
        <v>小组旅行待办事项列表 (1).xlsx</v>
      </c>
      <c r="Q163">
        <v>0.01</v>
      </c>
      <c r="R163" s="7" t="str">
        <f t="shared" si="5"/>
        <v>E:\附赠：Excel模板\Excel office官方模板\行程 规划 事项列表 清单</v>
      </c>
      <c r="S163" s="9">
        <v>43600.3821296296</v>
      </c>
      <c r="T163" s="9">
        <v>43390.5185648148</v>
      </c>
    </row>
    <row r="164" spans="14:20">
      <c r="N164" s="7" t="str">
        <f>HYPERLINK("E:\附赠：Excel模板\Excel office官方模板\行程 规划 事项列表 清单\小组旅行待办事项列表.xlsx","小组旅行待办事项列表.xlsx")</f>
        <v>小组旅行待办事项列表.xlsx</v>
      </c>
      <c r="Q164">
        <v>0.01</v>
      </c>
      <c r="R164" s="7" t="str">
        <f t="shared" si="5"/>
        <v>E:\附赠：Excel模板\Excel office官方模板\行程 规划 事项列表 清单</v>
      </c>
      <c r="S164" s="9">
        <v>43600.3821296296</v>
      </c>
      <c r="T164" s="9">
        <v>43390.5185648148</v>
      </c>
    </row>
    <row r="165" spans="14:20">
      <c r="N165" s="7" t="str">
        <f>HYPERLINK("E:\附赠：Excel模板\Excel office官方模板\行程 规划 事项列表 清单\小组项目任务列表.xlsx","小组项目任务列表.xlsx")</f>
        <v>小组项目任务列表.xlsx</v>
      </c>
      <c r="Q165">
        <v>0.01</v>
      </c>
      <c r="R165" s="7" t="str">
        <f t="shared" si="5"/>
        <v>E:\附赠：Excel模板\Excel office官方模板\行程 规划 事项列表 清单</v>
      </c>
      <c r="S165" s="9">
        <v>43600.3821296296</v>
      </c>
      <c r="T165" s="9">
        <v>43390.5185416667</v>
      </c>
    </row>
    <row r="166" spans="14:20">
      <c r="N166" s="7" t="str">
        <f>HYPERLINK("E:\附赠：Excel模板\Excel office官方模板\行程 规划 事项列表 清单\工作分配计划.xltx","工作分配计划.xltx")</f>
        <v>工作分配计划.xltx</v>
      </c>
      <c r="Q166">
        <v>0.2</v>
      </c>
      <c r="R166" s="7" t="str">
        <f t="shared" si="5"/>
        <v>E:\附赠：Excel模板\Excel office官方模板\行程 规划 事项列表 清单</v>
      </c>
      <c r="S166" s="9">
        <v>43600.3821296296</v>
      </c>
      <c r="T166" s="9">
        <v>43390.5186111111</v>
      </c>
    </row>
    <row r="167" spans="14:20">
      <c r="N167" s="7" t="str">
        <f>HYPERLINK("E:\附赠：Excel模板\Excel office官方模板\行程 规划 事项列表 清单\工作通知单跟踪器.xltx","工作通知单跟踪器.xltx")</f>
        <v>工作通知单跟踪器.xltx</v>
      </c>
      <c r="Q167">
        <v>0.04</v>
      </c>
      <c r="R167" s="7" t="str">
        <f t="shared" si="5"/>
        <v>E:\附赠：Excel模板\Excel office官方模板\行程 规划 事项列表 清单</v>
      </c>
      <c r="S167" s="9">
        <v>43600.3821296296</v>
      </c>
      <c r="T167" s="9">
        <v>43390.5186111111</v>
      </c>
    </row>
    <row r="168" spans="14:20">
      <c r="N168" s="7" t="str">
        <f>HYPERLINK("E:\附赠：Excel模板\Excel office官方模板\行程 规划 事项列表 清单\带图表的汽油里程日志.xltx","带图表的汽油里程日志.xltx")</f>
        <v>带图表的汽油里程日志.xltx</v>
      </c>
      <c r="Q168">
        <v>0.06</v>
      </c>
      <c r="R168" s="7" t="str">
        <f t="shared" si="5"/>
        <v>E:\附赠：Excel模板\Excel office官方模板\行程 规划 事项列表 清单</v>
      </c>
      <c r="S168" s="9">
        <v>43600.3821296296</v>
      </c>
      <c r="T168" s="9">
        <v>43390.5186111111</v>
      </c>
    </row>
    <row r="169" spans="14:20">
      <c r="N169" s="7" t="str">
        <f>HYPERLINK("E:\附赠：Excel模板\Excel office官方模板\行程 规划 事项列表 清单\带有期限的信贷管理.xltx","带有期限的信贷管理.xltx")</f>
        <v>带有期限的信贷管理.xltx</v>
      </c>
      <c r="Q169">
        <v>0.04</v>
      </c>
      <c r="R169" s="7" t="str">
        <f t="shared" si="5"/>
        <v>E:\附赠：Excel模板\Excel office官方模板\行程 规划 事项列表 清单</v>
      </c>
      <c r="S169" s="9">
        <v>43600.3821296296</v>
      </c>
      <c r="T169" s="9">
        <v>43390.5186111111</v>
      </c>
    </row>
    <row r="170" spans="14:20">
      <c r="N170" s="7" t="str">
        <f>HYPERLINK("E:\附赠：Excel模板\Excel office官方模板\行程 规划 事项列表 清单\带菜单的晚宴清单.xltx","带菜单的晚宴清单.xltx")</f>
        <v>带菜单的晚宴清单.xltx</v>
      </c>
      <c r="Q170">
        <v>0.03</v>
      </c>
      <c r="R170" s="7" t="str">
        <f t="shared" si="5"/>
        <v>E:\附赠：Excel模板\Excel office官方模板\行程 规划 事项列表 清单</v>
      </c>
      <c r="S170" s="9">
        <v>43600.3821296296</v>
      </c>
      <c r="T170" s="9">
        <v>43390.5186342593</v>
      </c>
    </row>
    <row r="171" spans="14:20">
      <c r="N171" s="7" t="str">
        <f>HYPERLINK("E:\附赠：Excel模板\Excel office官方模板\行程 规划 事项列表 清单\带进度跟踪表的待办事项列表.xltx","带进度跟踪表的待办事项列表.xltx")</f>
        <v>带进度跟踪表的待办事项列表.xltx</v>
      </c>
      <c r="Q171">
        <v>0.01</v>
      </c>
      <c r="R171" s="7" t="str">
        <f t="shared" si="5"/>
        <v>E:\附赠：Excel模板\Excel office官方模板\行程 规划 事项列表 清单</v>
      </c>
      <c r="S171" s="9">
        <v>43600.3821296296</v>
      </c>
      <c r="T171" s="9">
        <v>43390.5186111111</v>
      </c>
    </row>
    <row r="172" spans="14:20">
      <c r="N172" s="7" t="str">
        <f>HYPERLINK("E:\附赠：Excel模板\Excel office官方模板\行程 规划 事项列表 清单\应聘者信息及对照表.xlt","应聘者信息及对照表.xlt")</f>
        <v>应聘者信息及对照表.xlt</v>
      </c>
      <c r="Q172">
        <v>0.05</v>
      </c>
      <c r="R172" s="7" t="str">
        <f t="shared" si="5"/>
        <v>E:\附赠：Excel模板\Excel office官方模板\行程 规划 事项列表 清单</v>
      </c>
      <c r="S172" s="9">
        <v>43600.3821296296</v>
      </c>
      <c r="T172" s="9">
        <v>43390.5185416667</v>
      </c>
    </row>
    <row r="173" spans="14:20">
      <c r="N173" s="7" t="str">
        <f>HYPERLINK("E:\附赠：Excel模板\Excel office官方模板\行程 规划 事项列表 清单\度假项目核对清单.xltm","度假项目核对清单.xltm")</f>
        <v>度假项目核对清单.xltm</v>
      </c>
      <c r="Q173">
        <v>0.27</v>
      </c>
      <c r="R173" s="7" t="str">
        <f t="shared" si="5"/>
        <v>E:\附赠：Excel模板\Excel office官方模板\行程 规划 事项列表 清单</v>
      </c>
      <c r="S173" s="9">
        <v>43600.3821296296</v>
      </c>
      <c r="T173" s="9">
        <v>43390.5186111111</v>
      </c>
    </row>
    <row r="174" spans="14:20">
      <c r="N174" s="7" t="str">
        <f>HYPERLINK("E:\附赠：Excel模板\Excel office官方模板\行程 规划 事项列表 清单\待办事项列表.xltm","待办事项列表.xltm")</f>
        <v>待办事项列表.xltm</v>
      </c>
      <c r="Q174">
        <v>0.13</v>
      </c>
      <c r="R174" s="7" t="str">
        <f t="shared" si="5"/>
        <v>E:\附赠：Excel模板\Excel office官方模板\行程 规划 事项列表 清单</v>
      </c>
      <c r="S174" s="9">
        <v>43600.3821296296</v>
      </c>
      <c r="T174" s="9">
        <v>43390.5186574074</v>
      </c>
    </row>
    <row r="175" spans="14:20">
      <c r="N175" s="7" t="str">
        <f>HYPERLINK("E:\附赠：Excel模板\Excel office官方模板\行程 规划 事项列表 清单\总计列表.xlsx","总计列表.xlsx")</f>
        <v>总计列表.xlsx</v>
      </c>
      <c r="Q175">
        <v>0.01</v>
      </c>
      <c r="R175" s="7" t="str">
        <f t="shared" si="5"/>
        <v>E:\附赠：Excel模板\Excel office官方模板\行程 规划 事项列表 清单</v>
      </c>
      <c r="S175" s="9">
        <v>43600.3821296296</v>
      </c>
      <c r="T175" s="9">
        <v>43390.5185185185</v>
      </c>
    </row>
    <row r="176" spans="14:20">
      <c r="N176" s="7" t="str">
        <f>HYPERLINK("E:\附赠：Excel模板\Excel office官方模板\行程 规划 事项列表 清单\房屋维护计划.xlt","房屋维护计划.xlt")</f>
        <v>房屋维护计划.xlt</v>
      </c>
      <c r="Q176">
        <v>0.02</v>
      </c>
      <c r="R176" s="7" t="str">
        <f t="shared" si="5"/>
        <v>E:\附赠：Excel模板\Excel office官方模板\行程 规划 事项列表 清单</v>
      </c>
      <c r="S176" s="9">
        <v>43600.3821296296</v>
      </c>
      <c r="T176" s="9">
        <v>43390.5186111111</v>
      </c>
    </row>
    <row r="177" spans="14:20">
      <c r="N177" s="7" t="str">
        <f>HYPERLINK("E:\附赠：Excel模板\Excel office官方模板\行程 规划 事项列表 清单\搬家清单.xlt","搬家清单.xlt")</f>
        <v>搬家清单.xlt</v>
      </c>
      <c r="Q177">
        <v>1.32</v>
      </c>
      <c r="R177" s="7" t="str">
        <f t="shared" si="5"/>
        <v>E:\附赠：Excel模板\Excel office官方模板\行程 规划 事项列表 清单</v>
      </c>
      <c r="S177" s="9">
        <v>43600.3821296296</v>
      </c>
      <c r="T177" s="9">
        <v>43390.5186342593</v>
      </c>
    </row>
    <row r="178" spans="14:20">
      <c r="N178" s="7" t="str">
        <f>HYPERLINK("E:\附赠：Excel模板\Excel office官方模板\行程 规划 事项列表 清单\日用杂货清单.xlsx","日用杂货清单.xlsx")</f>
        <v>日用杂货清单.xlsx</v>
      </c>
      <c r="Q178">
        <v>0.49</v>
      </c>
      <c r="R178" s="7" t="str">
        <f t="shared" si="5"/>
        <v>E:\附赠：Excel模板\Excel office官方模板\行程 规划 事项列表 清单</v>
      </c>
      <c r="S178" s="9">
        <v>43600.3821296296</v>
      </c>
      <c r="T178" s="9">
        <v>43390.518587963</v>
      </c>
    </row>
    <row r="179" spans="14:20">
      <c r="N179" s="7" t="str">
        <f>HYPERLINK("E:\附赠：Excel模板\Excel office官方模板\行程 规划 事项列表 清单\日程表（含里程碑）.xltx","日程表（含里程碑）.xltx")</f>
        <v>日程表（含里程碑）.xltx</v>
      </c>
      <c r="Q179">
        <v>0.04</v>
      </c>
      <c r="R179" s="7" t="str">
        <f t="shared" si="5"/>
        <v>E:\附赠：Excel模板\Excel office官方模板\行程 规划 事项列表 清单</v>
      </c>
      <c r="S179" s="9">
        <v>43600.3821296296</v>
      </c>
      <c r="T179" s="9">
        <v>43390.5185648148</v>
      </c>
    </row>
    <row r="180" spans="14:20">
      <c r="N180" s="7" t="str">
        <f>HYPERLINK("E:\附赠：Excel模板\Excel office官方模板\行程 规划 事项列表 清单\杂货清单.xltx","杂货清单.xltx")</f>
        <v>杂货清单.xltx</v>
      </c>
      <c r="Q180">
        <v>0.04</v>
      </c>
      <c r="R180" s="7" t="str">
        <f t="shared" si="5"/>
        <v>E:\附赠：Excel模板\Excel office官方模板\行程 规划 事项列表 清单</v>
      </c>
      <c r="S180" s="9">
        <v>43600.3821296296</v>
      </c>
      <c r="T180" s="9">
        <v>43390.5185416667</v>
      </c>
    </row>
    <row r="181" spans="14:20">
      <c r="N181" s="7" t="str">
        <f>HYPERLINK("E:\附赠：Excel模板\Excel office官方模板\行程 规划 事项列表 清单\构想规划器（任务）.xlsx","构想规划器（任务）.xlsx")</f>
        <v>构想规划器（任务）.xlsx</v>
      </c>
      <c r="Q181">
        <v>0.02</v>
      </c>
      <c r="R181" s="7" t="str">
        <f t="shared" si="5"/>
        <v>E:\附赠：Excel模板\Excel office官方模板\行程 规划 事项列表 清单</v>
      </c>
      <c r="S181" s="9">
        <v>43600.3821296296</v>
      </c>
      <c r="T181" s="9">
        <v>43390.518587963</v>
      </c>
    </row>
    <row r="182" spans="14:20">
      <c r="N182" s="7" t="str">
        <f>HYPERLINK("E:\附赠：Excel模板\Excel office官方模板\行程 规划 事项列表 清单\每周任务列表.xlsx","每周任务列表.xlsx")</f>
        <v>每周任务列表.xlsx</v>
      </c>
      <c r="Q182">
        <v>0.02</v>
      </c>
      <c r="R182" s="7" t="str">
        <f t="shared" si="5"/>
        <v>E:\附赠：Excel模板\Excel office官方模板\行程 规划 事项列表 清单</v>
      </c>
      <c r="S182" s="9">
        <v>43600.3821296296</v>
      </c>
      <c r="T182" s="9">
        <v>43390.5185648148</v>
      </c>
    </row>
    <row r="183" spans="14:20">
      <c r="N183" s="7" t="str">
        <f>HYPERLINK("E:\附赠：Excel模板\Excel office官方模板\行程 规划 事项列表 清单\每周时间规划器.xltm","每周时间规划器.xltm")</f>
        <v>每周时间规划器.xltm</v>
      </c>
      <c r="Q183">
        <v>0.06</v>
      </c>
      <c r="R183" s="7" t="str">
        <f t="shared" si="5"/>
        <v>E:\附赠：Excel模板\Excel office官方模板\行程 规划 事项列表 清单</v>
      </c>
      <c r="S183" s="9">
        <v>43600.3821296296</v>
      </c>
      <c r="T183" s="9">
        <v>43390.5185648148</v>
      </c>
    </row>
    <row r="184" spans="14:20">
      <c r="N184" s="7" t="str">
        <f>HYPERLINK("E:\附赠：Excel模板\Excel office官方模板\行程 规划 事项列表 清单\每日任务列表.xlsx","每日任务列表.xlsx")</f>
        <v>每日任务列表.xlsx</v>
      </c>
      <c r="Q184">
        <v>0.02</v>
      </c>
      <c r="R184" s="7" t="str">
        <f t="shared" si="5"/>
        <v>E:\附赠：Excel模板\Excel office官方模板\行程 规划 事项列表 清单</v>
      </c>
      <c r="S184" s="9">
        <v>43600.3821296296</v>
      </c>
      <c r="T184" s="9">
        <v>43390.5185648148</v>
      </c>
    </row>
    <row r="185" spans="14:20">
      <c r="N185" s="7" t="str">
        <f>HYPERLINK("E:\附赠：Excel模板\Excel office官方模板\行程 规划 事项列表 清单\每日工作日程.xltx","每日工作日程.xltx")</f>
        <v>每日工作日程.xltx</v>
      </c>
      <c r="Q185">
        <v>0.17</v>
      </c>
      <c r="R185" s="7" t="str">
        <f t="shared" si="5"/>
        <v>E:\附赠：Excel模板\Excel office官方模板\行程 规划 事项列表 清单</v>
      </c>
      <c r="S185" s="9">
        <v>43600.3821296296</v>
      </c>
      <c r="T185" s="9">
        <v>43390.518587963</v>
      </c>
    </row>
    <row r="186" spans="14:20">
      <c r="N186" s="7" t="str">
        <f>HYPERLINK("E:\附赠：Excel模板\Excel office官方模板\行程 规划 事项列表 清单\比较清单.xltx","比较清单.xltx")</f>
        <v>比较清单.xltx</v>
      </c>
      <c r="Q186">
        <v>0.01</v>
      </c>
      <c r="R186" s="7" t="str">
        <f t="shared" si="5"/>
        <v>E:\附赠：Excel模板\Excel office官方模板\行程 规划 事项列表 清单</v>
      </c>
      <c r="S186" s="9">
        <v>43600.3821296296</v>
      </c>
      <c r="T186" s="9">
        <v>43390.5186111111</v>
      </c>
    </row>
    <row r="187" spans="14:20">
      <c r="N187" s="7" t="str">
        <f>HYPERLINK("E:\附赠：Excel模板\Excel office官方模板\行程 规划 事项列表 清单\灵感触发协作.xlsx","灵感触发协作.xlsx")</f>
        <v>灵感触发协作.xlsx</v>
      </c>
      <c r="Q187">
        <v>0.04</v>
      </c>
      <c r="R187" s="7" t="str">
        <f t="shared" si="5"/>
        <v>E:\附赠：Excel模板\Excel office官方模板\行程 规划 事项列表 清单</v>
      </c>
      <c r="S187" s="9">
        <v>43600.3821296296</v>
      </c>
      <c r="T187" s="9">
        <v>43390.518587963</v>
      </c>
    </row>
    <row r="188" spans="14:20">
      <c r="N188" s="7" t="str">
        <f>HYPERLINK("E:\附赠：Excel模板\Excel office官方模板\行程 规划 事项列表 清单\组织结构图（可视）.xltx","组织结构图（可视）.xltx")</f>
        <v>组织结构图（可视）.xltx</v>
      </c>
      <c r="Q188">
        <v>1.28</v>
      </c>
      <c r="R188" s="7" t="str">
        <f t="shared" si="5"/>
        <v>E:\附赠：Excel模板\Excel office官方模板\行程 规划 事项列表 清单</v>
      </c>
      <c r="S188" s="9">
        <v>43600.3821296296</v>
      </c>
      <c r="T188" s="9">
        <v>43390.5185185185</v>
      </c>
    </row>
    <row r="189" spans="14:20">
      <c r="N189" s="7" t="str">
        <f>HYPERLINK("E:\附赠：Excel模板\Excel office官方模板\行程 规划 事项列表 清单\结合swot分析法的商业规划清单.xltx","结合swot分析法的商业规划清单.xltx")</f>
        <v>结合swot分析法的商业规划清单.xltx</v>
      </c>
      <c r="Q189">
        <v>0.01</v>
      </c>
      <c r="R189" s="7" t="str">
        <f t="shared" si="5"/>
        <v>E:\附赠：Excel模板\Excel office官方模板\行程 规划 事项列表 清单</v>
      </c>
      <c r="S189" s="9">
        <v>43600.3821296296</v>
      </c>
      <c r="T189" s="9">
        <v>43390.518587963</v>
      </c>
    </row>
    <row r="190" spans="14:20">
      <c r="N190" s="7" t="str">
        <f>HYPERLINK("E:\附赠：Excel模板\Excel office官方模板\行程 规划 事项列表 清单\聚会规划器.xltx","聚会规划器.xltx")</f>
        <v>聚会规划器.xltx</v>
      </c>
      <c r="Q190">
        <v>0.42</v>
      </c>
      <c r="R190" s="7" t="str">
        <f t="shared" si="5"/>
        <v>E:\附赠：Excel模板\Excel office官方模板\行程 规划 事项列表 清单</v>
      </c>
      <c r="S190" s="9">
        <v>43600.3821296296</v>
      </c>
      <c r="T190" s="9">
        <v>43390.5186111111</v>
      </c>
    </row>
    <row r="191" spans="14:20">
      <c r="N191" s="7" t="str">
        <f>HYPERLINK("E:\附赠：Excel模板\Excel office官方模板\行程 规划 事项列表 清单\营销项目计划.xltx","营销项目计划.xltx")</f>
        <v>营销项目计划.xltx</v>
      </c>
      <c r="Q191">
        <v>0.02</v>
      </c>
      <c r="R191" s="7" t="str">
        <f t="shared" si="5"/>
        <v>E:\附赠：Excel模板\Excel office官方模板\行程 规划 事项列表 清单</v>
      </c>
      <c r="S191" s="9">
        <v>43600.3821296296</v>
      </c>
      <c r="T191" s="9">
        <v>43390.5185416667</v>
      </c>
    </row>
    <row r="192" spans="14:20">
      <c r="N192" s="7" t="str">
        <f>HYPERLINK("E:\附赠：Excel模板\Excel office官方模板\行程 规划 事项列表 清单\账单支付清单.xltm","账单支付清单.xltm")</f>
        <v>账单支付清单.xltm</v>
      </c>
      <c r="Q192">
        <v>0.1</v>
      </c>
      <c r="R192" s="7" t="str">
        <f t="shared" si="5"/>
        <v>E:\附赠：Excel模板\Excel office官方模板\行程 规划 事项列表 清单</v>
      </c>
      <c r="S192" s="9">
        <v>43600.3821296296</v>
      </c>
      <c r="T192" s="9">
        <v>43390.5185185185</v>
      </c>
    </row>
    <row r="193" spans="14:20">
      <c r="N193" s="7" t="str">
        <f>HYPERLINK("E:\附赠：Excel模板\Excel office官方模板\行程 规划 事项列表 清单\跨职能流程图.xltx","跨职能流程图.xltx")</f>
        <v>跨职能流程图.xltx</v>
      </c>
      <c r="Q193">
        <v>0.19</v>
      </c>
      <c r="R193" s="7" t="str">
        <f t="shared" si="5"/>
        <v>E:\附赠：Excel模板\Excel office官方模板\行程 规划 事项列表 清单</v>
      </c>
      <c r="S193" s="9">
        <v>43600.3821296296</v>
      </c>
      <c r="T193" s="9">
        <v>43390.518587963</v>
      </c>
    </row>
    <row r="194" spans="14:20">
      <c r="N194" s="7" t="str">
        <f>HYPERLINK("E:\附赠：Excel模板\Excel office官方模板\行程 规划 事项列表 清单\返校清单.xlsx","返校清单.xlsx")</f>
        <v>返校清单.xlsx</v>
      </c>
      <c r="Q194">
        <v>0.01</v>
      </c>
      <c r="R194" s="7" t="str">
        <f t="shared" si="5"/>
        <v>E:\附赠：Excel模板\Excel office官方模板\行程 规划 事项列表 清单</v>
      </c>
      <c r="S194" s="9">
        <v>43600.3821296296</v>
      </c>
      <c r="T194" s="9">
        <v>43390.5186111111</v>
      </c>
    </row>
    <row r="195" spans="14:20">
      <c r="N195" s="7" t="str">
        <f>HYPERLINK("E:\附赠：Excel模板\Excel office官方模板\行程 规划 事项列表 清单\露营行程规划表.xltx","露营行程规划表.xltx")</f>
        <v>露营行程规划表.xltx</v>
      </c>
      <c r="Q195">
        <v>0.02</v>
      </c>
      <c r="R195" s="7" t="str">
        <f t="shared" si="5"/>
        <v>E:\附赠：Excel模板\Excel office官方模板\行程 规划 事项列表 清单</v>
      </c>
      <c r="S195" s="9">
        <v>43600.3821296296</v>
      </c>
      <c r="T195" s="9">
        <v>43390.518587963</v>
      </c>
    </row>
    <row r="196" spans="14:20">
      <c r="N196" s="7" t="str">
        <f>HYPERLINK("E:\附赠：Excel模板\Excel office官方模板\行程 规划 事项列表 清单\项目待办事项列表.xlt","项目待办事项列表.xlt")</f>
        <v>项目待办事项列表.xlt</v>
      </c>
      <c r="Q196">
        <v>0.02</v>
      </c>
      <c r="R196" s="7" t="str">
        <f t="shared" si="5"/>
        <v>E:\附赠：Excel模板\Excel office官方模板\行程 规划 事项列表 清单</v>
      </c>
      <c r="S196" s="9">
        <v>43600.3821296296</v>
      </c>
      <c r="T196" s="9">
        <v>43390.5185648148</v>
      </c>
    </row>
    <row r="197" spans="14:20">
      <c r="N197" s="7" t="str">
        <f>HYPERLINK("E:\附赠：Excel模板\Excel office官方模板\行程 规划 事项列表 清单\项目待办事项列表.xltx","项目待办事项列表.xltx")</f>
        <v>项目待办事项列表.xltx</v>
      </c>
      <c r="Q197">
        <v>0.04</v>
      </c>
      <c r="R197" s="7" t="str">
        <f t="shared" si="5"/>
        <v>E:\附赠：Excel模板\Excel office官方模板\行程 规划 事项列表 清单</v>
      </c>
      <c r="S197" s="9">
        <v>43600.3821296296</v>
      </c>
      <c r="T197" s="9">
        <v>43390.5185648148</v>
      </c>
    </row>
    <row r="198" spans="14:20">
      <c r="N198" s="7" t="str">
        <f>HYPERLINK("E:\附赠：Excel模板\Excel office官方模板\行程 规划 事项列表 清单\项目日程表.xltx","项目日程表.xltx")</f>
        <v>项目日程表.xltx</v>
      </c>
      <c r="Q198">
        <v>0.04</v>
      </c>
      <c r="R198" s="7" t="str">
        <f t="shared" si="5"/>
        <v>E:\附赠：Excel模板\Excel office官方模板\行程 规划 事项列表 清单</v>
      </c>
      <c r="S198" s="9">
        <v>43600.3821296296</v>
      </c>
      <c r="T198" s="9">
        <v>43390.5185648148</v>
      </c>
    </row>
    <row r="199" spans="14:20">
      <c r="N199" s="7" t="str">
        <f>HYPERLINK("E:\附赠：Excel模板\Excel office官方模板\行程 规划 事项列表 清单\项目绩效报表.xltx","项目绩效报表.xltx")</f>
        <v>项目绩效报表.xltx</v>
      </c>
      <c r="Q199">
        <v>0.03</v>
      </c>
      <c r="R199" s="7" t="str">
        <f t="shared" si="5"/>
        <v>E:\附赠：Excel模板\Excel office官方模板\行程 规划 事项列表 清单</v>
      </c>
      <c r="S199" s="9">
        <v>43600.3821296296</v>
      </c>
      <c r="T199" s="9">
        <v>43390.5185416667</v>
      </c>
    </row>
    <row r="200" spans="14:20">
      <c r="N200" t="s">
        <v>15</v>
      </c>
      <c r="Q200" t="s">
        <v>15</v>
      </c>
      <c r="R200" t="s">
        <v>15</v>
      </c>
      <c r="S200" t="s">
        <v>15</v>
      </c>
      <c r="T200" t="s">
        <v>15</v>
      </c>
    </row>
    <row r="201" spans="14:20">
      <c r="N201" s="7" t="str">
        <f>HYPERLINK("E:\附赠：Excel模板\Excel office官方模板\跟踪表\个人任务跟踪.xltx","个人任务跟踪.xltx")</f>
        <v>个人任务跟踪.xltx</v>
      </c>
      <c r="Q201">
        <v>0.01</v>
      </c>
      <c r="R201" s="7" t="str">
        <f t="shared" ref="R201:R213" si="6">HYPERLINK("E:\附赠：Excel模板\Excel office官方模板\跟踪表","E:\附赠：Excel模板\Excel office官方模板\跟踪表")</f>
        <v>E:\附赠：Excel模板\Excel office官方模板\跟踪表</v>
      </c>
      <c r="S201" s="9">
        <v>43600.3821296296</v>
      </c>
      <c r="T201" s="9">
        <v>43390.5187268518</v>
      </c>
    </row>
    <row r="202" spans="14:20">
      <c r="N202" s="7" t="str">
        <f>HYPERLINK("E:\附赠：Excel模板\Excel office官方模板\跟踪表\医疗收费跟踪器.xlt","医疗收费跟踪器.xlt")</f>
        <v>医疗收费跟踪器.xlt</v>
      </c>
      <c r="Q202">
        <v>0.02</v>
      </c>
      <c r="R202" s="7" t="str">
        <f t="shared" si="6"/>
        <v>E:\附赠：Excel模板\Excel office官方模板\跟踪表</v>
      </c>
      <c r="S202" s="9">
        <v>43600.3821296296</v>
      </c>
      <c r="T202" s="9">
        <v>43390.5187037037</v>
      </c>
    </row>
    <row r="203" spans="14:20">
      <c r="N203" s="7" t="str">
        <f>HYPERLINK("E:\附赠：Excel模板\Excel office官方模板\跟踪表\员工出勤跟踪表.xltx","员工出勤跟踪表.xltx")</f>
        <v>员工出勤跟踪表.xltx</v>
      </c>
      <c r="Q203">
        <v>0.04</v>
      </c>
      <c r="R203" s="7" t="str">
        <f t="shared" si="6"/>
        <v>E:\附赠：Excel模板\Excel office官方模板\跟踪表</v>
      </c>
      <c r="S203" s="9">
        <v>43600.3821296296</v>
      </c>
      <c r="T203" s="9">
        <v>43390.5187037037</v>
      </c>
    </row>
    <row r="204" spans="14:20">
      <c r="N204" s="7" t="str">
        <f>HYPERLINK("E:\附赠：Excel模板\Excel office官方模板\跟踪表\员工培训跟踪器.xltx","员工培训跟踪器.xltx")</f>
        <v>员工培训跟踪器.xltx</v>
      </c>
      <c r="Q204">
        <v>0.04</v>
      </c>
      <c r="R204" s="7" t="str">
        <f t="shared" si="6"/>
        <v>E:\附赠：Excel模板\Excel office官方模板\跟踪表</v>
      </c>
      <c r="S204" s="9">
        <v>43600.3821296296</v>
      </c>
      <c r="T204" s="9">
        <v>43390.5187037037</v>
      </c>
    </row>
    <row r="205" spans="14:20">
      <c r="N205" s="7" t="str">
        <f>HYPERLINK("E:\附赠：Excel模板\Excel office官方模板\跟踪表\工作通知单跟踪器.xltx","工作通知单跟踪器.xltx")</f>
        <v>工作通知单跟踪器.xltx</v>
      </c>
      <c r="Q205">
        <v>0.04</v>
      </c>
      <c r="R205" s="7" t="str">
        <f t="shared" si="6"/>
        <v>E:\附赠：Excel模板\Excel office官方模板\跟踪表</v>
      </c>
      <c r="S205" s="9">
        <v>43600.3821296296</v>
      </c>
      <c r="T205" s="9">
        <v>43390.5187268518</v>
      </c>
    </row>
    <row r="206" spans="14:20">
      <c r="N206" s="7" t="str">
        <f>HYPERLINK("E:\附赠：Excel模板\Excel office官方模板\跟踪表\带进度跟踪表的待办事项列表.xltx","带进度跟踪表的待办事项列表.xltx")</f>
        <v>带进度跟踪表的待办事项列表.xltx</v>
      </c>
      <c r="Q206">
        <v>0.01</v>
      </c>
      <c r="R206" s="7" t="str">
        <f t="shared" si="6"/>
        <v>E:\附赠：Excel模板\Excel office官方模板\跟踪表</v>
      </c>
      <c r="S206" s="9">
        <v>43600.3821296296</v>
      </c>
      <c r="T206" s="9">
        <v>43390.5187268518</v>
      </c>
    </row>
    <row r="207" spans="14:20">
      <c r="N207" s="7" t="str">
        <f>HYPERLINK("E:\附赠：Excel模板\Excel office官方模板\跟踪表\汽车维修跟踪表.xltx","汽车维修跟踪表.xltx")</f>
        <v>汽车维修跟踪表.xltx</v>
      </c>
      <c r="Q207">
        <v>0.12</v>
      </c>
      <c r="R207" s="7" t="str">
        <f t="shared" si="6"/>
        <v>E:\附赠：Excel模板\Excel office官方模板\跟踪表</v>
      </c>
      <c r="S207" s="9">
        <v>43600.3821296296</v>
      </c>
      <c r="T207" s="9">
        <v>43390.5187037037</v>
      </c>
    </row>
    <row r="208" spans="14:20">
      <c r="N208" s="7" t="str">
        <f>HYPERLINK("E:\附赠：Excel模板\Excel office官方模板\跟踪表\活动跟踪器.xlsx","活动跟踪器.xlsx")</f>
        <v>活动跟踪器.xlsx</v>
      </c>
      <c r="Q208">
        <v>0.03</v>
      </c>
      <c r="R208" s="7" t="str">
        <f t="shared" si="6"/>
        <v>E:\附赠：Excel模板\Excel office官方模板\跟踪表</v>
      </c>
      <c r="S208" s="9">
        <v>43600.3821296296</v>
      </c>
      <c r="T208" s="9">
        <v>43390.5187268518</v>
      </c>
    </row>
    <row r="209" spans="14:20">
      <c r="N209" s="7" t="str">
        <f>HYPERLINK("E:\附赠：Excel模板\Excel office官方模板\跟踪表\潜在客户跟踪表.xltx","潜在客户跟踪表.xltx")</f>
        <v>潜在客户跟踪表.xltx</v>
      </c>
      <c r="Q209">
        <v>0.03</v>
      </c>
      <c r="R209" s="7" t="str">
        <f t="shared" si="6"/>
        <v>E:\附赠：Excel模板\Excel office官方模板\跟踪表</v>
      </c>
      <c r="S209" s="9">
        <v>43600.3821296296</v>
      </c>
      <c r="T209" s="9">
        <v>43390.5187037037</v>
      </c>
    </row>
    <row r="210" spans="14:20">
      <c r="N210" s="7" t="str">
        <f>HYPERLINK("E:\附赠：Excel模板\Excel office官方模板\跟踪表\电话会话跟踪表（用于接入和呼出电话）.xltx","电话会话跟踪表（用于接入和呼出电话）.xltx")</f>
        <v>电话会话跟踪表（用于接入和呼出电话）.xltx</v>
      </c>
      <c r="Q210">
        <v>0.02</v>
      </c>
      <c r="R210" s="7" t="str">
        <f t="shared" si="6"/>
        <v>E:\附赠：Excel模板\Excel office官方模板\跟踪表</v>
      </c>
      <c r="S210" s="9">
        <v>43600.3821296296</v>
      </c>
      <c r="T210" s="9">
        <v>43390.5187268518</v>
      </c>
    </row>
    <row r="211" spans="14:20">
      <c r="N211" s="7" t="str">
        <f>HYPERLINK("E:\附赠：Excel模板\Excel office官方模板\跟踪表\结合swot分析法的商业规划清单.xltx","结合swot分析法的商业规划清单.xltx")</f>
        <v>结合swot分析法的商业规划清单.xltx</v>
      </c>
      <c r="Q211">
        <v>0.01</v>
      </c>
      <c r="R211" s="7" t="str">
        <f t="shared" si="6"/>
        <v>E:\附赠：Excel模板\Excel office官方模板\跟踪表</v>
      </c>
      <c r="S211" s="9">
        <v>43600.3821296296</v>
      </c>
      <c r="T211" s="9">
        <v>43390.5187037037</v>
      </c>
    </row>
    <row r="212" spans="14:20">
      <c r="N212" s="7" t="str">
        <f>HYPERLINK("E:\附赠：Excel模板\Excel office官方模板\跟踪表\药物治疗计划.xltx","药物治疗计划.xltx")</f>
        <v>药物治疗计划.xltx</v>
      </c>
      <c r="Q212">
        <v>0.07</v>
      </c>
      <c r="R212" s="7" t="str">
        <f t="shared" si="6"/>
        <v>E:\附赠：Excel模板\Excel office官方模板\跟踪表</v>
      </c>
      <c r="S212" s="9">
        <v>43600.3821296296</v>
      </c>
      <c r="T212" s="9">
        <v>43390.5187037037</v>
      </c>
    </row>
    <row r="213" spans="14:20">
      <c r="N213" s="7" t="str">
        <f>HYPERLINK("E:\附赠：Excel模板\Excel office官方模板\跟踪表\营销项目计划.xltx","营销项目计划.xltx")</f>
        <v>营销项目计划.xltx</v>
      </c>
      <c r="Q213">
        <v>0.02</v>
      </c>
      <c r="R213" s="7" t="str">
        <f t="shared" si="6"/>
        <v>E:\附赠：Excel模板\Excel office官方模板\跟踪表</v>
      </c>
      <c r="S213" s="9">
        <v>43600.3821296296</v>
      </c>
      <c r="T213" s="9">
        <v>43390.5187037037</v>
      </c>
    </row>
    <row r="214" spans="14:20">
      <c r="N214" t="s">
        <v>15</v>
      </c>
      <c r="Q214" t="s">
        <v>15</v>
      </c>
      <c r="R214" t="s">
        <v>15</v>
      </c>
      <c r="S214" t="s">
        <v>15</v>
      </c>
      <c r="T214" t="s">
        <v>15</v>
      </c>
    </row>
    <row r="215" spans="14:20">
      <c r="N215" s="7" t="str">
        <f>HYPERLINK("E:\附赠：Excel模板\Excel实战技巧精粹：Excel模板大全1000例\2003年中央财政预算、决算收支.xls","2003年中央财政预算、决算收支.xls")</f>
        <v>2003年中央财政预算、决算收支.xls</v>
      </c>
      <c r="Q215">
        <v>0.02</v>
      </c>
      <c r="R215" s="7" t="str">
        <f t="shared" ref="R215:R278" si="7">HYPERLINK("E:\附赠：Excel模板\Excel实战技巧精粹：Excel模板大全1000例","E:\附赠：Excel模板\Excel实战技巧精粹：Excel模板大全1000例")</f>
        <v>E:\附赠：Excel模板\Excel实战技巧精粹：Excel模板大全1000例</v>
      </c>
      <c r="S215" s="9">
        <v>43600.3821296296</v>
      </c>
      <c r="T215" s="9">
        <v>43390.5147222222</v>
      </c>
    </row>
    <row r="216" spans="14:20">
      <c r="N216" s="7" t="str">
        <f>HYPERLINK("E:\附赠：Excel模板\Excel实战技巧精粹：Excel模板大全1000例\4622.xls","4622.xls")</f>
        <v>4622.xls</v>
      </c>
      <c r="Q216">
        <v>0.02</v>
      </c>
      <c r="R216" s="7" t="str">
        <f t="shared" si="7"/>
        <v>E:\附赠：Excel模板\Excel实战技巧精粹：Excel模板大全1000例</v>
      </c>
      <c r="S216" s="9">
        <v>43600.3821296296</v>
      </c>
      <c r="T216" s="9">
        <v>43390.5147222222</v>
      </c>
    </row>
    <row r="217" spans="14:20">
      <c r="N217" s="7" t="str">
        <f>HYPERLINK("E:\附赠：Excel模板\Excel实战技巧精粹：Excel模板大全1000例\NFSQ Forecast  by Year.xls","NFSQ Forecast  by Year.xls")</f>
        <v>NFSQ Forecast  by Year.xls</v>
      </c>
      <c r="Q217">
        <v>0.03</v>
      </c>
      <c r="R217" s="7" t="str">
        <f t="shared" si="7"/>
        <v>E:\附赠：Excel模板\Excel实战技巧精粹：Excel模板大全1000例</v>
      </c>
      <c r="S217" s="9">
        <v>43600.3821296296</v>
      </c>
      <c r="T217" s="9">
        <v>43390.5147222222</v>
      </c>
    </row>
    <row r="218" spans="14:20">
      <c r="N218" s="7" t="str">
        <f>HYPERLINK("E:\附赠：Excel模板\Excel实战技巧精粹：Excel模板大全1000例\SOLVSAMP.xls","SOLVSAMP.xls")</f>
        <v>SOLVSAMP.xls</v>
      </c>
      <c r="Q218">
        <v>0.05</v>
      </c>
      <c r="R218" s="7" t="str">
        <f t="shared" si="7"/>
        <v>E:\附赠：Excel模板\Excel实战技巧精粹：Excel模板大全1000例</v>
      </c>
      <c r="S218" s="9">
        <v>43600.3821296296</v>
      </c>
      <c r="T218" s="9">
        <v>43390.5147222222</v>
      </c>
    </row>
    <row r="219" spans="14:20">
      <c r="N219" s="7" t="str">
        <f>HYPERLINK("E:\附赠：Excel模板\Excel实战技巧精粹：Excel模板大全1000例\××年财政拨款结余资金情况确认表.xls","××年财政拨款结余资金情况确认表.xls")</f>
        <v>××年财政拨款结余资金情况确认表.xls</v>
      </c>
      <c r="Q219">
        <v>0.02</v>
      </c>
      <c r="R219" s="7" t="str">
        <f t="shared" si="7"/>
        <v>E:\附赠：Excel模板\Excel实战技巧精粹：Excel模板大全1000例</v>
      </c>
      <c r="S219" s="9">
        <v>43600.3821296296</v>
      </c>
      <c r="T219" s="9">
        <v>43390.5147222222</v>
      </c>
    </row>
    <row r="220" spans="14:20">
      <c r="N220" s="7" t="str">
        <f>HYPERLINK("E:\附赠：Excel模板\Excel实战技巧精粹：Excel模板大全1000例\“黄金周”旅游接待情况城市汇总表.xls","“黄金周”旅游接待情况城市汇总表.xls")</f>
        <v>“黄金周”旅游接待情况城市汇总表.xls</v>
      </c>
      <c r="Q220">
        <v>0.02</v>
      </c>
      <c r="R220" s="7" t="str">
        <f t="shared" si="7"/>
        <v>E:\附赠：Excel模板\Excel实战技巧精粹：Excel模板大全1000例</v>
      </c>
      <c r="S220" s="9">
        <v>43600.3821296296</v>
      </c>
      <c r="T220" s="9">
        <v>43390.5147222222</v>
      </c>
    </row>
    <row r="221" spans="14:20">
      <c r="N221" s="7" t="str">
        <f>HYPERLINK("E:\附赠：Excel模板\Excel实战技巧精粹：Excel模板大全1000例\“黄金周”旅游景区（点）接待、收入情况表.xls","“黄金周”旅游景区（点）接待、收入情况表.xls")</f>
        <v>“黄金周”旅游景区（点）接待、收入情况表.xls</v>
      </c>
      <c r="Q221">
        <v>0.02</v>
      </c>
      <c r="R221" s="7" t="str">
        <f t="shared" si="7"/>
        <v>E:\附赠：Excel模板\Excel实战技巧精粹：Excel模板大全1000例</v>
      </c>
      <c r="S221" s="9">
        <v>43600.3821296296</v>
      </c>
      <c r="T221" s="9">
        <v>43390.5147222222</v>
      </c>
    </row>
    <row r="222" spans="14:20">
      <c r="N222" s="7" t="str">
        <f>HYPERLINK("E:\附赠：Excel模板\Excel实战技巧精粹：Excel模板大全1000例\“黄金周”旅行社国内旅游接待情况汇总表.xls","“黄金周”旅行社国内旅游接待情况汇总表.xls")</f>
        <v>“黄金周”旅行社国内旅游接待情况汇总表.xls</v>
      </c>
      <c r="Q222">
        <v>0.01</v>
      </c>
      <c r="R222" s="7" t="str">
        <f t="shared" si="7"/>
        <v>E:\附赠：Excel模板\Excel实战技巧精粹：Excel模板大全1000例</v>
      </c>
      <c r="S222" s="9">
        <v>43600.3821296296</v>
      </c>
      <c r="T222" s="9">
        <v>43390.5147222222</v>
      </c>
    </row>
    <row r="223" spans="14:20">
      <c r="N223" s="7" t="str">
        <f>HYPERLINK("E:\附赠：Excel模板\Excel实战技巧精粹：Excel模板大全1000例\上市公司半年度主要财务指标.xls","上市公司半年度主要财务指标.xls")</f>
        <v>上市公司半年度主要财务指标.xls</v>
      </c>
      <c r="Q223">
        <v>0.02</v>
      </c>
      <c r="R223" s="7" t="str">
        <f t="shared" si="7"/>
        <v>E:\附赠：Excel模板\Excel实战技巧精粹：Excel模板大全1000例</v>
      </c>
      <c r="S223" s="9">
        <v>43600.3821296296</v>
      </c>
      <c r="T223" s="9">
        <v>43390.5139351852</v>
      </c>
    </row>
    <row r="224" spans="14:20">
      <c r="N224" s="7" t="str">
        <f>HYPERLINK("E:\附赠：Excel模板\Excel实战技巧精粹：Excel模板大全1000例\上市公司财务指示.xls","上市公司财务指示.xls")</f>
        <v>上市公司财务指示.xls</v>
      </c>
      <c r="Q224">
        <v>0.04</v>
      </c>
      <c r="R224" s="7" t="str">
        <f t="shared" si="7"/>
        <v>E:\附赠：Excel模板\Excel实战技巧精粹：Excel模板大全1000例</v>
      </c>
      <c r="S224" s="9">
        <v>43600.3821296296</v>
      </c>
      <c r="T224" s="9">
        <v>43390.5139351852</v>
      </c>
    </row>
    <row r="225" spans="14:20">
      <c r="N225" s="7" t="str">
        <f>HYPERLINK("E:\附赠：Excel模板\Excel实战技巧精粹：Excel模板大全1000例\专业录取表.xls","专业录取表.xls")</f>
        <v>专业录取表.xls</v>
      </c>
      <c r="Q225">
        <v>0.15</v>
      </c>
      <c r="R225" s="7" t="str">
        <f t="shared" si="7"/>
        <v>E:\附赠：Excel模板\Excel实战技巧精粹：Excel模板大全1000例</v>
      </c>
      <c r="S225" s="9">
        <v>43600.3821296296</v>
      </c>
      <c r="T225" s="9">
        <v>43390.5134259259</v>
      </c>
    </row>
    <row r="226" spans="14:20">
      <c r="N226" s="7" t="str">
        <f>HYPERLINK("E:\附赠：Excel模板\Excel实战技巧精粹：Excel模板大全1000例\专业（专业、课程）责任教师一览表.xls","专业（专业、课程）责任教师一览表.xls")</f>
        <v>专业（专业、课程）责任教师一览表.xls</v>
      </c>
      <c r="Q226">
        <v>0.02</v>
      </c>
      <c r="R226" s="7" t="str">
        <f t="shared" si="7"/>
        <v>E:\附赠：Excel模板\Excel实战技巧精粹：Excel模板大全1000例</v>
      </c>
      <c r="S226" s="9">
        <v>43600.3821296296</v>
      </c>
      <c r="T226" s="9">
        <v>43390.5134259259</v>
      </c>
    </row>
    <row r="227" spans="14:20">
      <c r="N227" s="7" t="str">
        <f>HYPERLINK("E:\附赠：Excel模板\Excel实战技巧精粹：Excel模板大全1000例\专利技术实施情况统计表.xls","专利技术实施情况统计表.xls")</f>
        <v>专利技术实施情况统计表.xls</v>
      </c>
      <c r="Q227">
        <v>0.02</v>
      </c>
      <c r="R227" s="7" t="str">
        <f t="shared" si="7"/>
        <v>E:\附赠：Excel模板\Excel实战技巧精粹：Excel模板大全1000例</v>
      </c>
      <c r="S227" s="9">
        <v>43600.3821296296</v>
      </c>
      <c r="T227" s="9">
        <v>43390.5134259259</v>
      </c>
    </row>
    <row r="228" spans="14:20">
      <c r="N228" s="7" t="str">
        <f>HYPERLINK("E:\附赠：Excel模板\Excel实战技巧精粹：Excel模板大全1000例\专用设备明细表.xls","专用设备明细表.xls")</f>
        <v>专用设备明细表.xls</v>
      </c>
      <c r="Q228">
        <v>0.02</v>
      </c>
      <c r="R228" s="7" t="str">
        <f t="shared" si="7"/>
        <v>E:\附赠：Excel模板\Excel实战技巧精粹：Excel模板大全1000例</v>
      </c>
      <c r="S228" s="9">
        <v>43600.3821296296</v>
      </c>
      <c r="T228" s="9">
        <v>43390.5134259259</v>
      </c>
    </row>
    <row r="229" spans="14:20">
      <c r="N229" s="7" t="str">
        <f>HYPERLINK("E:\附赠：Excel模板\Excel实战技巧精粹：Excel模板大全1000例\专项支出用款申请书.xls","专项支出用款申请书.xls")</f>
        <v>专项支出用款申请书.xls</v>
      </c>
      <c r="Q229">
        <v>0.02</v>
      </c>
      <c r="R229" s="7" t="str">
        <f t="shared" si="7"/>
        <v>E:\附赠：Excel模板\Excel实战技巧精粹：Excel模板大全1000例</v>
      </c>
      <c r="S229" s="9">
        <v>43600.3821296296</v>
      </c>
      <c r="T229" s="9">
        <v>43390.5134259259</v>
      </c>
    </row>
    <row r="230" spans="14:20">
      <c r="N230" s="7" t="str">
        <f>HYPERLINK("E:\附赠：Excel模板\Excel实战技巧精粹：Excel模板大全1000例\专项资金使用情况汇总表.xls","专项资金使用情况汇总表.xls")</f>
        <v>专项资金使用情况汇总表.xls</v>
      </c>
      <c r="Q230">
        <v>0.02</v>
      </c>
      <c r="R230" s="7" t="str">
        <f t="shared" si="7"/>
        <v>E:\附赠：Excel模板\Excel实战技巧精粹：Excel模板大全1000例</v>
      </c>
      <c r="S230" s="9">
        <v>43600.3821296296</v>
      </c>
      <c r="T230" s="9">
        <v>43390.5134259259</v>
      </c>
    </row>
    <row r="231" spans="14:20">
      <c r="N231" s="7" t="str">
        <f>HYPERLINK("E:\附赠：Excel模板\Excel实战技巧精粹：Excel模板大全1000例\专项资金完成项目投资表.xls","专项资金完成项目投资表.xls")</f>
        <v>专项资金完成项目投资表.xls</v>
      </c>
      <c r="Q231">
        <v>0.01</v>
      </c>
      <c r="R231" s="7" t="str">
        <f t="shared" si="7"/>
        <v>E:\附赠：Excel模板\Excel实战技巧精粹：Excel模板大全1000例</v>
      </c>
      <c r="S231" s="9">
        <v>43600.3821296296</v>
      </c>
      <c r="T231" s="9">
        <v>43390.5134259259</v>
      </c>
    </row>
    <row r="232" spans="14:20">
      <c r="N232" s="7" t="str">
        <f>HYPERLINK("E:\附赠：Excel模板\Excel实战技巧精粹：Excel模板大全1000例\专项资金项目申报表.xls","专项资金项目申报表.xls")</f>
        <v>专项资金项目申报表.xls</v>
      </c>
      <c r="Q232">
        <v>0.02</v>
      </c>
      <c r="R232" s="7" t="str">
        <f t="shared" si="7"/>
        <v>E:\附赠：Excel模板\Excel实战技巧精粹：Excel模板大全1000例</v>
      </c>
      <c r="S232" s="9">
        <v>43600.3821296296</v>
      </c>
      <c r="T232" s="9">
        <v>43390.5134259259</v>
      </c>
    </row>
    <row r="233" spans="14:20">
      <c r="N233" s="7" t="str">
        <f>HYPERLINK("E:\附赠：Excel模板\Excel实战技巧精粹：Excel模板大全1000例\业务实绩对比分析表.xls","业务实绩对比分析表.xls")</f>
        <v>业务实绩对比分析表.xls</v>
      </c>
      <c r="Q233">
        <v>0.02</v>
      </c>
      <c r="R233" s="7" t="str">
        <f t="shared" si="7"/>
        <v>E:\附赠：Excel模板\Excel实战技巧精粹：Excel模板大全1000例</v>
      </c>
      <c r="S233" s="9">
        <v>43600.3821296296</v>
      </c>
      <c r="T233" s="9">
        <v>43390.5135416667</v>
      </c>
    </row>
    <row r="234" spans="14:20">
      <c r="N234" s="7" t="str">
        <f>HYPERLINK("E:\附赠：Excel模板\Excel实战技巧精粹：Excel模板大全1000例\业务往来报表.xls","业务往来报表.xls")</f>
        <v>业务往来报表.xls</v>
      </c>
      <c r="Q234">
        <v>0.02</v>
      </c>
      <c r="R234" s="7" t="str">
        <f t="shared" si="7"/>
        <v>E:\附赠：Excel模板\Excel实战技巧精粹：Excel模板大全1000例</v>
      </c>
      <c r="S234" s="9">
        <v>43600.3821296296</v>
      </c>
      <c r="T234" s="9">
        <v>43390.5135416667</v>
      </c>
    </row>
    <row r="235" spans="14:20">
      <c r="N235" s="7" t="str">
        <f>HYPERLINK("E:\附赠：Excel模板\Excel实战技巧精粹：Excel模板大全1000例\业务联网情况调查表.xls","业务联网情况调查表.xls")</f>
        <v>业务联网情况调查表.xls</v>
      </c>
      <c r="Q235">
        <v>0.02</v>
      </c>
      <c r="R235" s="7" t="str">
        <f t="shared" si="7"/>
        <v>E:\附赠：Excel模板\Excel实战技巧精粹：Excel模板大全1000例</v>
      </c>
      <c r="S235" s="9">
        <v>43600.3821296296</v>
      </c>
      <c r="T235" s="9">
        <v>43390.5135416667</v>
      </c>
    </row>
    <row r="236" spans="14:20">
      <c r="N236" s="7" t="str">
        <f>HYPERLINK("E:\附赠：Excel模板\Excel实战技巧精粹：Excel模板大全1000例\个体工商户设立登记申请书.xls","个体工商户设立登记申请书.xls")</f>
        <v>个体工商户设立登记申请书.xls</v>
      </c>
      <c r="Q236">
        <v>0.02</v>
      </c>
      <c r="R236" s="7" t="str">
        <f t="shared" si="7"/>
        <v>E:\附赠：Excel模板\Excel实战技巧精粹：Excel模板大全1000例</v>
      </c>
      <c r="S236" s="9">
        <v>43600.3821296296</v>
      </c>
      <c r="T236" s="9">
        <v>43390.5144212963</v>
      </c>
    </row>
    <row r="237" spans="14:20">
      <c r="N237" s="7" t="str">
        <f>HYPERLINK("E:\附赠：Excel模板\Excel实战技巧精粹：Excel模板大全1000例\中介单位人员登.xls","中介单位人员登.xls")</f>
        <v>中介单位人员登.xls</v>
      </c>
      <c r="Q237">
        <v>0.02</v>
      </c>
      <c r="R237" s="7" t="str">
        <f t="shared" si="7"/>
        <v>E:\附赠：Excel模板\Excel实战技巧精粹：Excel模板大全1000例</v>
      </c>
      <c r="S237" s="9">
        <v>43600.3821296296</v>
      </c>
      <c r="T237" s="9">
        <v>43390.5134490741</v>
      </c>
    </row>
    <row r="238" spans="14:20">
      <c r="N238" s="7" t="str">
        <f>HYPERLINK("E:\附赠：Excel模板\Excel实战技巧精粹：Excel模板大全1000例\中外学者越洋对话日程安排.xls","中外学者越洋对话日程安排.xls")</f>
        <v>中外学者越洋对话日程安排.xls</v>
      </c>
      <c r="Q238">
        <v>0.02</v>
      </c>
      <c r="R238" s="7" t="str">
        <f t="shared" si="7"/>
        <v>E:\附赠：Excel模板\Excel实战技巧精粹：Excel模板大全1000例</v>
      </c>
      <c r="S238" s="9">
        <v>43600.3821296296</v>
      </c>
      <c r="T238" s="9">
        <v>43390.5134490741</v>
      </c>
    </row>
    <row r="239" spans="14:20">
      <c r="N239" s="7" t="str">
        <f>HYPERLINK("E:\附赠：Excel模板\Excel实战技巧精粹：Excel模板大全1000例\中央基层预算单位开立银行帐户申请表.xls","中央基层预算单位开立银行帐户申请表.xls")</f>
        <v>中央基层预算单位开立银行帐户申请表.xls</v>
      </c>
      <c r="Q239">
        <v>0.02</v>
      </c>
      <c r="R239" s="7" t="str">
        <f t="shared" si="7"/>
        <v>E:\附赠：Excel模板\Excel实战技巧精粹：Excel模板大全1000例</v>
      </c>
      <c r="S239" s="9">
        <v>43600.3821296296</v>
      </c>
      <c r="T239" s="9">
        <v>43390.5134490741</v>
      </c>
    </row>
    <row r="240" spans="14:20">
      <c r="N240" s="7" t="str">
        <f>HYPERLINK("E:\附赠：Excel模板\Excel实战技巧精粹：Excel模板大全1000例\中央基层预算单位财政支出月报表.xls","中央基层预算单位财政支出月报表.xls")</f>
        <v>中央基层预算单位财政支出月报表.xls</v>
      </c>
      <c r="Q240">
        <v>0.02</v>
      </c>
      <c r="R240" s="7" t="str">
        <f t="shared" si="7"/>
        <v>E:\附赠：Excel模板\Excel实战技巧精粹：Excel模板大全1000例</v>
      </c>
      <c r="S240" s="9">
        <v>43600.3821296296</v>
      </c>
      <c r="T240" s="9">
        <v>43390.5134490741</v>
      </c>
    </row>
    <row r="241" spans="14:20">
      <c r="N241" s="7" t="str">
        <f>HYPERLINK("E:\附赠：Excel模板\Excel实战技巧精粹：Excel模板大全1000例\中学校小升初报名表.xls","中学校小升初报名表.xls")</f>
        <v>中学校小升初报名表.xls</v>
      </c>
      <c r="Q241">
        <v>0.02</v>
      </c>
      <c r="R241" s="7" t="str">
        <f t="shared" si="7"/>
        <v>E:\附赠：Excel模板\Excel实战技巧精粹：Excel模板大全1000例</v>
      </c>
      <c r="S241" s="9">
        <v>43600.3821296296</v>
      </c>
      <c r="T241" s="9">
        <v>43390.5134490741</v>
      </c>
    </row>
    <row r="242" spans="14:20">
      <c r="N242" s="7" t="str">
        <f>HYPERLINK("E:\附赠：Excel模板\Excel实战技巧精粹：Excel模板大全1000例\中小企业国际市场开拓资金申报计划及批复.xls","中小企业国际市场开拓资金申报计划及批复.xls")</f>
        <v>中小企业国际市场开拓资金申报计划及批复.xls</v>
      </c>
      <c r="Q242">
        <v>0.05</v>
      </c>
      <c r="R242" s="7" t="str">
        <f t="shared" si="7"/>
        <v>E:\附赠：Excel模板\Excel实战技巧精粹：Excel模板大全1000例</v>
      </c>
      <c r="S242" s="9">
        <v>43600.3821296296</v>
      </c>
      <c r="T242" s="9">
        <v>43390.5134490741</v>
      </c>
    </row>
    <row r="243" spans="14:20">
      <c r="N243" s="7" t="str">
        <f>HYPERLINK("E:\附赠：Excel模板\Excel实战技巧精粹：Excel模板大全1000例\中小企业技术改造项目企业基本情况表.xls","中小企业技术改造项目企业基本情况表.xls")</f>
        <v>中小企业技术改造项目企业基本情况表.xls</v>
      </c>
      <c r="Q243">
        <v>0.02</v>
      </c>
      <c r="R243" s="7" t="str">
        <f t="shared" si="7"/>
        <v>E:\附赠：Excel模板\Excel实战技巧精粹：Excel模板大全1000例</v>
      </c>
      <c r="S243" s="9">
        <v>43600.3821296296</v>
      </c>
      <c r="T243" s="9">
        <v>43390.5134490741</v>
      </c>
    </row>
    <row r="244" spans="14:20">
      <c r="N244" s="7" t="str">
        <f>HYPERLINK("E:\附赠：Excel模板\Excel实战技巧精粹：Excel模板大全1000例\中小企业技术改造项目基本情况表.xls","中小企业技术改造项目基本情况表.xls")</f>
        <v>中小企业技术改造项目基本情况表.xls</v>
      </c>
      <c r="Q244">
        <v>0.02</v>
      </c>
      <c r="R244" s="7" t="str">
        <f t="shared" si="7"/>
        <v>E:\附赠：Excel模板\Excel实战技巧精粹：Excel模板大全1000例</v>
      </c>
      <c r="S244" s="9">
        <v>43600.3821296296</v>
      </c>
      <c r="T244" s="9">
        <v>43390.5134490741</v>
      </c>
    </row>
    <row r="245" spans="14:20">
      <c r="N245" s="7" t="str">
        <f>HYPERLINK("E:\附赠：Excel模板\Excel实战技巧精粹：Excel模板大全1000例\中小学家庭经济困难学生基本情况调查汇总表.xls","中小学家庭经济困难学生基本情况调查汇总表.xls")</f>
        <v>中小学家庭经济困难学生基本情况调查汇总表.xls</v>
      </c>
      <c r="Q245">
        <v>0.02</v>
      </c>
      <c r="R245" s="7" t="str">
        <f t="shared" si="7"/>
        <v>E:\附赠：Excel模板\Excel实战技巧精粹：Excel模板大全1000例</v>
      </c>
      <c r="S245" s="9">
        <v>43600.3821296296</v>
      </c>
      <c r="T245" s="9">
        <v>43390.5134490741</v>
      </c>
    </row>
    <row r="246" spans="14:20">
      <c r="N246" s="7" t="str">
        <f>HYPERLINK("E:\附赠：Excel模板\Excel实战技巧精粹：Excel模板大全1000例\中小學中途輟學學生統計表.xls","中小學中途輟學學生統計表.xls")</f>
        <v>中小學中途輟學學生統計表.xls</v>
      </c>
      <c r="Q246">
        <v>0.01</v>
      </c>
      <c r="R246" s="7" t="str">
        <f t="shared" si="7"/>
        <v>E:\附赠：Excel模板\Excel实战技巧精粹：Excel模板大全1000例</v>
      </c>
      <c r="S246" s="9">
        <v>43600.3821296296</v>
      </c>
      <c r="T246" s="9">
        <v>43390.5134490741</v>
      </c>
    </row>
    <row r="247" spans="14:20">
      <c r="N247" s="7" t="str">
        <f>HYPERLINK("E:\附赠：Excel模板\Excel实战技巧精粹：Excel模板大全1000例\中等职业学校教师资格认定试讲教材目录.xls","中等职业学校教师资格认定试讲教材目录.xls")</f>
        <v>中等职业学校教师资格认定试讲教材目录.xls</v>
      </c>
      <c r="Q247">
        <v>0.02</v>
      </c>
      <c r="R247" s="7" t="str">
        <f t="shared" si="7"/>
        <v>E:\附赠：Excel模板\Excel实战技巧精粹：Excel模板大全1000例</v>
      </c>
      <c r="S247" s="9">
        <v>43600.3821296296</v>
      </c>
      <c r="T247" s="9">
        <v>43390.5134490741</v>
      </c>
    </row>
    <row r="248" spans="14:20">
      <c r="N248" s="7" t="str">
        <f>HYPERLINK("E:\附赠：Excel模板\Excel实战技巧精粹：Excel模板大全1000例\主营业务生产、销售预算表.xls","主营业务生产、销售预算表.xls")</f>
        <v>主营业务生产、销售预算表.xls</v>
      </c>
      <c r="Q248">
        <v>0.02</v>
      </c>
      <c r="R248" s="7" t="str">
        <f t="shared" si="7"/>
        <v>E:\附赠：Excel模板\Excel实战技巧精粹：Excel模板大全1000例</v>
      </c>
      <c r="S248" s="9">
        <v>43600.3821296296</v>
      </c>
      <c r="T248" s="9">
        <v>43390.5134259259</v>
      </c>
    </row>
    <row r="249" spans="14:20">
      <c r="N249" s="7" t="str">
        <f>HYPERLINK("E:\附赠：Excel模板\Excel实战技巧精粹：Excel模板大全1000例\主要旅游景点游人、收入情况.xls","主要旅游景点游人、收入情况.xls")</f>
        <v>主要旅游景点游人、收入情况.xls</v>
      </c>
      <c r="Q249">
        <v>0.02</v>
      </c>
      <c r="R249" s="7" t="str">
        <f t="shared" si="7"/>
        <v>E:\附赠：Excel模板\Excel实战技巧精粹：Excel模板大全1000例</v>
      </c>
      <c r="S249" s="9">
        <v>43600.3821296296</v>
      </c>
      <c r="T249" s="9">
        <v>43390.5134259259</v>
      </c>
    </row>
    <row r="250" spans="14:20">
      <c r="N250" s="7" t="str">
        <f>HYPERLINK("E:\附赠：Excel模板\Excel实战技巧精粹：Excel模板大全1000例\主要监测仪器设备情况表.xls","主要监测仪器设备情况表.xls")</f>
        <v>主要监测仪器设备情况表.xls</v>
      </c>
      <c r="Q250">
        <v>0.02</v>
      </c>
      <c r="R250" s="7" t="str">
        <f t="shared" si="7"/>
        <v>E:\附赠：Excel模板\Excel实战技巧精粹：Excel模板大全1000例</v>
      </c>
      <c r="S250" s="9">
        <v>43600.3821296296</v>
      </c>
      <c r="T250" s="9">
        <v>43390.5134259259</v>
      </c>
    </row>
    <row r="251" spans="14:20">
      <c r="N251" s="7" t="str">
        <f>HYPERLINK("E:\附赠：Excel模板\Excel实战技巧精粹：Excel模板大全1000例\主要财务指标分析表.xls","主要财务指标分析表.xls")</f>
        <v>主要财务指标分析表.xls</v>
      </c>
      <c r="Q251">
        <v>0.01</v>
      </c>
      <c r="R251" s="7" t="str">
        <f t="shared" si="7"/>
        <v>E:\附赠：Excel模板\Excel实战技巧精粹：Excel模板大全1000例</v>
      </c>
      <c r="S251" s="9">
        <v>43600.3821296296</v>
      </c>
      <c r="T251" s="9">
        <v>43390.5134259259</v>
      </c>
    </row>
    <row r="252" spans="14:20">
      <c r="N252" s="7" t="str">
        <f>HYPERLINK("E:\附赠：Excel模板\Excel实战技巧精粹：Excel模板大全1000例\主要财务指标表.xls","主要财务指标表.xls")</f>
        <v>主要财务指标表.xls</v>
      </c>
      <c r="Q252">
        <v>0.02</v>
      </c>
      <c r="R252" s="7" t="str">
        <f t="shared" si="7"/>
        <v>E:\附赠：Excel模板\Excel实战技巧精粹：Excel模板大全1000例</v>
      </c>
      <c r="S252" s="9">
        <v>43600.3821296296</v>
      </c>
      <c r="T252" s="9">
        <v>43390.5134259259</v>
      </c>
    </row>
    <row r="253" spans="14:20">
      <c r="N253" s="7" t="str">
        <f>HYPERLINK("E:\附赠：Excel模板\Excel实战技巧精粹：Excel模板大全1000例\义务教育阶段家庭经济困难学生资助金领取表.xls","义务教育阶段家庭经济困难学生资助金领取表.xls")</f>
        <v>义务教育阶段家庭经济困难学生资助金领取表.xls</v>
      </c>
      <c r="Q253">
        <v>0.02</v>
      </c>
      <c r="R253" s="7" t="str">
        <f t="shared" si="7"/>
        <v>E:\附赠：Excel模板\Excel实战技巧精粹：Excel模板大全1000例</v>
      </c>
      <c r="S253" s="9">
        <v>43600.3821296296</v>
      </c>
      <c r="T253" s="9">
        <v>43390.5135416667</v>
      </c>
    </row>
    <row r="254" spans="14:20">
      <c r="N254" s="7" t="str">
        <f>HYPERLINK("E:\附赠：Excel模板\Excel实战技巧精粹：Excel模板大全1000例\乡财县管改革工作考核评分表.xls","乡财县管改革工作考核评分表.xls")</f>
        <v>乡财县管改革工作考核评分表.xls</v>
      </c>
      <c r="Q254">
        <v>0.02</v>
      </c>
      <c r="R254" s="7" t="str">
        <f t="shared" si="7"/>
        <v>E:\附赠：Excel模板\Excel实战技巧精粹：Excel模板大全1000例</v>
      </c>
      <c r="S254" s="9">
        <v>43600.3821296296</v>
      </c>
      <c r="T254" s="9">
        <v>43390.5137268519</v>
      </c>
    </row>
    <row r="255" spans="14:20">
      <c r="N255" s="7" t="str">
        <f>HYPERLINK("E:\附赠：Excel模板\Excel实战技巧精粹：Excel模板大全1000例\乡镇企业财务情况.xls","乡镇企业财务情况.xls")</f>
        <v>乡镇企业财务情况.xls</v>
      </c>
      <c r="Q255">
        <v>0.01</v>
      </c>
      <c r="R255" s="7" t="str">
        <f t="shared" si="7"/>
        <v>E:\附赠：Excel模板\Excel实战技巧精粹：Excel模板大全1000例</v>
      </c>
      <c r="S255" s="9">
        <v>43600.3821296296</v>
      </c>
      <c r="T255" s="9">
        <v>43390.5137268519</v>
      </c>
    </row>
    <row r="256" spans="14:20">
      <c r="N256" s="7" t="str">
        <f>HYPERLINK("E:\附赠：Excel模板\Excel实战技巧精粹：Excel模板大全1000例\乡镇企业财务情况1.xls","乡镇企业财务情况1.xls")</f>
        <v>乡镇企业财务情况1.xls</v>
      </c>
      <c r="Q256">
        <v>0.01</v>
      </c>
      <c r="R256" s="7" t="str">
        <f t="shared" si="7"/>
        <v>E:\附赠：Excel模板\Excel实战技巧精粹：Excel模板大全1000例</v>
      </c>
      <c r="S256" s="9">
        <v>43600.3821296296</v>
      </c>
      <c r="T256" s="9">
        <v>43390.5137268519</v>
      </c>
    </row>
    <row r="257" spans="14:20">
      <c r="N257" s="7" t="str">
        <f>HYPERLINK("E:\附赠：Excel模板\Excel实战技巧精粹：Excel模板大全1000例\乡镇党委政府目前承担工作调查表.xls","乡镇党委政府目前承担工作调查表.xls")</f>
        <v>乡镇党委政府目前承担工作调查表.xls</v>
      </c>
      <c r="Q257">
        <v>0.02</v>
      </c>
      <c r="R257" s="7" t="str">
        <f t="shared" si="7"/>
        <v>E:\附赠：Excel模板\Excel实战技巧精粹：Excel模板大全1000例</v>
      </c>
      <c r="S257" s="9">
        <v>43600.3821296296</v>
      </c>
      <c r="T257" s="9">
        <v>43390.5137268519</v>
      </c>
    </row>
    <row r="258" spans="14:20">
      <c r="N258" s="7" t="str">
        <f>HYPERLINK("E:\附赠：Excel模板\Excel实战技巧精粹：Excel模板大全1000例\乡镇基本情况调查表.xls","乡镇基本情况调查表.xls")</f>
        <v>乡镇基本情况调查表.xls</v>
      </c>
      <c r="Q258">
        <v>0.02</v>
      </c>
      <c r="R258" s="7" t="str">
        <f t="shared" si="7"/>
        <v>E:\附赠：Excel模板\Excel实战技巧精粹：Excel模板大全1000例</v>
      </c>
      <c r="S258" s="9">
        <v>43600.3821296296</v>
      </c>
      <c r="T258" s="9">
        <v>43390.5137268519</v>
      </c>
    </row>
    <row r="259" spans="14:20">
      <c r="N259" s="7" t="str">
        <f>HYPERLINK("E:\附赠：Excel模板\Excel实战技巧精粹：Excel模板大全1000例\乡镇财政供养人员经费调查表.xls","乡镇财政供养人员经费调查表.xls")</f>
        <v>乡镇财政供养人员经费调查表.xls</v>
      </c>
      <c r="Q259">
        <v>0.02</v>
      </c>
      <c r="R259" s="7" t="str">
        <f t="shared" si="7"/>
        <v>E:\附赠：Excel模板\Excel实战技巧精粹：Excel模板大全1000例</v>
      </c>
      <c r="S259" s="9">
        <v>43600.3821296296</v>
      </c>
      <c r="T259" s="9">
        <v>43390.5137268519</v>
      </c>
    </row>
    <row r="260" spans="14:20">
      <c r="N260" s="7" t="str">
        <f>HYPERLINK("E:\附赠：Excel模板\Excel实战技巧精粹：Excel模板大全1000例\乡镇财政状况调查表.xls","乡镇财政状况调查表.xls")</f>
        <v>乡镇财政状况调查表.xls</v>
      </c>
      <c r="Q260">
        <v>0.02</v>
      </c>
      <c r="R260" s="7" t="str">
        <f t="shared" si="7"/>
        <v>E:\附赠：Excel模板\Excel实战技巧精粹：Excel模板大全1000例</v>
      </c>
      <c r="S260" s="9">
        <v>43600.3821296296</v>
      </c>
      <c r="T260" s="9">
        <v>43390.5137268519</v>
      </c>
    </row>
    <row r="261" spans="14:20">
      <c r="N261" s="7" t="str">
        <f>HYPERLINK("E:\附赠：Excel模板\Excel实战技巧精粹：Excel模板大全1000例\乡镇集体资产管理机构调查表.xls","乡镇集体资产管理机构调查表.xls")</f>
        <v>乡镇集体资产管理机构调查表.xls</v>
      </c>
      <c r="Q261">
        <v>0.01</v>
      </c>
      <c r="R261" s="7" t="str">
        <f t="shared" si="7"/>
        <v>E:\附赠：Excel模板\Excel实战技巧精粹：Excel模板大全1000例</v>
      </c>
      <c r="S261" s="9">
        <v>43600.3821296296</v>
      </c>
      <c r="T261" s="9">
        <v>43390.5137268519</v>
      </c>
    </row>
    <row r="262" spans="14:20">
      <c r="N262" s="7" t="str">
        <f>HYPERLINK("E:\附赠：Excel模板\Excel实战技巧精粹：Excel模板大全1000例\事业单位专业技术人员聘任专业技术职务变动一览表.xls","事业单位专业技术人员聘任专业技术职务变动一览表.xls")</f>
        <v>事业单位专业技术人员聘任专业技术职务变动一览表.xls</v>
      </c>
      <c r="Q262">
        <v>0.01</v>
      </c>
      <c r="R262" s="7" t="str">
        <f t="shared" si="7"/>
        <v>E:\附赠：Excel模板\Excel实战技巧精粹：Excel模板大全1000例</v>
      </c>
      <c r="S262" s="9">
        <v>43600.3821296296</v>
      </c>
      <c r="T262" s="9">
        <v>43390.5138657407</v>
      </c>
    </row>
    <row r="263" spans="14:20">
      <c r="N263" s="7" t="str">
        <f>HYPERLINK("E:\附赠：Excel模板\Excel实战技巧精粹：Excel模板大全1000例\事业单位人员培训情况表.xls","事业单位人员培训情况表.xls")</f>
        <v>事业单位人员培训情况表.xls</v>
      </c>
      <c r="Q263">
        <v>0.02</v>
      </c>
      <c r="R263" s="7" t="str">
        <f t="shared" si="7"/>
        <v>E:\附赠：Excel模板\Excel实战技巧精粹：Excel模板大全1000例</v>
      </c>
      <c r="S263" s="9">
        <v>43600.3821296296</v>
      </c>
      <c r="T263" s="9">
        <v>43390.5138657407</v>
      </c>
    </row>
    <row r="264" spans="14:20">
      <c r="N264" s="7" t="str">
        <f>HYPERLINK("E:\附赠：Excel模板\Excel实战技巧精粹：Excel模板大全1000例\事业单位公开招聘岗位.xls","事业单位公开招聘岗位.xls")</f>
        <v>事业单位公开招聘岗位.xls</v>
      </c>
      <c r="Q264">
        <v>0.02</v>
      </c>
      <c r="R264" s="7" t="str">
        <f t="shared" si="7"/>
        <v>E:\附赠：Excel模板\Excel实战技巧精粹：Excel模板大全1000例</v>
      </c>
      <c r="S264" s="9">
        <v>43600.3821296296</v>
      </c>
      <c r="T264" s="9">
        <v>43390.5138888889</v>
      </c>
    </row>
    <row r="265" spans="14:20">
      <c r="N265" s="7" t="str">
        <f>HYPERLINK("E:\附赠：Excel模板\Excel实战技巧精粹：Excel模板大全1000例\事业单位增人计划执行情况统计表.xls","事业单位增人计划执行情况统计表.xls")</f>
        <v>事业单位增人计划执行情况统计表.xls</v>
      </c>
      <c r="Q265">
        <v>0.02</v>
      </c>
      <c r="R265" s="7" t="str">
        <f t="shared" si="7"/>
        <v>E:\附赠：Excel模板\Excel实战技巧精粹：Excel模板大全1000例</v>
      </c>
      <c r="S265" s="9">
        <v>43600.3821296296</v>
      </c>
      <c r="T265" s="9">
        <v>43390.5138657407</v>
      </c>
    </row>
    <row r="266" spans="14:20">
      <c r="N266" s="7" t="str">
        <f>HYPERLINK("E:\附赠：Excel模板\Excel实战技巧精粹：Excel模板大全1000例\事业单位工作人员工龄情况.xls","事业单位工作人员工龄情况.xls")</f>
        <v>事业单位工作人员工龄情况.xls</v>
      </c>
      <c r="Q266">
        <v>0.02</v>
      </c>
      <c r="R266" s="7" t="str">
        <f t="shared" si="7"/>
        <v>E:\附赠：Excel模板\Excel实战技巧精粹：Excel模板大全1000例</v>
      </c>
      <c r="S266" s="9">
        <v>43600.3821296296</v>
      </c>
      <c r="T266" s="9">
        <v>43390.5138888889</v>
      </c>
    </row>
    <row r="267" spans="14:20">
      <c r="N267" s="7" t="str">
        <f>HYPERLINK("E:\附赠：Excel模板\Excel实战技巧精粹：Excel模板大全1000例\事业单位技术人员基本情况表.xls","事业单位技术人员基本情况表.xls")</f>
        <v>事业单位技术人员基本情况表.xls</v>
      </c>
      <c r="Q267">
        <v>0.02</v>
      </c>
      <c r="R267" s="7" t="str">
        <f t="shared" si="7"/>
        <v>E:\附赠：Excel模板\Excel实战技巧精粹：Excel模板大全1000例</v>
      </c>
      <c r="S267" s="9">
        <v>43600.3821296296</v>
      </c>
      <c r="T267" s="9">
        <v>43390.5138888889</v>
      </c>
    </row>
    <row r="268" spans="14:20">
      <c r="N268" s="7" t="str">
        <f>HYPERLINK("E:\附赠：Excel模板\Excel实战技巧精粹：Excel模板大全1000例\事业单位收入支出表.xls","事业单位收入支出表.xls")</f>
        <v>事业单位收入支出表.xls</v>
      </c>
      <c r="Q268">
        <v>0.02</v>
      </c>
      <c r="R268" s="7" t="str">
        <f t="shared" si="7"/>
        <v>E:\附赠：Excel模板\Excel实战技巧精粹：Excel模板大全1000例</v>
      </c>
      <c r="S268" s="9">
        <v>43600.3821296296</v>
      </c>
      <c r="T268" s="9">
        <v>43390.5138657407</v>
      </c>
    </row>
    <row r="269" spans="14:20">
      <c r="N269" s="7" t="str">
        <f>HYPERLINK("E:\附赠：Excel模板\Excel实战技巧精粹：Excel模板大全1000例\事业单位机构编制基本情况调查表.xls","事业单位机构编制基本情况调查表.xls")</f>
        <v>事业单位机构编制基本情况调查表.xls</v>
      </c>
      <c r="Q269">
        <v>0.02</v>
      </c>
      <c r="R269" s="7" t="str">
        <f t="shared" si="7"/>
        <v>E:\附赠：Excel模板\Excel实战技巧精粹：Excel模板大全1000例</v>
      </c>
      <c r="S269" s="9">
        <v>43600.3821296296</v>
      </c>
      <c r="T269" s="9">
        <v>43390.5138657407</v>
      </c>
    </row>
    <row r="270" spans="14:20">
      <c r="N270" s="7" t="str">
        <f>HYPERLINK("E:\附赠：Excel模板\Excel实战技巧精粹：Excel模板大全1000例\事业单位法人基本情况表.xls","事业单位法人基本情况表.xls")</f>
        <v>事业单位法人基本情况表.xls</v>
      </c>
      <c r="Q270">
        <v>0.02</v>
      </c>
      <c r="R270" s="7" t="str">
        <f t="shared" si="7"/>
        <v>E:\附赠：Excel模板\Excel实战技巧精粹：Excel模板大全1000例</v>
      </c>
      <c r="S270" s="9">
        <v>43600.3821296296</v>
      </c>
      <c r="T270" s="9">
        <v>43390.5138888889</v>
      </c>
    </row>
    <row r="271" spans="14:20">
      <c r="N271" s="7" t="str">
        <f>HYPERLINK("E:\附赠：Excel模板\Excel实战技巧精粹：Excel模板大全1000例\事业单位法人年度报告.xls","事业单位法人年度报告.xls")</f>
        <v>事业单位法人年度报告.xls</v>
      </c>
      <c r="Q271">
        <v>0.01</v>
      </c>
      <c r="R271" s="7" t="str">
        <f t="shared" si="7"/>
        <v>E:\附赠：Excel模板\Excel实战技巧精粹：Excel模板大全1000例</v>
      </c>
      <c r="S271" s="9">
        <v>43600.3821296296</v>
      </c>
      <c r="T271" s="9">
        <v>43390.5138888889</v>
      </c>
    </row>
    <row r="272" spans="14:20">
      <c r="N272" s="7" t="str">
        <f>HYPERLINK("E:\附赠：Excel模板\Excel实战技巧精粹：Excel模板大全1000例\事业单位法人设立登记（备案）申请书.xls","事业单位法人设立登记（备案）申请书.xls")</f>
        <v>事业单位法人设立登记（备案）申请书.xls</v>
      </c>
      <c r="Q272">
        <v>0.02</v>
      </c>
      <c r="R272" s="7" t="str">
        <f t="shared" si="7"/>
        <v>E:\附赠：Excel模板\Excel实战技巧精粹：Excel模板大全1000例</v>
      </c>
      <c r="S272" s="9">
        <v>43600.3821296296</v>
      </c>
      <c r="T272" s="9">
        <v>43390.5138888889</v>
      </c>
    </row>
    <row r="273" spans="14:20">
      <c r="N273" s="7" t="str">
        <f>HYPERLINK("E:\附赠：Excel模板\Excel实战技巧精粹：Excel模板大全1000例\事业单位特殊专业技术人才基本情况表.xls","事业单位特殊专业技术人才基本情况表.xls")</f>
        <v>事业单位特殊专业技术人才基本情况表.xls</v>
      </c>
      <c r="Q273">
        <v>0.02</v>
      </c>
      <c r="R273" s="7" t="str">
        <f t="shared" si="7"/>
        <v>E:\附赠：Excel模板\Excel实战技巧精粹：Excel模板大全1000例</v>
      </c>
      <c r="S273" s="9">
        <v>43600.3821296296</v>
      </c>
      <c r="T273" s="9">
        <v>43390.5138657407</v>
      </c>
    </row>
    <row r="274" spans="14:20">
      <c r="N274" s="7" t="str">
        <f>HYPERLINK("E:\附赠：Excel模板\Excel实战技巧精粹：Excel模板大全1000例\事业单位管理人员基本情况表.xls","事业单位管理人员基本情况表.xls")</f>
        <v>事业单位管理人员基本情况表.xls</v>
      </c>
      <c r="Q274">
        <v>0.02</v>
      </c>
      <c r="R274" s="7" t="str">
        <f t="shared" si="7"/>
        <v>E:\附赠：Excel模板\Excel实战技巧精粹：Excel模板大全1000例</v>
      </c>
      <c r="S274" s="9">
        <v>43600.3821296296</v>
      </c>
      <c r="T274" s="9">
        <v>43390.5138888889</v>
      </c>
    </row>
    <row r="275" spans="14:20">
      <c r="N275" s="7" t="str">
        <f>HYPERLINK("E:\附赠：Excel模板\Excel实战技巧精粹：Excel模板大全1000例\事业单位财务月报.xls","事业单位财务月报.xls")</f>
        <v>事业单位财务月报.xls</v>
      </c>
      <c r="Q275">
        <v>0.02</v>
      </c>
      <c r="R275" s="7" t="str">
        <f t="shared" si="7"/>
        <v>E:\附赠：Excel模板\Excel实战技巧精粹：Excel模板大全1000例</v>
      </c>
      <c r="S275" s="9">
        <v>43600.3821296296</v>
      </c>
      <c r="T275" s="9">
        <v>43390.5138888889</v>
      </c>
    </row>
    <row r="276" spans="14:20">
      <c r="N276" s="7" t="str">
        <f>HYPERLINK("E:\附赠：Excel模板\Excel实战技巧精粹：Excel模板大全1000例\事业单位资产负债表.xls","事业单位资产负债表.xls")</f>
        <v>事业单位资产负债表.xls</v>
      </c>
      <c r="Q276">
        <v>0.02</v>
      </c>
      <c r="R276" s="7" t="str">
        <f t="shared" si="7"/>
        <v>E:\附赠：Excel模板\Excel实战技巧精粹：Excel模板大全1000例</v>
      </c>
      <c r="S276" s="9">
        <v>43600.3821296296</v>
      </c>
      <c r="T276" s="9">
        <v>43390.5138657407</v>
      </c>
    </row>
    <row r="277" spans="14:20">
      <c r="N277" s="7" t="str">
        <f>HYPERLINK("E:\附赠：Excel模板\Excel实战技巧精粹：Excel模板大全1000例\事业支出明细表.xls","事业支出明细表.xls")</f>
        <v>事业支出明细表.xls</v>
      </c>
      <c r="Q277">
        <v>0.05</v>
      </c>
      <c r="R277" s="7" t="str">
        <f t="shared" si="7"/>
        <v>E:\附赠：Excel模板\Excel实战技巧精粹：Excel模板大全1000例</v>
      </c>
      <c r="S277" s="9">
        <v>43600.3821296296</v>
      </c>
      <c r="T277" s="9">
        <v>43390.5138657407</v>
      </c>
    </row>
    <row r="278" spans="14:20">
      <c r="N278" s="7" t="str">
        <f>HYPERLINK("E:\附赠：Excel模板\Excel实战技巧精粹：Excel模板大全1000例\事业部经理、副经理应聘报名表.xls","事业部经理、副经理应聘报名表.xls")</f>
        <v>事业部经理、副经理应聘报名表.xls</v>
      </c>
      <c r="Q278">
        <v>0.02</v>
      </c>
      <c r="R278" s="7" t="str">
        <f t="shared" si="7"/>
        <v>E:\附赠：Excel模板\Excel实战技巧精粹：Excel模板大全1000例</v>
      </c>
      <c r="S278" s="9">
        <v>43600.3821296296</v>
      </c>
      <c r="T278" s="9">
        <v>43390.5138888889</v>
      </c>
    </row>
    <row r="279" spans="14:20">
      <c r="N279" s="7" t="str">
        <f>HYPERLINK("E:\附赠：Excel模板\Excel实战技巧精粹：Excel模板大全1000例\交通基础设施建设情况主要统计指标年报.xls","交通基础设施建设情况主要统计指标年报.xls")</f>
        <v>交通基础设施建设情况主要统计指标年报.xls</v>
      </c>
      <c r="Q279">
        <v>0.02</v>
      </c>
      <c r="R279" s="7" t="str">
        <f t="shared" ref="R279:R342" si="8">HYPERLINK("E:\附赠：Excel模板\Excel实战技巧精粹：Excel模板大全1000例","E:\附赠：Excel模板\Excel实战技巧精粹：Excel模板大全1000例")</f>
        <v>E:\附赠：Excel模板\Excel实战技巧精粹：Excel模板大全1000例</v>
      </c>
      <c r="S279" s="9">
        <v>43600.3821296296</v>
      </c>
      <c r="T279" s="9">
        <v>43390.5142361111</v>
      </c>
    </row>
    <row r="280" spans="14:20">
      <c r="N280" s="7" t="str">
        <f>HYPERLINK("E:\附赠：Excel模板\Excel实战技巧精粹：Excel模板大全1000例\交通基础设施建设计划完成情况表.xls","交通基础设施建设计划完成情况表.xls")</f>
        <v>交通基础设施建设计划完成情况表.xls</v>
      </c>
      <c r="Q280">
        <v>0.02</v>
      </c>
      <c r="R280" s="7" t="str">
        <f t="shared" si="8"/>
        <v>E:\附赠：Excel模板\Excel实战技巧精粹：Excel模板大全1000例</v>
      </c>
      <c r="S280" s="9">
        <v>43600.3821296296</v>
      </c>
      <c r="T280" s="9">
        <v>43390.5142361111</v>
      </c>
    </row>
    <row r="281" spans="14:20">
      <c r="N281" s="7" t="str">
        <f>HYPERLINK("E:\附赠：Excel模板\Excel实战技巧精粹：Excel模板大全1000例\交通工具明细表.xls","交通工具明细表.xls")</f>
        <v>交通工具明细表.xls</v>
      </c>
      <c r="Q281">
        <v>0.02</v>
      </c>
      <c r="R281" s="7" t="str">
        <f t="shared" si="8"/>
        <v>E:\附赠：Excel模板\Excel实战技巧精粹：Excel模板大全1000例</v>
      </c>
      <c r="S281" s="9">
        <v>43600.3821296296</v>
      </c>
      <c r="T281" s="9">
        <v>43390.5142592593</v>
      </c>
    </row>
    <row r="282" spans="14:20">
      <c r="N282" s="7" t="str">
        <f>HYPERLINK("E:\附赠：Excel模板\Excel实战技巧精粹：Excel模板大全1000例\交通经营情况明细表.xls","交通经营情况明细表.xls")</f>
        <v>交通经营情况明细表.xls</v>
      </c>
      <c r="Q282">
        <v>0.02</v>
      </c>
      <c r="R282" s="7" t="str">
        <f t="shared" si="8"/>
        <v>E:\附赠：Excel模板\Excel实战技巧精粹：Excel模板大全1000例</v>
      </c>
      <c r="S282" s="9">
        <v>43600.3821296296</v>
      </c>
      <c r="T282" s="9">
        <v>43390.5142361111</v>
      </c>
    </row>
    <row r="283" spans="14:20">
      <c r="N283" s="7" t="str">
        <f>HYPERLINK("E:\附赠：Excel模板\Excel实战技巧精粹：Excel模板大全1000例\产品分析表.xls","产品分析表.xls")</f>
        <v>产品分析表.xls</v>
      </c>
      <c r="Q283">
        <v>0.02</v>
      </c>
      <c r="R283" s="7" t="str">
        <f t="shared" si="8"/>
        <v>E:\附赠：Excel模板\Excel实战技巧精粹：Excel模板大全1000例</v>
      </c>
      <c r="S283" s="9">
        <v>43600.3821296296</v>
      </c>
      <c r="T283" s="9">
        <v>43390.5146064815</v>
      </c>
    </row>
    <row r="284" spans="14:20">
      <c r="N284" s="7" t="str">
        <f>HYPERLINK("E:\附赠：Excel模板\Excel实战技巧精粹：Excel模板大全1000例\产权界定申报表.xls","产权界定申报表.xls")</f>
        <v>产权界定申报表.xls</v>
      </c>
      <c r="Q284">
        <v>0.02</v>
      </c>
      <c r="R284" s="7" t="str">
        <f t="shared" si="8"/>
        <v>E:\附赠：Excel模板\Excel实战技巧精粹：Excel模板大全1000例</v>
      </c>
      <c r="S284" s="9">
        <v>43600.3821296296</v>
      </c>
      <c r="T284" s="9">
        <v>43390.5146064815</v>
      </c>
    </row>
    <row r="285" spans="14:20">
      <c r="N285" s="7" t="str">
        <f>HYPERLINK("E:\附赠：Excel模板\Excel实战技巧精粹：Excel模板大全1000例\人力资源状况普查汇总表.xls","人力资源状况普查汇总表.xls")</f>
        <v>人力资源状况普查汇总表.xls</v>
      </c>
      <c r="Q285">
        <v>0.02</v>
      </c>
      <c r="R285" s="7" t="str">
        <f t="shared" si="8"/>
        <v>E:\附赠：Excel模板\Excel实战技巧精粹：Excel模板大全1000例</v>
      </c>
      <c r="S285" s="9">
        <v>43600.3821296296</v>
      </c>
      <c r="T285" s="9">
        <v>43390.5139583333</v>
      </c>
    </row>
    <row r="286" spans="14:20">
      <c r="N286" s="7" t="str">
        <f>HYPERLINK("E:\附赠：Excel模板\Excel实战技巧精粹：Excel模板大全1000例\人均工资情况对比表.xls","人均工资情况对比表.xls")</f>
        <v>人均工资情况对比表.xls</v>
      </c>
      <c r="Q286">
        <v>0.02</v>
      </c>
      <c r="R286" s="7" t="str">
        <f t="shared" si="8"/>
        <v>E:\附赠：Excel模板\Excel实战技巧精粹：Excel模板大全1000例</v>
      </c>
      <c r="S286" s="9">
        <v>43600.3821296296</v>
      </c>
      <c r="T286" s="9">
        <v>43390.5139583333</v>
      </c>
    </row>
    <row r="287" spans="14:20">
      <c r="N287" s="7" t="str">
        <f>HYPERLINK("E:\附赠：Excel模板\Excel实战技巧精粹：Excel模板大全1000例\人才中介许可.xls","人才中介许可.xls")</f>
        <v>人才中介许可.xls</v>
      </c>
      <c r="Q287">
        <v>0.02</v>
      </c>
      <c r="R287" s="7" t="str">
        <f t="shared" si="8"/>
        <v>E:\附赠：Excel模板\Excel实战技巧精粹：Excel模板大全1000例</v>
      </c>
      <c r="S287" s="9">
        <v>43600.3821296296</v>
      </c>
      <c r="T287" s="9">
        <v>43390.5139583333</v>
      </c>
    </row>
    <row r="288" spans="14:20">
      <c r="N288" s="7" t="str">
        <f>HYPERLINK("E:\附赠：Excel模板\Excel实战技巧精粹：Excel模板大全1000例\人才中介许可登.xls","人才中介许可登.xls")</f>
        <v>人才中介许可登.xls</v>
      </c>
      <c r="Q288">
        <v>0.02</v>
      </c>
      <c r="R288" s="7" t="str">
        <f t="shared" si="8"/>
        <v>E:\附赠：Excel模板\Excel实战技巧精粹：Excel模板大全1000例</v>
      </c>
      <c r="S288" s="9">
        <v>43600.3821296296</v>
      </c>
      <c r="T288" s="9">
        <v>43390.5139583333</v>
      </c>
    </row>
    <row r="289" spans="14:20">
      <c r="N289" s="7" t="str">
        <f>HYPERLINK("E:\附赠：Excel模板\Excel实战技巧精粹：Excel模板大全1000例\人才培训课程表.xls","人才培训课程表.xls")</f>
        <v>人才培训课程表.xls</v>
      </c>
      <c r="Q289">
        <v>0.12</v>
      </c>
      <c r="R289" s="7" t="str">
        <f t="shared" si="8"/>
        <v>E:\附赠：Excel模板\Excel实战技巧精粹：Excel模板大全1000例</v>
      </c>
      <c r="S289" s="9">
        <v>43600.3821296296</v>
      </c>
      <c r="T289" s="9">
        <v>43390.5139583333</v>
      </c>
    </row>
    <row r="290" spans="14:20">
      <c r="N290" s="7" t="str">
        <f>HYPERLINK("E:\附赠：Excel模板\Excel实战技巧精粹：Excel模板大全1000例\人才招聘会企业名单.xls","人才招聘会企业名单.xls")</f>
        <v>人才招聘会企业名单.xls</v>
      </c>
      <c r="Q290">
        <v>0.03</v>
      </c>
      <c r="R290" s="7" t="str">
        <f t="shared" si="8"/>
        <v>E:\附赠：Excel模板\Excel实战技巧精粹：Excel模板大全1000例</v>
      </c>
      <c r="S290" s="9">
        <v>43600.3821296296</v>
      </c>
      <c r="T290" s="9">
        <v>43390.5139583333</v>
      </c>
    </row>
    <row r="291" spans="14:20">
      <c r="N291" s="7" t="str">
        <f>HYPERLINK("E:\附赠：Excel模板\Excel实战技巧精粹：Excel模板大全1000例\人民币贷款明细表.xls","人民币贷款明细表.xls")</f>
        <v>人民币贷款明细表.xls</v>
      </c>
      <c r="Q291">
        <v>0.02</v>
      </c>
      <c r="R291" s="7" t="str">
        <f t="shared" si="8"/>
        <v>E:\附赠：Excel模板\Excel实战技巧精粹：Excel模板大全1000例</v>
      </c>
      <c r="S291" s="9">
        <v>43600.3821296296</v>
      </c>
      <c r="T291" s="9">
        <v>43390.5139583333</v>
      </c>
    </row>
    <row r="292" spans="14:20">
      <c r="N292" s="7" t="str">
        <f>HYPERLINK("E:\附赠：Excel模板\Excel实战技巧精粹：Excel模板大全1000例\人身保险公司业务统计表.xls","人身保险公司业务统计表.xls")</f>
        <v>人身保险公司业务统计表.xls</v>
      </c>
      <c r="Q292">
        <v>0.02</v>
      </c>
      <c r="R292" s="7" t="str">
        <f t="shared" si="8"/>
        <v>E:\附赠：Excel模板\Excel实战技巧精粹：Excel模板大全1000例</v>
      </c>
      <c r="S292" s="9">
        <v>43600.3821296296</v>
      </c>
      <c r="T292" s="9">
        <v>43390.5139583333</v>
      </c>
    </row>
    <row r="293" spans="14:20">
      <c r="N293" s="7" t="str">
        <f>HYPERLINK("E:\附赠：Excel模板\Excel实战技巧精粹：Excel模板大全1000例\仓库、通讯、财务(银行除外)及商用服务业指标.xls","仓库、通讯、财务(银行除外)及商用服务业指标.xls")</f>
        <v>仓库、通讯、财务(银行除外)及商用服务业指标.xls</v>
      </c>
      <c r="Q293">
        <v>0.03</v>
      </c>
      <c r="R293" s="7" t="str">
        <f t="shared" si="8"/>
        <v>E:\附赠：Excel模板\Excel实战技巧精粹：Excel模板大全1000例</v>
      </c>
      <c r="S293" s="9">
        <v>43600.3821296296</v>
      </c>
      <c r="T293" s="9">
        <v>43390.5146064815</v>
      </c>
    </row>
    <row r="294" spans="14:20">
      <c r="N294" s="7" t="str">
        <f>HYPERLINK("E:\附赠：Excel模板\Excel实战技巧精粹：Excel模板大全1000例\代理记账机构基础信息核对表.xls","代理记账机构基础信息核对表.xls")</f>
        <v>代理记账机构基础信息核对表.xls</v>
      </c>
      <c r="Q294">
        <v>0.01</v>
      </c>
      <c r="R294" s="7" t="str">
        <f t="shared" si="8"/>
        <v>E:\附赠：Excel模板\Excel实战技巧精粹：Excel模板大全1000例</v>
      </c>
      <c r="S294" s="9">
        <v>43600.3821296296</v>
      </c>
      <c r="T294" s="9">
        <v>43390.5145138889</v>
      </c>
    </row>
    <row r="295" spans="14:20">
      <c r="N295" s="7" t="str">
        <f>HYPERLINK("E:\附赠：Excel模板\Excel实战技巧精粹：Excel模板大全1000例\仪器设备使用费预算明细表.xls","仪器设备使用费预算明细表.xls")</f>
        <v>仪器设备使用费预算明细表.xls</v>
      </c>
      <c r="Q295">
        <v>0.02</v>
      </c>
      <c r="R295" s="7" t="str">
        <f t="shared" si="8"/>
        <v>E:\附赠：Excel模板\Excel实战技巧精粹：Excel模板大全1000例</v>
      </c>
      <c r="S295" s="9">
        <v>43600.3821296296</v>
      </c>
      <c r="T295" s="9">
        <v>43390.5135416667</v>
      </c>
    </row>
    <row r="296" spans="14:20">
      <c r="N296" s="7" t="str">
        <f>HYPERLINK("E:\附赠：Excel模板\Excel实战技巧精粹：Excel模板大全1000例\价格指数.xls","价格指数.xls")</f>
        <v>价格指数.xls</v>
      </c>
      <c r="Q296">
        <v>0.03</v>
      </c>
      <c r="R296" s="7" t="str">
        <f t="shared" si="8"/>
        <v>E:\附赠：Excel模板\Excel实战技巧精粹：Excel模板大全1000例</v>
      </c>
      <c r="S296" s="9">
        <v>43600.3821296296</v>
      </c>
      <c r="T296" s="9">
        <v>43390.5142592593</v>
      </c>
    </row>
    <row r="297" spans="14:20">
      <c r="N297" s="7" t="str">
        <f>HYPERLINK("E:\附赠：Excel模板\Excel实战技巧精粹：Excel模板大全1000例\价格查找.xls","价格查找.xls")</f>
        <v>价格查找.xls</v>
      </c>
      <c r="Q297">
        <v>0.04</v>
      </c>
      <c r="R297" s="7" t="str">
        <f t="shared" si="8"/>
        <v>E:\附赠：Excel模板\Excel实战技巧精粹：Excel模板大全1000例</v>
      </c>
      <c r="S297" s="9">
        <v>43600.3821296296</v>
      </c>
      <c r="T297" s="9">
        <v>43390.5142592593</v>
      </c>
    </row>
    <row r="298" spans="14:20">
      <c r="N298" s="7" t="str">
        <f>HYPERLINK("E:\附赠：Excel模板\Excel实战技巧精粹：Excel模板大全1000例\价格检查统计表.xls","价格检查统计表.xls")</f>
        <v>价格检查统计表.xls</v>
      </c>
      <c r="Q298">
        <v>0.02</v>
      </c>
      <c r="R298" s="7" t="str">
        <f t="shared" si="8"/>
        <v>E:\附赠：Excel模板\Excel实战技巧精粹：Excel模板大全1000例</v>
      </c>
      <c r="S298" s="9">
        <v>43600.3821296296</v>
      </c>
      <c r="T298" s="9">
        <v>43390.5142592593</v>
      </c>
    </row>
    <row r="299" spans="14:20">
      <c r="N299" s="7" t="str">
        <f>HYPERLINK("E:\附赠：Excel模板\Excel实战技巧精粹：Excel模板大全1000例\价格社会监督统计表.xls","价格社会监督统计表.xls")</f>
        <v>价格社会监督统计表.xls</v>
      </c>
      <c r="Q299">
        <v>0.02</v>
      </c>
      <c r="R299" s="7" t="str">
        <f t="shared" si="8"/>
        <v>E:\附赠：Excel模板\Excel实战技巧精粹：Excel模板大全1000例</v>
      </c>
      <c r="S299" s="9">
        <v>43600.3821296296</v>
      </c>
      <c r="T299" s="9">
        <v>43390.5142592593</v>
      </c>
    </row>
    <row r="300" spans="14:20">
      <c r="N300" s="7" t="str">
        <f>HYPERLINK("E:\附赠：Excel模板\Excel实战技巧精粹：Excel模板大全1000例\任职资格培训学员登记表.xls","任职资格培训学员登记表.xls")</f>
        <v>任职资格培训学员登记表.xls</v>
      </c>
      <c r="Q300">
        <v>0.02</v>
      </c>
      <c r="R300" s="7" t="str">
        <f t="shared" si="8"/>
        <v>E:\附赠：Excel模板\Excel实战技巧精粹：Excel模板大全1000例</v>
      </c>
      <c r="S300" s="9">
        <v>43600.3821296296</v>
      </c>
      <c r="T300" s="9">
        <v>43390.5139583333</v>
      </c>
    </row>
    <row r="301" spans="14:20">
      <c r="N301" s="7" t="str">
        <f>HYPERLINK("E:\附赠：Excel模板\Excel实战技巧精粹：Excel模板大全1000例\任职资格考试合格人员登记表.xls","任职资格考试合格人员登记表.xls")</f>
        <v>任职资格考试合格人员登记表.xls</v>
      </c>
      <c r="Q301">
        <v>0.02</v>
      </c>
      <c r="R301" s="7" t="str">
        <f t="shared" si="8"/>
        <v>E:\附赠：Excel模板\Excel实战技巧精粹：Excel模板大全1000例</v>
      </c>
      <c r="S301" s="9">
        <v>43600.3821296296</v>
      </c>
      <c r="T301" s="9">
        <v>43390.5139583333</v>
      </c>
    </row>
    <row r="302" spans="14:20">
      <c r="N302" s="7" t="str">
        <f>HYPERLINK("E:\附赠：Excel模板\Excel实战技巧精粹：Excel模板大全1000例\任课教师领书记录.xls","任课教师领书记录.xls")</f>
        <v>任课教师领书记录.xls</v>
      </c>
      <c r="Q302">
        <v>0.01</v>
      </c>
      <c r="R302" s="7" t="str">
        <f t="shared" si="8"/>
        <v>E:\附赠：Excel模板\Excel实战技巧精粹：Excel模板大全1000例</v>
      </c>
      <c r="S302" s="9">
        <v>43600.3821296296</v>
      </c>
      <c r="T302" s="9">
        <v>43390.5139583333</v>
      </c>
    </row>
    <row r="303" spans="14:20">
      <c r="N303" s="7" t="str">
        <f>HYPERLINK("E:\附赠：Excel模板\Excel实战技巧精粹：Excel模板大全1000例\企业专业技术人员基本情况表.xls","企业专业技术人员基本情况表.xls")</f>
        <v>企业专业技术人员基本情况表.xls</v>
      </c>
      <c r="Q303">
        <v>0.02</v>
      </c>
      <c r="R303" s="7" t="str">
        <f t="shared" si="8"/>
        <v>E:\附赠：Excel模板\Excel实战技巧精粹：Excel模板大全1000例</v>
      </c>
      <c r="S303" s="9">
        <v>43600.3821296296</v>
      </c>
      <c r="T303" s="9">
        <v>43390.5140046296</v>
      </c>
    </row>
    <row r="304" spans="14:20">
      <c r="N304" s="7" t="str">
        <f>HYPERLINK("E:\附赠：Excel模板\Excel实战技巧精粹：Excel模板大全1000例\企业人员培训情况表.xls","企业人员培训情况表.xls")</f>
        <v>企业人员培训情况表.xls</v>
      </c>
      <c r="Q304">
        <v>0.02</v>
      </c>
      <c r="R304" s="7" t="str">
        <f t="shared" si="8"/>
        <v>E:\附赠：Excel模板\Excel实战技巧精粹：Excel模板大全1000例</v>
      </c>
      <c r="S304" s="9">
        <v>43600.3821296296</v>
      </c>
      <c r="T304" s="9">
        <v>43390.5140046296</v>
      </c>
    </row>
    <row r="305" spans="14:20">
      <c r="N305" s="7" t="str">
        <f>HYPERLINK("E:\附赠：Excel模板\Excel实战技巧精粹：Excel模板大全1000例\企业利润表.xls","企业利润表.xls")</f>
        <v>企业利润表.xls</v>
      </c>
      <c r="Q305">
        <v>0.02</v>
      </c>
      <c r="R305" s="7" t="str">
        <f t="shared" si="8"/>
        <v>E:\附赠：Excel模板\Excel实战技巧精粹：Excel模板大全1000例</v>
      </c>
      <c r="S305" s="9">
        <v>43600.3821296296</v>
      </c>
      <c r="T305" s="9">
        <v>43390.5140046296</v>
      </c>
    </row>
    <row r="306" spans="14:20">
      <c r="N306" s="7" t="str">
        <f>HYPERLINK("E:\附赠：Excel模板\Excel实战技巧精粹：Excel模板大全1000例\企业商贸旅游业发展和网点建设财政资助项目审批表.xls","企业商贸旅游业发展和网点建设财政资助项目审批表.xls")</f>
        <v>企业商贸旅游业发展和网点建设财政资助项目审批表.xls</v>
      </c>
      <c r="Q306">
        <v>0.02</v>
      </c>
      <c r="R306" s="7" t="str">
        <f t="shared" si="8"/>
        <v>E:\附赠：Excel模板\Excel实战技巧精粹：Excel模板大全1000例</v>
      </c>
      <c r="S306" s="9">
        <v>43600.3821296296</v>
      </c>
      <c r="T306" s="9">
        <v>43390.5140046296</v>
      </c>
    </row>
    <row r="307" spans="14:20">
      <c r="N307" s="7" t="str">
        <f>HYPERLINK("E:\附赠：Excel模板\Excel实战技巧精粹：Excel模板大全1000例\企业年报.xls","企业年报.xls")</f>
        <v>企业年报.xls</v>
      </c>
      <c r="Q307">
        <v>0.04</v>
      </c>
      <c r="R307" s="7" t="str">
        <f t="shared" si="8"/>
        <v>E:\附赠：Excel模板\Excel实战技巧精粹：Excel模板大全1000例</v>
      </c>
      <c r="S307" s="9">
        <v>43600.3821296296</v>
      </c>
      <c r="T307" s="9">
        <v>43390.5140046296</v>
      </c>
    </row>
    <row r="308" spans="14:20">
      <c r="N308" s="7" t="str">
        <f>HYPERLINK("E:\附赠：Excel模板\Excel实战技巧精粹：Excel模板大全1000例\企业所得税纳税申报表.xls","企业所得税纳税申报表.xls")</f>
        <v>企业所得税纳税申报表.xls</v>
      </c>
      <c r="Q308">
        <v>0.02</v>
      </c>
      <c r="R308" s="7" t="str">
        <f t="shared" si="8"/>
        <v>E:\附赠：Excel模板\Excel实战技巧精粹：Excel模板大全1000例</v>
      </c>
      <c r="S308" s="9">
        <v>43600.3821296296</v>
      </c>
      <c r="T308" s="9">
        <v>43390.5140046296</v>
      </c>
    </row>
    <row r="309" spans="14:20">
      <c r="N309" s="7" t="str">
        <f>HYPERLINK("E:\附赠：Excel模板\Excel实战技巧精粹：Excel模板大全1000例\企业报告与出口收汇核销.xls","企业报告与出口收汇核销.xls")</f>
        <v>企业报告与出口收汇核销.xls</v>
      </c>
      <c r="Q309">
        <v>0.03</v>
      </c>
      <c r="R309" s="7" t="str">
        <f t="shared" si="8"/>
        <v>E:\附赠：Excel模板\Excel实战技巧精粹：Excel模板大全1000例</v>
      </c>
      <c r="S309" s="9">
        <v>43600.3821296296</v>
      </c>
      <c r="T309" s="9">
        <v>43390.5140277778</v>
      </c>
    </row>
    <row r="310" spans="14:20">
      <c r="N310" s="7" t="str">
        <f>HYPERLINK("E:\附赠：Excel模板\Excel实战技巧精粹：Excel模板大全1000例\企业报税总表.xls","企业报税总表.xls")</f>
        <v>企业报税总表.xls</v>
      </c>
      <c r="Q310">
        <v>0.02</v>
      </c>
      <c r="R310" s="7" t="str">
        <f t="shared" si="8"/>
        <v>E:\附赠：Excel模板\Excel实战技巧精粹：Excel模板大全1000例</v>
      </c>
      <c r="S310" s="9">
        <v>43600.3821296296</v>
      </c>
      <c r="T310" s="9">
        <v>43390.5140277778</v>
      </c>
    </row>
    <row r="311" spans="14:20">
      <c r="N311" s="7" t="str">
        <f>HYPERLINK("E:\附赠：Excel模板\Excel实战技巧精粹：Excel模板大全1000例\企业法人基本情况表.xls","企业法人基本情况表.xls")</f>
        <v>企业法人基本情况表.xls</v>
      </c>
      <c r="Q311">
        <v>0.02</v>
      </c>
      <c r="R311" s="7" t="str">
        <f t="shared" si="8"/>
        <v>E:\附赠：Excel模板\Excel实战技巧精粹：Excel模板大全1000例</v>
      </c>
      <c r="S311" s="9">
        <v>43600.3821296296</v>
      </c>
      <c r="T311" s="9">
        <v>43390.5140046296</v>
      </c>
    </row>
    <row r="312" spans="14:20">
      <c r="N312" s="7" t="str">
        <f>HYPERLINK("E:\附赠：Excel模板\Excel实战技巧精粹：Excel模板大全1000例\企业特殊技术人才基本情况表.xls","企业特殊技术人才基本情况表.xls")</f>
        <v>企业特殊技术人才基本情况表.xls</v>
      </c>
      <c r="Q312">
        <v>0.02</v>
      </c>
      <c r="R312" s="7" t="str">
        <f t="shared" si="8"/>
        <v>E:\附赠：Excel模板\Excel实战技巧精粹：Excel模板大全1000例</v>
      </c>
      <c r="S312" s="9">
        <v>43600.3821296296</v>
      </c>
      <c r="T312" s="9">
        <v>43390.5140046296</v>
      </c>
    </row>
    <row r="313" spans="14:20">
      <c r="N313" s="7" t="str">
        <f>HYPERLINK("E:\附赠：Excel模板\Excel实战技巧精粹：Excel模板大全1000例\企业现金流量表.xls","企业现金流量表.xls")</f>
        <v>企业现金流量表.xls</v>
      </c>
      <c r="Q313">
        <v>0.02</v>
      </c>
      <c r="R313" s="7" t="str">
        <f t="shared" si="8"/>
        <v>E:\附赠：Excel模板\Excel实战技巧精粹：Excel模板大全1000例</v>
      </c>
      <c r="S313" s="9">
        <v>43600.3821296296</v>
      </c>
      <c r="T313" s="9">
        <v>43390.5140046296</v>
      </c>
    </row>
    <row r="314" spans="14:20">
      <c r="N314" s="7" t="str">
        <f>HYPERLINK("E:\附赠：Excel模板\Excel实战技巧精粹：Excel模板大全1000例\企业申报说明.xls","企业申报说明.xls")</f>
        <v>企业申报说明.xls</v>
      </c>
      <c r="Q314">
        <v>0.02</v>
      </c>
      <c r="R314" s="7" t="str">
        <f t="shared" si="8"/>
        <v>E:\附赠：Excel模板\Excel实战技巧精粹：Excel模板大全1000例</v>
      </c>
      <c r="S314" s="9">
        <v>43600.3821296296</v>
      </c>
      <c r="T314" s="9">
        <v>43390.5140046296</v>
      </c>
    </row>
    <row r="315" spans="14:20">
      <c r="N315" s="7" t="str">
        <f>HYPERLINK("E:\附赠：Excel模板\Excel实战技巧精粹：Excel模板大全1000例\企业经营管理人员基本情况表.xls","企业经营管理人员基本情况表.xls")</f>
        <v>企业经营管理人员基本情况表.xls</v>
      </c>
      <c r="Q315">
        <v>0.03</v>
      </c>
      <c r="R315" s="7" t="str">
        <f t="shared" si="8"/>
        <v>E:\附赠：Excel模板\Excel实战技巧精粹：Excel模板大全1000例</v>
      </c>
      <c r="S315" s="9">
        <v>43600.3821296296</v>
      </c>
      <c r="T315" s="9">
        <v>43390.5140046296</v>
      </c>
    </row>
    <row r="316" spans="14:20">
      <c r="N316" s="7" t="str">
        <f>HYPERLINK("E:\附赠：Excel模板\Excel实战技巧精粹：Excel模板大全1000例\企业财务会计主要指标快报表.xls","企业财务会计主要指标快报表.xls")</f>
        <v>企业财务会计主要指标快报表.xls</v>
      </c>
      <c r="Q316">
        <v>0.01</v>
      </c>
      <c r="R316" s="7" t="str">
        <f t="shared" si="8"/>
        <v>E:\附赠：Excel模板\Excel实战技巧精粹：Excel模板大全1000例</v>
      </c>
      <c r="S316" s="9">
        <v>43600.3821296296</v>
      </c>
      <c r="T316" s="9">
        <v>43390.5140046296</v>
      </c>
    </row>
    <row r="317" spans="14:20">
      <c r="N317" s="7" t="str">
        <f>HYPERLINK("E:\附赠：Excel模板\Excel实战技巧精粹：Excel模板大全1000例\企业财务会计月报主要指标表.xls","企业财务会计月报主要指标表.xls")</f>
        <v>企业财务会计月报主要指标表.xls</v>
      </c>
      <c r="Q317">
        <v>0.02</v>
      </c>
      <c r="R317" s="7" t="str">
        <f t="shared" si="8"/>
        <v>E:\附赠：Excel模板\Excel实战技巧精粹：Excel模板大全1000例</v>
      </c>
      <c r="S317" s="9">
        <v>43600.3821296296</v>
      </c>
      <c r="T317" s="9">
        <v>43390.5140277778</v>
      </c>
    </row>
    <row r="318" spans="14:20">
      <c r="N318" s="7" t="str">
        <f>HYPERLINK("E:\附赠：Excel模板\Excel实战技巧精粹：Excel模板大全1000例\企业财务会计月报附列指标表.xls","企业财务会计月报附列指标表.xls")</f>
        <v>企业财务会计月报附列指标表.xls</v>
      </c>
      <c r="Q318">
        <v>0.03</v>
      </c>
      <c r="R318" s="7" t="str">
        <f t="shared" si="8"/>
        <v>E:\附赠：Excel模板\Excel实战技巧精粹：Excel模板大全1000例</v>
      </c>
      <c r="S318" s="9">
        <v>43600.3821296296</v>
      </c>
      <c r="T318" s="9">
        <v>43390.5140277778</v>
      </c>
    </row>
    <row r="319" spans="14:20">
      <c r="N319" s="7" t="str">
        <f>HYPERLINK("E:\附赠：Excel模板\Excel实战技巧精粹：Excel模板大全1000例\企业财务快报汇总表.xls","企业财务快报汇总表.xls")</f>
        <v>企业财务快报汇总表.xls</v>
      </c>
      <c r="Q319">
        <v>0.03</v>
      </c>
      <c r="R319" s="7" t="str">
        <f t="shared" si="8"/>
        <v>E:\附赠：Excel模板\Excel实战技巧精粹：Excel模板大全1000例</v>
      </c>
      <c r="S319" s="9">
        <v>43600.3821296296</v>
      </c>
      <c r="T319" s="9">
        <v>43390.5140046296</v>
      </c>
    </row>
    <row r="320" spans="14:20">
      <c r="N320" s="7" t="str">
        <f>HYPERLINK("E:\附赠：Excel模板\Excel实战技巧精粹：Excel模板大全1000例\企业进料对帐表.xls","企业进料对帐表.xls")</f>
        <v>企业进料对帐表.xls</v>
      </c>
      <c r="Q320">
        <v>0.05</v>
      </c>
      <c r="R320" s="7" t="str">
        <f t="shared" si="8"/>
        <v>E:\附赠：Excel模板\Excel实战技巧精粹：Excel模板大全1000例</v>
      </c>
      <c r="S320" s="9">
        <v>43600.3821296296</v>
      </c>
      <c r="T320" s="9">
        <v>43390.5140277778</v>
      </c>
    </row>
    <row r="321" spans="14:20">
      <c r="N321" s="7" t="str">
        <f>HYPERLINK("E:\附赠：Excel模板\Excel实战技巧精粹：Excel模板大全1000例\企业银行资金回笼表.xls","企业银行资金回笼表.xls")</f>
        <v>企业银行资金回笼表.xls</v>
      </c>
      <c r="Q321">
        <v>0.02</v>
      </c>
      <c r="R321" s="7" t="str">
        <f t="shared" si="8"/>
        <v>E:\附赠：Excel模板\Excel实战技巧精粹：Excel模板大全1000例</v>
      </c>
      <c r="S321" s="9">
        <v>43600.3821296296</v>
      </c>
      <c r="T321" s="9">
        <v>43390.5140046296</v>
      </c>
    </row>
    <row r="322" spans="14:20">
      <c r="N322" s="7" t="str">
        <f>HYPERLINK("E:\附赠：Excel模板\Excel实战技巧精粹：Excel模板大全1000例\企管生产管理类课程安排.xls","企管生产管理类课程安排.xls")</f>
        <v>企管生产管理类课程安排.xls</v>
      </c>
      <c r="Q322">
        <v>0.02</v>
      </c>
      <c r="R322" s="7" t="str">
        <f t="shared" si="8"/>
        <v>E:\附赠：Excel模板\Excel实战技巧精粹：Excel模板大全1000例</v>
      </c>
      <c r="S322" s="9">
        <v>43600.3821296296</v>
      </c>
      <c r="T322" s="9">
        <v>43390.5140277778</v>
      </c>
    </row>
    <row r="323" spans="14:20">
      <c r="N323" s="7" t="str">
        <f>HYPERLINK("E:\附赠：Excel模板\Excel实战技巧精粹：Excel模板大全1000例\会员费用结算表.xls","会员费用结算表.xls")</f>
        <v>会员费用结算表.xls</v>
      </c>
      <c r="Q323">
        <v>0.02</v>
      </c>
      <c r="R323" s="7" t="str">
        <f t="shared" si="8"/>
        <v>E:\附赠：Excel模板\Excel实战技巧精粹：Excel模板大全1000例</v>
      </c>
      <c r="S323" s="9">
        <v>43600.3821296296</v>
      </c>
      <c r="T323" s="9">
        <v>43390.5143287037</v>
      </c>
    </row>
    <row r="324" spans="14:20">
      <c r="N324" s="7" t="str">
        <f>HYPERLINK("E:\附赠：Excel模板\Excel实战技巧精粹：Excel模板大全1000例\会计从业资格信息登记表.xls","会计从业资格信息登记表.xls")</f>
        <v>会计从业资格信息登记表.xls</v>
      </c>
      <c r="Q324">
        <v>0.04</v>
      </c>
      <c r="R324" s="7" t="str">
        <f t="shared" si="8"/>
        <v>E:\附赠：Excel模板\Excel实战技巧精粹：Excel模板大全1000例</v>
      </c>
      <c r="S324" s="9">
        <v>43600.3821296296</v>
      </c>
      <c r="T324" s="9">
        <v>43390.5143287037</v>
      </c>
    </row>
    <row r="325" spans="14:20">
      <c r="N325" s="7" t="str">
        <f>HYPERLINK("E:\附赠：Excel模板\Excel实战技巧精粹：Excel模板大全1000例\会计学专业教学计划进程表.xls","会计学专业教学计划进程表.xls")</f>
        <v>会计学专业教学计划进程表.xls</v>
      </c>
      <c r="Q325">
        <v>0.02</v>
      </c>
      <c r="R325" s="7" t="str">
        <f t="shared" si="8"/>
        <v>E:\附赠：Excel模板\Excel实战技巧精粹：Excel模板大全1000例</v>
      </c>
      <c r="S325" s="9">
        <v>43600.3821296296</v>
      </c>
      <c r="T325" s="9">
        <v>43390.5143287037</v>
      </c>
    </row>
    <row r="326" spans="14:20">
      <c r="N326" s="7" t="str">
        <f>HYPERLINK("E:\附赠：Excel模板\Excel实战技巧精粹：Excel模板大全1000例\低保家庭救助名册.xls","低保家庭救助名册.xls")</f>
        <v>低保家庭救助名册.xls</v>
      </c>
      <c r="Q326">
        <v>0.06</v>
      </c>
      <c r="R326" s="7" t="str">
        <f t="shared" si="8"/>
        <v>E:\附赠：Excel模板\Excel实战技巧精粹：Excel模板大全1000例</v>
      </c>
      <c r="S326" s="9">
        <v>43600.3821296296</v>
      </c>
      <c r="T326" s="9">
        <v>43390.5144907407</v>
      </c>
    </row>
    <row r="327" spans="14:20">
      <c r="N327" s="7" t="str">
        <f>HYPERLINK("E:\附赠：Excel模板\Excel实战技巧精粹：Excel模板大全1000例\住房公积金信息情况核对登记表.xls","住房公积金信息情况核对登记表.xls")</f>
        <v>住房公积金信息情况核对登记表.xls</v>
      </c>
      <c r="Q327">
        <v>0.02</v>
      </c>
      <c r="R327" s="7" t="str">
        <f t="shared" si="8"/>
        <v>E:\附赠：Excel模板\Excel实战技巧精粹：Excel模板大全1000例</v>
      </c>
      <c r="S327" s="9">
        <v>43600.3821296296</v>
      </c>
      <c r="T327" s="9">
        <v>43390.5134259259</v>
      </c>
    </row>
    <row r="328" spans="14:20">
      <c r="N328" s="7" t="str">
        <f>HYPERLINK("E:\附赠：Excel模板\Excel实战技巧精粹：Excel模板大全1000例\住房公积金汇缴清册.xls","住房公积金汇缴清册.xls")</f>
        <v>住房公积金汇缴清册.xls</v>
      </c>
      <c r="Q328">
        <v>0.26</v>
      </c>
      <c r="R328" s="7" t="str">
        <f t="shared" si="8"/>
        <v>E:\附赠：Excel模板\Excel实战技巧精粹：Excel模板大全1000例</v>
      </c>
      <c r="S328" s="9">
        <v>43600.3821296296</v>
      </c>
      <c r="T328" s="9">
        <v>43390.5134490741</v>
      </c>
    </row>
    <row r="329" spans="14:20">
      <c r="N329" s="7" t="str">
        <f>HYPERLINK("E:\附赠：Excel模板\Excel实战技巧精粹：Excel模板大全1000例\住房补贴支出预算明细表.xls","住房补贴支出预算明细表.xls")</f>
        <v>住房补贴支出预算明细表.xls</v>
      </c>
      <c r="Q329">
        <v>0.02</v>
      </c>
      <c r="R329" s="7" t="str">
        <f t="shared" si="8"/>
        <v>E:\附赠：Excel模板\Excel实战技巧精粹：Excel模板大全1000例</v>
      </c>
      <c r="S329" s="9">
        <v>43600.3821296296</v>
      </c>
      <c r="T329" s="9">
        <v>43390.5134259259</v>
      </c>
    </row>
    <row r="330" spans="14:20">
      <c r="N330" s="7" t="str">
        <f>HYPERLINK("E:\附赠：Excel模板\Excel实战技巧精粹：Excel模板大全1000例\住房补贴资金职工提取情况表.xls","住房补贴资金职工提取情况表.xls")</f>
        <v>住房补贴资金职工提取情况表.xls</v>
      </c>
      <c r="Q330">
        <v>0.02</v>
      </c>
      <c r="R330" s="7" t="str">
        <f t="shared" si="8"/>
        <v>E:\附赠：Excel模板\Excel实战技巧精粹：Excel模板大全1000例</v>
      </c>
      <c r="S330" s="9">
        <v>43600.3821296296</v>
      </c>
      <c r="T330" s="9">
        <v>43390.5134259259</v>
      </c>
    </row>
    <row r="331" spans="14:20">
      <c r="N331" s="7" t="str">
        <f>HYPERLINK("E:\附赠：Excel模板\Excel实战技巧精粹：Excel模板大全1000例\作业指导卡.xls","作业指导卡.xls")</f>
        <v>作业指导卡.xls</v>
      </c>
      <c r="Q331">
        <v>0.94</v>
      </c>
      <c r="R331" s="7" t="str">
        <f t="shared" si="8"/>
        <v>E:\附赠：Excel模板\Excel实战技巧精粹：Excel模板大全1000例</v>
      </c>
      <c r="S331" s="9">
        <v>43600.3821296296</v>
      </c>
      <c r="T331" s="9">
        <v>43390.5133796296</v>
      </c>
    </row>
    <row r="332" spans="14:20">
      <c r="N332" s="7" t="str">
        <f>HYPERLINK("E:\附赠：Excel模板\Excel实战技巧精粹：Excel模板大全1000例\使用双语授课的课程一览表.xls","使用双语授课的课程一览表.xls")</f>
        <v>使用双语授课的课程一览表.xls</v>
      </c>
      <c r="Q332">
        <v>0.02</v>
      </c>
      <c r="R332" s="7" t="str">
        <f t="shared" si="8"/>
        <v>E:\附赠：Excel模板\Excel实战技巧精粹：Excel模板大全1000例</v>
      </c>
      <c r="S332" s="9">
        <v>43600.3821296296</v>
      </c>
      <c r="T332" s="9">
        <v>43390.5138888889</v>
      </c>
    </row>
    <row r="333" spans="14:20">
      <c r="N333" s="7" t="str">
        <f>HYPERLINK("E:\附赠：Excel模板\Excel实战技巧精粹：Excel模板大全1000例\供应商发展策略和计划.xls","供应商发展策略和计划.xls")</f>
        <v>供应商发展策略和计划.xls</v>
      </c>
      <c r="Q333">
        <v>0.01</v>
      </c>
      <c r="R333" s="7" t="str">
        <f t="shared" si="8"/>
        <v>E:\附赠：Excel模板\Excel实战技巧精粹：Excel模板大全1000例</v>
      </c>
      <c r="S333" s="9">
        <v>43600.3821296296</v>
      </c>
      <c r="T333" s="9">
        <v>43390.5143981481</v>
      </c>
    </row>
    <row r="334" spans="14:20">
      <c r="N334" s="7" t="str">
        <f>HYPERLINK("E:\附赠：Excel模板\Excel实战技巧精粹：Excel模板大全1000例\供应商资料.xls","供应商资料.xls")</f>
        <v>供应商资料.xls</v>
      </c>
      <c r="Q334">
        <v>0.02</v>
      </c>
      <c r="R334" s="7" t="str">
        <f t="shared" si="8"/>
        <v>E:\附赠：Excel模板\Excel实战技巧精粹：Excel模板大全1000例</v>
      </c>
      <c r="S334" s="9">
        <v>43600.3821296296</v>
      </c>
      <c r="T334" s="9">
        <v>43390.5143981481</v>
      </c>
    </row>
    <row r="335" spans="14:20">
      <c r="N335" s="7" t="str">
        <f>HYPERLINK("E:\附赠：Excel模板\Excel实战技巧精粹：Excel模板大全1000例\供热企业收耗存煤日报表.xls","供热企业收耗存煤日报表.xls")</f>
        <v>供热企业收耗存煤日报表.xls</v>
      </c>
      <c r="Q335">
        <v>0.04</v>
      </c>
      <c r="R335" s="7" t="str">
        <f t="shared" si="8"/>
        <v>E:\附赠：Excel模板\Excel实战技巧精粹：Excel模板大全1000例</v>
      </c>
      <c r="S335" s="9">
        <v>43600.3821296296</v>
      </c>
      <c r="T335" s="9">
        <v>43390.5143981481</v>
      </c>
    </row>
    <row r="336" spans="14:20">
      <c r="N336" s="7" t="str">
        <f>HYPERLINK("E:\附赠：Excel模板\Excel实战技巧精粹：Excel模板大全1000例\供销合作社企业补充指标表.xls","供销合作社企业补充指标表.xls")</f>
        <v>供销合作社企业补充指标表.xls</v>
      </c>
      <c r="Q336">
        <v>0.02</v>
      </c>
      <c r="R336" s="7" t="str">
        <f t="shared" si="8"/>
        <v>E:\附赠：Excel模板\Excel实战技巧精粹：Excel模板大全1000例</v>
      </c>
      <c r="S336" s="9">
        <v>43600.3821296296</v>
      </c>
      <c r="T336" s="9">
        <v>43390.5143981481</v>
      </c>
    </row>
    <row r="337" spans="14:20">
      <c r="N337" s="7" t="str">
        <f>HYPERLINK("E:\附赠：Excel模板\Excel实战技巧精粹：Excel模板大全1000例\保证类房贷险业务统计表.xls","保证类房贷险业务统计表.xls")</f>
        <v>保证类房贷险业务统计表.xls</v>
      </c>
      <c r="Q337">
        <v>0.02</v>
      </c>
      <c r="R337" s="7" t="str">
        <f t="shared" si="8"/>
        <v>E:\附赠：Excel模板\Excel实战技巧精粹：Excel模板大全1000例</v>
      </c>
      <c r="S337" s="9">
        <v>43600.3821296296</v>
      </c>
      <c r="T337" s="9">
        <v>43390.5146990741</v>
      </c>
    </row>
    <row r="338" spans="14:20">
      <c r="N338" s="7" t="str">
        <f>HYPERLINK("E:\附赠：Excel模板\Excel实战技巧精粹：Excel模板大全1000例\保险业利润费用表.xls","保险业利润费用表.xls")</f>
        <v>保险业利润费用表.xls</v>
      </c>
      <c r="Q338">
        <v>0.02</v>
      </c>
      <c r="R338" s="7" t="str">
        <f t="shared" si="8"/>
        <v>E:\附赠：Excel模板\Excel实战技巧精粹：Excel模板大全1000例</v>
      </c>
      <c r="S338" s="9">
        <v>43600.3821296296</v>
      </c>
      <c r="T338" s="9">
        <v>43390.5146990741</v>
      </c>
    </row>
    <row r="339" spans="14:20">
      <c r="N339" s="7" t="str">
        <f>HYPERLINK("E:\附赠：Excel模板\Excel实战技巧精粹：Excel模板大全1000例\保险业资产负债表.xls","保险业资产负债表.xls")</f>
        <v>保险业资产负债表.xls</v>
      </c>
      <c r="Q339">
        <v>0.02</v>
      </c>
      <c r="R339" s="7" t="str">
        <f t="shared" si="8"/>
        <v>E:\附赠：Excel模板\Excel实战技巧精粹：Excel模板大全1000例</v>
      </c>
      <c r="S339" s="9">
        <v>43600.3821296296</v>
      </c>
      <c r="T339" s="9">
        <v>43390.5146990741</v>
      </c>
    </row>
    <row r="340" spans="14:20">
      <c r="N340" s="7" t="str">
        <f>HYPERLINK("E:\附赠：Excel模板\Excel实战技巧精粹：Excel模板大全1000例\保险公司分支机构变更事项明细表.xls","保险公司分支机构变更事项明细表.xls")</f>
        <v>保险公司分支机构变更事项明细表.xls</v>
      </c>
      <c r="Q340">
        <v>0.02</v>
      </c>
      <c r="R340" s="7" t="str">
        <f t="shared" si="8"/>
        <v>E:\附赠：Excel模板\Excel实战技巧精粹：Excel模板大全1000例</v>
      </c>
      <c r="S340" s="9">
        <v>43600.3821296296</v>
      </c>
      <c r="T340" s="9">
        <v>43390.5146990741</v>
      </c>
    </row>
    <row r="341" spans="14:20">
      <c r="N341" s="7" t="str">
        <f>HYPERLINK("E:\附赠：Excel模板\Excel实战技巧精粹：Excel模板大全1000例\保险公司分支机构合并事项明细表.xls","保险公司分支机构合并事项明细表.xls")</f>
        <v>保险公司分支机构合并事项明细表.xls</v>
      </c>
      <c r="Q341">
        <v>0.02</v>
      </c>
      <c r="R341" s="7" t="str">
        <f t="shared" si="8"/>
        <v>E:\附赠：Excel模板\Excel实战技巧精粹：Excel模板大全1000例</v>
      </c>
      <c r="S341" s="9">
        <v>43600.3821296296</v>
      </c>
      <c r="T341" s="9">
        <v>43390.5146990741</v>
      </c>
    </row>
    <row r="342" spans="14:20">
      <c r="N342" s="7" t="str">
        <f>HYPERLINK("E:\附赠：Excel模板\Excel实战技巧精粹：Excel模板大全1000例\保险公司分支机构撤销事项明细表.xls","保险公司分支机构撤销事项明细表.xls")</f>
        <v>保险公司分支机构撤销事项明细表.xls</v>
      </c>
      <c r="Q342">
        <v>0.02</v>
      </c>
      <c r="R342" s="7" t="str">
        <f t="shared" si="8"/>
        <v>E:\附赠：Excel模板\Excel实战技巧精粹：Excel模板大全1000例</v>
      </c>
      <c r="S342" s="9">
        <v>43600.3821296296</v>
      </c>
      <c r="T342" s="9">
        <v>43390.5147222222</v>
      </c>
    </row>
    <row r="343" spans="14:20">
      <c r="N343" s="7" t="str">
        <f>HYPERLINK("E:\附赠：Excel模板\Excel实战技巧精粹：Excel模板大全1000例\保险公司分支机构设立明细表.xls","保险公司分支机构设立明细表.xls")</f>
        <v>保险公司分支机构设立明细表.xls</v>
      </c>
      <c r="Q343">
        <v>0.02</v>
      </c>
      <c r="R343" s="7" t="str">
        <f t="shared" ref="R343:R406" si="9">HYPERLINK("E:\附赠：Excel模板\Excel实战技巧精粹：Excel模板大全1000例","E:\附赠：Excel模板\Excel实战技巧精粹：Excel模板大全1000例")</f>
        <v>E:\附赠：Excel模板\Excel实战技巧精粹：Excel模板大全1000例</v>
      </c>
      <c r="S343" s="9">
        <v>43600.3821296296</v>
      </c>
      <c r="T343" s="9">
        <v>43390.5146990741</v>
      </c>
    </row>
    <row r="344" spans="14:20">
      <c r="N344" s="7" t="str">
        <f>HYPERLINK("E:\附赠：Excel模板\Excel实战技巧精粹：Excel模板大全1000例\信息服务企业情况调查表.xls","信息服务企业情况调查表.xls")</f>
        <v>信息服务企业情况调查表.xls</v>
      </c>
      <c r="Q344">
        <v>0.02</v>
      </c>
      <c r="R344" s="7" t="str">
        <f t="shared" si="9"/>
        <v>E:\附赠：Excel模板\Excel实战技巧精粹：Excel模板大全1000例</v>
      </c>
      <c r="S344" s="9">
        <v>43600.3821296296</v>
      </c>
      <c r="T344" s="9">
        <v>43390.5136805556</v>
      </c>
    </row>
    <row r="345" spans="14:20">
      <c r="N345" s="7" t="str">
        <f>HYPERLINK("E:\附赠：Excel模板\Excel实战技巧精粹：Excel模板大全1000例\信用管理企业业绩情况统计表.xls","信用管理企业业绩情况统计表.xls")</f>
        <v>信用管理企业业绩情况统计表.xls</v>
      </c>
      <c r="Q345">
        <v>0.03</v>
      </c>
      <c r="R345" s="7" t="str">
        <f t="shared" si="9"/>
        <v>E:\附赠：Excel模板\Excel实战技巧精粹：Excel模板大全1000例</v>
      </c>
      <c r="S345" s="9">
        <v>43600.3821296296</v>
      </c>
      <c r="T345" s="9">
        <v>43390.5136805556</v>
      </c>
    </row>
    <row r="346" spans="14:20">
      <c r="N346" s="7" t="str">
        <f>HYPERLINK("E:\附赠：Excel模板\Excel实战技巧精粹：Excel模板大全1000例\俱乐部入会申请表.xls","俱乐部入会申请表.xls")</f>
        <v>俱乐部入会申请表.xls</v>
      </c>
      <c r="Q346">
        <v>0.02</v>
      </c>
      <c r="R346" s="7" t="str">
        <f t="shared" si="9"/>
        <v>E:\附赠：Excel模板\Excel实战技巧精粹：Excel模板大全1000例</v>
      </c>
      <c r="S346" s="9">
        <v>43600.3821296296</v>
      </c>
      <c r="T346" s="9">
        <v>43390.5141898148</v>
      </c>
    </row>
    <row r="347" spans="14:20">
      <c r="N347" s="7" t="str">
        <f>HYPERLINK("E:\附赠：Excel模板\Excel实战技巧精粹：Excel模板大全1000例\候选人名单.xls","候选人名单.xls")</f>
        <v>候选人名单.xls</v>
      </c>
      <c r="Q347">
        <v>0.05</v>
      </c>
      <c r="R347" s="7" t="str">
        <f t="shared" si="9"/>
        <v>E:\附赠：Excel模板\Excel实战技巧精粹：Excel模板大全1000例</v>
      </c>
      <c r="S347" s="9">
        <v>43600.3821296296</v>
      </c>
      <c r="T347" s="9">
        <v>43390.5143287037</v>
      </c>
    </row>
    <row r="348" spans="14:20">
      <c r="N348" s="7" t="str">
        <f>HYPERLINK("E:\附赠：Excel模板\Excel实战技巧精粹：Excel模板大全1000例\债权资产调查表.xls","债权资产调查表.xls")</f>
        <v>债权资产调查表.xls</v>
      </c>
      <c r="Q348">
        <v>0.02</v>
      </c>
      <c r="R348" s="7" t="str">
        <f t="shared" si="9"/>
        <v>E:\附赠：Excel模板\Excel实战技巧精粹：Excel模板大全1000例</v>
      </c>
      <c r="S348" s="9">
        <v>43600.3821296296</v>
      </c>
      <c r="T348" s="9">
        <v>43390.5134953704</v>
      </c>
    </row>
    <row r="349" spans="14:20">
      <c r="N349" s="7" t="str">
        <f>HYPERLINK("E:\附赠：Excel模板\Excel实战技巧精粹：Excel模板大全1000例\值班表.xls","值班表.xls")</f>
        <v>值班表.xls</v>
      </c>
      <c r="Q349">
        <v>0.02</v>
      </c>
      <c r="R349" s="7" t="str">
        <f t="shared" si="9"/>
        <v>E:\附赠：Excel模板\Excel实战技巧精粹：Excel模板大全1000例</v>
      </c>
      <c r="S349" s="9">
        <v>43600.3821296296</v>
      </c>
      <c r="T349" s="9">
        <v>43390.5134490741</v>
      </c>
    </row>
    <row r="350" spans="14:20">
      <c r="N350" s="7" t="str">
        <f>HYPERLINK("E:\附赠：Excel模板\Excel实战技巧精粹：Excel模板大全1000例\值班表2.xls","值班表2.xls")</f>
        <v>值班表2.xls</v>
      </c>
      <c r="Q350">
        <v>0.02</v>
      </c>
      <c r="R350" s="7" t="str">
        <f t="shared" si="9"/>
        <v>E:\附赠：Excel模板\Excel实战技巧精粹：Excel模板大全1000例</v>
      </c>
      <c r="S350" s="9">
        <v>43600.3821296296</v>
      </c>
      <c r="T350" s="9">
        <v>43390.5134490741</v>
      </c>
    </row>
    <row r="351" spans="14:20">
      <c r="N351" s="7" t="str">
        <f>HYPERLINK("E:\附赠：Excel模板\Excel实战技巧精粹：Excel模板大全1000例\假期值班安排表.xls","假期值班安排表.xls")</f>
        <v>假期值班安排表.xls</v>
      </c>
      <c r="Q351">
        <v>0.01</v>
      </c>
      <c r="R351" s="7" t="str">
        <f t="shared" si="9"/>
        <v>E:\附赠：Excel模板\Excel实战技巧精粹：Excel模板大全1000例</v>
      </c>
      <c r="S351" s="9">
        <v>43600.3821296296</v>
      </c>
      <c r="T351" s="9">
        <v>43390.5142592593</v>
      </c>
    </row>
    <row r="352" spans="14:20">
      <c r="N352" s="7" t="str">
        <f>HYPERLINK("E:\附赠：Excel模板\Excel实战技巧精粹：Excel模板大全1000例\党政机关基本情况.xls","党政机关基本情况.xls")</f>
        <v>党政机关基本情况.xls</v>
      </c>
      <c r="Q352">
        <v>0.02</v>
      </c>
      <c r="R352" s="7" t="str">
        <f t="shared" si="9"/>
        <v>E:\附赠：Excel模板\Excel实战技巧精粹：Excel模板大全1000例</v>
      </c>
      <c r="S352" s="9">
        <v>43600.3821296296</v>
      </c>
      <c r="T352" s="9">
        <v>43390.5144907407</v>
      </c>
    </row>
    <row r="353" spans="14:20">
      <c r="N353" s="7" t="str">
        <f>HYPERLINK("E:\附赠：Excel模板\Excel实战技巧精粹：Excel模板大全1000例\全国农村计划生育家庭奖励扶助对象申报表.xls","全国农村计划生育家庭奖励扶助对象申报表.xls")</f>
        <v>全国农村计划生育家庭奖励扶助对象申报表.xls</v>
      </c>
      <c r="Q353">
        <v>0.02</v>
      </c>
      <c r="R353" s="7" t="str">
        <f t="shared" si="9"/>
        <v>E:\附赠：Excel模板\Excel实战技巧精粹：Excel模板大全1000例</v>
      </c>
      <c r="S353" s="9">
        <v>43600.3821296296</v>
      </c>
      <c r="T353" s="9">
        <v>43390.5139814815</v>
      </c>
    </row>
    <row r="354" spans="14:20">
      <c r="N354" s="7" t="str">
        <f>HYPERLINK("E:\附赠：Excel模板\Excel实战技巧精粹：Excel模板大全1000例\全国文明风景旅游区暂行标准.xls","全国文明风景旅游区暂行标准.xls")</f>
        <v>全国文明风景旅游区暂行标准.xls</v>
      </c>
      <c r="Q354">
        <v>0.11</v>
      </c>
      <c r="R354" s="7" t="str">
        <f t="shared" si="9"/>
        <v>E:\附赠：Excel模板\Excel实战技巧精粹：Excel模板大全1000例</v>
      </c>
      <c r="S354" s="9">
        <v>43600.3821296296</v>
      </c>
      <c r="T354" s="9">
        <v>43390.5139814815</v>
      </c>
    </row>
    <row r="355" spans="14:20">
      <c r="N355" s="7" t="str">
        <f>HYPERLINK("E:\附赠：Excel模板\Excel实战技巧精粹：Excel模板大全1000例\全国翻译专业资格(水平)考试报名表.xls","全国翻译专业资格(水平)考试报名表.xls")</f>
        <v>全国翻译专业资格(水平)考试报名表.xls</v>
      </c>
      <c r="Q355">
        <v>0.02</v>
      </c>
      <c r="R355" s="7" t="str">
        <f t="shared" si="9"/>
        <v>E:\附赠：Excel模板\Excel实战技巧精粹：Excel模板大全1000例</v>
      </c>
      <c r="S355" s="9">
        <v>43600.3821296296</v>
      </c>
      <c r="T355" s="9">
        <v>43390.5139814815</v>
      </c>
    </row>
    <row r="356" spans="14:20">
      <c r="N356" s="7" t="str">
        <f>HYPERLINK("E:\附赠：Excel模板\Excel实战技巧精粹：Excel模板大全1000例\全省主要经济指标.xls","全省主要经济指标.xls")</f>
        <v>全省主要经济指标.xls</v>
      </c>
      <c r="Q356">
        <v>0.02</v>
      </c>
      <c r="R356" s="7" t="str">
        <f t="shared" si="9"/>
        <v>E:\附赠：Excel模板\Excel实战技巧精粹：Excel模板大全1000例</v>
      </c>
      <c r="S356" s="9">
        <v>43600.3821296296</v>
      </c>
      <c r="T356" s="9">
        <v>43390.5139814815</v>
      </c>
    </row>
    <row r="357" spans="14:20">
      <c r="N357" s="7" t="str">
        <f>HYPERLINK("E:\附赠：Excel模板\Excel实战技巧精粹：Excel模板大全1000例\全省国土资源部门行政事业性收费及政府性基金情况表.xls","全省国土资源部门行政事业性收费及政府性基金情况表.xls")</f>
        <v>全省国土资源部门行政事业性收费及政府性基金情况表.xls</v>
      </c>
      <c r="Q357">
        <v>0.02</v>
      </c>
      <c r="R357" s="7" t="str">
        <f t="shared" si="9"/>
        <v>E:\附赠：Excel模板\Excel实战技巧精粹：Excel模板大全1000例</v>
      </c>
      <c r="S357" s="9">
        <v>43600.3821296296</v>
      </c>
      <c r="T357" s="9">
        <v>43390.5139814815</v>
      </c>
    </row>
    <row r="358" spans="14:20">
      <c r="N358" s="7" t="str">
        <f>HYPERLINK("E:\附赠：Excel模板\Excel实战技巧精粹：Excel模板大全1000例\全省工业企业财务快报.xls","全省工业企业财务快报.xls")</f>
        <v>全省工业企业财务快报.xls</v>
      </c>
      <c r="Q358">
        <v>0.02</v>
      </c>
      <c r="R358" s="7" t="str">
        <f t="shared" si="9"/>
        <v>E:\附赠：Excel模板\Excel实战技巧精粹：Excel模板大全1000例</v>
      </c>
      <c r="S358" s="9">
        <v>43600.3821296296</v>
      </c>
      <c r="T358" s="9">
        <v>43390.5139814815</v>
      </c>
    </row>
    <row r="359" spans="14:20">
      <c r="N359" s="7" t="str">
        <f>HYPERLINK("E:\附赠：Excel模板\Excel实战技巧精粹：Excel模板大全1000例\全省工业增加值完成情况.xls","全省工业增加值完成情况.xls")</f>
        <v>全省工业增加值完成情况.xls</v>
      </c>
      <c r="Q359">
        <v>0.02</v>
      </c>
      <c r="R359" s="7" t="str">
        <f t="shared" si="9"/>
        <v>E:\附赠：Excel模板\Excel实战技巧精粹：Excel模板大全1000例</v>
      </c>
      <c r="S359" s="9">
        <v>43600.3821296296</v>
      </c>
      <c r="T359" s="9">
        <v>43390.5139814815</v>
      </c>
    </row>
    <row r="360" spans="14:20">
      <c r="N360" s="7" t="str">
        <f>HYPERLINK("E:\附赠：Excel模板\Excel实战技巧精粹：Excel模板大全1000例\全省部门外债情况表.xls","全省部门外债情况表.xls")</f>
        <v>全省部门外债情况表.xls</v>
      </c>
      <c r="Q360">
        <v>0.02</v>
      </c>
      <c r="R360" s="7" t="str">
        <f t="shared" si="9"/>
        <v>E:\附赠：Excel模板\Excel实战技巧精粹：Excel模板大全1000例</v>
      </c>
      <c r="S360" s="9">
        <v>43600.3821296296</v>
      </c>
      <c r="T360" s="9">
        <v>43390.5139814815</v>
      </c>
    </row>
    <row r="361" spans="14:20">
      <c r="N361" s="7" t="str">
        <f>HYPERLINK("E:\附赠：Excel模板\Excel实战技巧精粹：Excel模板大全1000例\全省部门机构人员表.xls","全省部门机构人员表.xls")</f>
        <v>全省部门机构人员表.xls</v>
      </c>
      <c r="Q361">
        <v>0.02</v>
      </c>
      <c r="R361" s="7" t="str">
        <f t="shared" si="9"/>
        <v>E:\附赠：Excel模板\Excel实战技巧精粹：Excel模板大全1000例</v>
      </c>
      <c r="S361" s="9">
        <v>43600.3821296296</v>
      </c>
      <c r="T361" s="9">
        <v>43390.5139814815</v>
      </c>
    </row>
    <row r="362" spans="14:20">
      <c r="N362" s="7" t="str">
        <f>HYPERLINK("E:\附赠：Excel模板\Excel实战技巧精粹：Excel模板大全1000例\全省部门财政收入表.xls","全省部门财政收入表.xls")</f>
        <v>全省部门财政收入表.xls</v>
      </c>
      <c r="Q362">
        <v>0.02</v>
      </c>
      <c r="R362" s="7" t="str">
        <f t="shared" si="9"/>
        <v>E:\附赠：Excel模板\Excel实战技巧精粹：Excel模板大全1000例</v>
      </c>
      <c r="S362" s="9">
        <v>43600.3821296296</v>
      </c>
      <c r="T362" s="9">
        <v>43390.5139814815</v>
      </c>
    </row>
    <row r="363" spans="14:20">
      <c r="N363" s="7" t="str">
        <f>HYPERLINK("E:\附赠：Excel模板\Excel实战技巧精粹：Excel模板大全1000例\全院××周岁以下教师名册.xls","全院××周岁以下教师名册.xls")</f>
        <v>全院××周岁以下教师名册.xls</v>
      </c>
      <c r="Q363">
        <v>0.02</v>
      </c>
      <c r="R363" s="7" t="str">
        <f t="shared" si="9"/>
        <v>E:\附赠：Excel模板\Excel实战技巧精粹：Excel模板大全1000例</v>
      </c>
      <c r="S363" s="9">
        <v>43600.3821296296</v>
      </c>
      <c r="T363" s="9">
        <v>43390.5139583333</v>
      </c>
    </row>
    <row r="364" spans="14:20">
      <c r="N364" s="7" t="str">
        <f>HYPERLINK("E:\附赠：Excel模板\Excel实战技巧精粹：Excel模板大全1000例\全院××周岁以下教师学缘结构分析.xls","全院××周岁以下教师学缘结构分析.xls")</f>
        <v>全院××周岁以下教师学缘结构分析.xls</v>
      </c>
      <c r="Q364">
        <v>0.02</v>
      </c>
      <c r="R364" s="7" t="str">
        <f t="shared" si="9"/>
        <v>E:\附赠：Excel模板\Excel实战技巧精粹：Excel模板大全1000例</v>
      </c>
      <c r="S364" s="9">
        <v>43600.3821296296</v>
      </c>
      <c r="T364" s="9">
        <v>43390.5139583333</v>
      </c>
    </row>
    <row r="365" spans="14:20">
      <c r="N365" s="7" t="str">
        <f>HYPERLINK("E:\附赠：Excel模板\Excel实战技巧精粹：Excel模板大全1000例\全院××岁以下教师获博士学位的教师名册.xls","全院××岁以下教师获博士学位的教师名册.xls")</f>
        <v>全院××岁以下教师获博士学位的教师名册.xls</v>
      </c>
      <c r="Q365">
        <v>0.02</v>
      </c>
      <c r="R365" s="7" t="str">
        <f t="shared" si="9"/>
        <v>E:\附赠：Excel模板\Excel实战技巧精粹：Excel模板大全1000例</v>
      </c>
      <c r="S365" s="9">
        <v>43600.3821296296</v>
      </c>
      <c r="T365" s="9">
        <v>43390.5139814815</v>
      </c>
    </row>
    <row r="366" spans="14:20">
      <c r="N366" s="7" t="str">
        <f>HYPERLINK("E:\附赠：Excel模板\Excel实战技巧精粹：Excel模板大全1000例\全院教师学科结构分析.xls","全院教师学科结构分析.xls")</f>
        <v>全院教师学科结构分析.xls</v>
      </c>
      <c r="Q366">
        <v>0.02</v>
      </c>
      <c r="R366" s="7" t="str">
        <f t="shared" si="9"/>
        <v>E:\附赠：Excel模板\Excel实战技巧精粹：Excel模板大全1000例</v>
      </c>
      <c r="S366" s="9">
        <v>43600.3821296296</v>
      </c>
      <c r="T366" s="9">
        <v>43390.5139583333</v>
      </c>
    </row>
    <row r="367" spans="14:20">
      <c r="N367" s="7" t="str">
        <f>HYPERLINK("E:\附赠：Excel模板\Excel实战技巧精粹：Excel模板大全1000例\公共管理专业学生名册.xls","公共管理专业学生名册.xls")</f>
        <v>公共管理专业学生名册.xls</v>
      </c>
      <c r="Q367">
        <v>0.03</v>
      </c>
      <c r="R367" s="7" t="str">
        <f t="shared" si="9"/>
        <v>E:\附赠：Excel模板\Excel实战技巧精粹：Excel模板大全1000例</v>
      </c>
      <c r="S367" s="9">
        <v>43600.3821296296</v>
      </c>
      <c r="T367" s="9">
        <v>43390.5143981481</v>
      </c>
    </row>
    <row r="368" spans="14:20">
      <c r="N368" s="7" t="str">
        <f>HYPERLINK("E:\附赠：Excel模板\Excel实战技巧精粹：Excel模板大全1000例\公务员转入养老保险基金处理通知.xls","公务员转入养老保险基金处理通知.xls")</f>
        <v>公务员转入养老保险基金处理通知.xls</v>
      </c>
      <c r="Q368">
        <v>0.02</v>
      </c>
      <c r="R368" s="7" t="str">
        <f t="shared" si="9"/>
        <v>E:\附赠：Excel模板\Excel实战技巧精粹：Excel模板大全1000例</v>
      </c>
      <c r="S368" s="9">
        <v>43600.3821296296</v>
      </c>
      <c r="T368" s="9">
        <v>43390.514375</v>
      </c>
    </row>
    <row r="369" spans="14:20">
      <c r="N369" s="7" t="str">
        <f>HYPERLINK("E:\附赠：Excel模板\Excel实战技巧精粹：Excel模板大全1000例\公务用车非财政核拨经费分配表.xls","公务用车非财政核拨经费分配表.xls")</f>
        <v>公务用车非财政核拨经费分配表.xls</v>
      </c>
      <c r="Q369">
        <v>0.02</v>
      </c>
      <c r="R369" s="7" t="str">
        <f t="shared" si="9"/>
        <v>E:\附赠：Excel模板\Excel实战技巧精粹：Excel模板大全1000例</v>
      </c>
      <c r="S369" s="9">
        <v>43600.3821296296</v>
      </c>
      <c r="T369" s="9">
        <v>43390.5143981481</v>
      </c>
    </row>
    <row r="370" spans="14:20">
      <c r="N370" s="7" t="str">
        <f>HYPERLINK("E:\附赠：Excel模板\Excel实战技巧精粹：Excel模板大全1000例\公司各部门拟聘人员表.xls","公司各部门拟聘人员表.xls")</f>
        <v>公司各部门拟聘人员表.xls</v>
      </c>
      <c r="Q370">
        <v>0.02</v>
      </c>
      <c r="R370" s="7" t="str">
        <f t="shared" si="9"/>
        <v>E:\附赠：Excel模板\Excel实战技巧精粹：Excel模板大全1000例</v>
      </c>
      <c r="S370" s="9">
        <v>43600.3821296296</v>
      </c>
      <c r="T370" s="9">
        <v>43390.5143981481</v>
      </c>
    </row>
    <row r="371" spans="14:20">
      <c r="N371" s="7" t="str">
        <f>HYPERLINK("E:\附赠：Excel模板\Excel实战技巧精粹：Excel模板大全1000例\公司年度奖项申报审批表.xls","公司年度奖项申报审批表.xls")</f>
        <v>公司年度奖项申报审批表.xls</v>
      </c>
      <c r="Q371">
        <v>0.02</v>
      </c>
      <c r="R371" s="7" t="str">
        <f t="shared" si="9"/>
        <v>E:\附赠：Excel模板\Excel实战技巧精粹：Excel模板大全1000例</v>
      </c>
      <c r="S371" s="9">
        <v>43600.3821296296</v>
      </c>
      <c r="T371" s="9">
        <v>43390.5143981481</v>
      </c>
    </row>
    <row r="372" spans="14:20">
      <c r="N372" s="7" t="str">
        <f>HYPERLINK("E:\附赠：Excel模板\Excel实战技巧精粹：Excel模板大全1000例\公司年度财务分析统计表.xls","公司年度财务分析统计表.xls")</f>
        <v>公司年度财务分析统计表.xls</v>
      </c>
      <c r="Q372">
        <v>0.02</v>
      </c>
      <c r="R372" s="7" t="str">
        <f t="shared" si="9"/>
        <v>E:\附赠：Excel模板\Excel实战技巧精粹：Excel模板大全1000例</v>
      </c>
      <c r="S372" s="9">
        <v>43600.3821296296</v>
      </c>
      <c r="T372" s="9">
        <v>43390.5143981481</v>
      </c>
    </row>
    <row r="373" spans="14:20">
      <c r="N373" s="7" t="str">
        <f>HYPERLINK("E:\附赠：Excel模板\Excel实战技巧精粹：Excel模板大全1000例\公司机关部门经理绩效考核等级.xls","公司机关部门经理绩效考核等级.xls")</f>
        <v>公司机关部门经理绩效考核等级.xls</v>
      </c>
      <c r="Q373">
        <v>0.02</v>
      </c>
      <c r="R373" s="7" t="str">
        <f t="shared" si="9"/>
        <v>E:\附赠：Excel模板\Excel实战技巧精粹：Excel模板大全1000例</v>
      </c>
      <c r="S373" s="9">
        <v>43600.3821296296</v>
      </c>
      <c r="T373" s="9">
        <v>43390.5143981481</v>
      </c>
    </row>
    <row r="374" spans="14:20">
      <c r="N374" s="7" t="str">
        <f>HYPERLINK("E:\附赠：Excel模板\Excel实战技巧精粹：Excel模板大全1000例\公寓（或写字楼）经营情况明细表.xls","公寓（或写字楼）经营情况明细表.xls")</f>
        <v>公寓（或写字楼）经营情况明细表.xls</v>
      </c>
      <c r="Q374">
        <v>0.02</v>
      </c>
      <c r="R374" s="7" t="str">
        <f t="shared" si="9"/>
        <v>E:\附赠：Excel模板\Excel实战技巧精粹：Excel模板大全1000例</v>
      </c>
      <c r="S374" s="9">
        <v>43600.3821296296</v>
      </c>
      <c r="T374" s="9">
        <v>43390.514375</v>
      </c>
    </row>
    <row r="375" spans="14:20">
      <c r="N375" s="7" t="str">
        <f>HYPERLINK("E:\附赠：Excel模板\Excel实战技巧精粹：Excel模板大全1000例\公民出境旅游商务考察申请表.xls","公民出境旅游商务考察申请表.xls")</f>
        <v>公民出境旅游商务考察申请表.xls</v>
      </c>
      <c r="Q375">
        <v>0.02</v>
      </c>
      <c r="R375" s="7" t="str">
        <f t="shared" si="9"/>
        <v>E:\附赠：Excel模板\Excel实战技巧精粹：Excel模板大全1000例</v>
      </c>
      <c r="S375" s="9">
        <v>43600.3821296296</v>
      </c>
      <c r="T375" s="9">
        <v>43390.5143981481</v>
      </c>
    </row>
    <row r="376" spans="14:20">
      <c r="N376" s="7" t="str">
        <f>HYPERLINK("E:\附赠：Excel模板\Excel实战技巧精粹：Excel模板大全1000例\共建高校基础实验室现状及建设目标汇总表.xls","共建高校基础实验室现状及建设目标汇总表.xls")</f>
        <v>共建高校基础实验室现状及建设目标汇总表.xls</v>
      </c>
      <c r="Q376">
        <v>0.03</v>
      </c>
      <c r="R376" s="7" t="str">
        <f t="shared" si="9"/>
        <v>E:\附赠：Excel模板\Excel实战技巧精粹：Excel模板大全1000例</v>
      </c>
      <c r="S376" s="9">
        <v>43600.3821296296</v>
      </c>
      <c r="T376" s="9">
        <v>43390.514375</v>
      </c>
    </row>
    <row r="377" spans="14:20">
      <c r="N377" s="7" t="str">
        <f>HYPERLINK("E:\附赠：Excel模板\Excel实战技巧精粹：Excel模板大全1000例\其他房改资金账户开户登记表.xls","其他房改资金账户开户登记表.xls")</f>
        <v>其他房改资金账户开户登记表.xls</v>
      </c>
      <c r="Q377">
        <v>0.02</v>
      </c>
      <c r="R377" s="7" t="str">
        <f t="shared" si="9"/>
        <v>E:\附赠：Excel模板\Excel实战技巧精粹：Excel模板大全1000例</v>
      </c>
      <c r="S377" s="9">
        <v>43600.3821296296</v>
      </c>
      <c r="T377" s="9">
        <v>43390.5140277778</v>
      </c>
    </row>
    <row r="378" spans="14:20">
      <c r="N378" s="7" t="str">
        <f>HYPERLINK("E:\附赠：Excel模板\Excel实战技巧精粹：Excel模板大全1000例\内部调货单.xls","内部调货单.xls")</f>
        <v>内部调货单.xls</v>
      </c>
      <c r="Q378">
        <v>0.02</v>
      </c>
      <c r="R378" s="7" t="str">
        <f t="shared" si="9"/>
        <v>E:\附赠：Excel模板\Excel实战技巧精粹：Excel模板大全1000例</v>
      </c>
      <c r="S378" s="9">
        <v>43600.3821296296</v>
      </c>
      <c r="T378" s="9">
        <v>43390.5140740741</v>
      </c>
    </row>
    <row r="379" spans="14:20">
      <c r="N379" s="7" t="str">
        <f>HYPERLINK("E:\附赠：Excel模板\Excel实战技巧精粹：Excel模板大全1000例\内部财务会计报表一览表.xls","内部财务会计报表一览表.xls")</f>
        <v>内部财务会计报表一览表.xls</v>
      </c>
      <c r="Q379">
        <v>0.02</v>
      </c>
      <c r="R379" s="7" t="str">
        <f t="shared" si="9"/>
        <v>E:\附赠：Excel模板\Excel实战技巧精粹：Excel模板大全1000例</v>
      </c>
      <c r="S379" s="9">
        <v>43600.3821296296</v>
      </c>
      <c r="T379" s="9">
        <v>43390.5140740741</v>
      </c>
    </row>
    <row r="380" spans="14:20">
      <c r="N380" s="7" t="str">
        <f>HYPERLINK("E:\附赠：Excel模板\Excel实战技巧精粹：Excel模板大全1000例\再就业培训情况表.xls","再就业培训情况表.xls")</f>
        <v>再就业培训情况表.xls</v>
      </c>
      <c r="Q380">
        <v>0.03</v>
      </c>
      <c r="R380" s="7" t="str">
        <f t="shared" si="9"/>
        <v>E:\附赠：Excel模板\Excel实战技巧精粹：Excel模板大全1000例</v>
      </c>
      <c r="S380" s="9">
        <v>43600.3821296296</v>
      </c>
      <c r="T380" s="9">
        <v>43390.5134953704</v>
      </c>
    </row>
    <row r="381" spans="14:20">
      <c r="N381" s="7" t="str">
        <f>HYPERLINK("E:\附赠：Excel模板\Excel实战技巧精粹：Excel模板大全1000例\军区国防生选拔报名表.xls","军区国防生选拔报名表.xls")</f>
        <v>军区国防生选拔报名表.xls</v>
      </c>
      <c r="Q381">
        <v>0.02</v>
      </c>
      <c r="R381" s="7" t="str">
        <f t="shared" si="9"/>
        <v>E:\附赠：Excel模板\Excel实战技巧精粹：Excel模板大全1000例</v>
      </c>
      <c r="S381" s="9">
        <v>43600.3821296296</v>
      </c>
      <c r="T381" s="9">
        <v>43390.5141898148</v>
      </c>
    </row>
    <row r="382" spans="14:20">
      <c r="N382" s="7" t="str">
        <f>HYPERLINK("E:\附赠：Excel模板\Excel实战技巧精粹：Excel模板大全1000例\农业发展资金定补项目汇总表.xls","农业发展资金定补项目汇总表.xls")</f>
        <v>农业发展资金定补项目汇总表.xls</v>
      </c>
      <c r="Q382">
        <v>0.01</v>
      </c>
      <c r="R382" s="7" t="str">
        <f t="shared" si="9"/>
        <v>E:\附赠：Excel模板\Excel实战技巧精粹：Excel模板大全1000例</v>
      </c>
      <c r="S382" s="9">
        <v>43600.3821296296</v>
      </c>
      <c r="T382" s="9">
        <v>43390.5140509259</v>
      </c>
    </row>
    <row r="383" spans="14:20">
      <c r="N383" s="7" t="str">
        <f>HYPERLINK("E:\附赠：Excel模板\Excel实战技巧精粹：Excel模板大全1000例\农业改革主要指标统计表.xls","农业改革主要指标统计表.xls")</f>
        <v>农业改革主要指标统计表.xls</v>
      </c>
      <c r="Q383">
        <v>0.02</v>
      </c>
      <c r="R383" s="7" t="str">
        <f t="shared" si="9"/>
        <v>E:\附赠：Excel模板\Excel实战技巧精粹：Excel模板大全1000例</v>
      </c>
      <c r="S383" s="9">
        <v>43600.3821296296</v>
      </c>
      <c r="T383" s="9">
        <v>43390.5140509259</v>
      </c>
    </row>
    <row r="384" spans="14:20">
      <c r="N384" s="7" t="str">
        <f>HYPERLINK("E:\附赠：Excel模板\Excel实战技巧精粹：Excel模板大全1000例\农业机械购置补贴产品目录表.xls","农业机械购置补贴产品目录表.xls")</f>
        <v>农业机械购置补贴产品目录表.xls</v>
      </c>
      <c r="Q384">
        <v>0.03</v>
      </c>
      <c r="R384" s="7" t="str">
        <f t="shared" si="9"/>
        <v>E:\附赠：Excel模板\Excel实战技巧精粹：Excel模板大全1000例</v>
      </c>
      <c r="S384" s="9">
        <v>43600.3821296296</v>
      </c>
      <c r="T384" s="9">
        <v>43390.5140509259</v>
      </c>
    </row>
    <row r="385" spans="14:20">
      <c r="N385" s="7" t="str">
        <f>HYPERLINK("E:\附赠：Excel模板\Excel实战技巧精粹：Excel模板大全1000例\农业综合专项项目任务(效益)投资主要指标汇总表.xls","农业综合专项项目任务(效益)投资主要指标汇总表.xls")</f>
        <v>农业综合专项项目任务(效益)投资主要指标汇总表.xls</v>
      </c>
      <c r="Q385">
        <v>0.03</v>
      </c>
      <c r="R385" s="7" t="str">
        <f t="shared" si="9"/>
        <v>E:\附赠：Excel模板\Excel实战技巧精粹：Excel模板大全1000例</v>
      </c>
      <c r="S385" s="9">
        <v>43600.3821296296</v>
      </c>
      <c r="T385" s="9">
        <v>43390.5140509259</v>
      </c>
    </row>
    <row r="386" spans="14:20">
      <c r="N386" s="7" t="str">
        <f>HYPERLINK("E:\附赠：Excel模板\Excel实战技巧精粹：Excel模板大全1000例\农业适用技术推广示范培训情况统计表.xls","农业适用技术推广示范培训情况统计表.xls")</f>
        <v>农业适用技术推广示范培训情况统计表.xls</v>
      </c>
      <c r="Q386">
        <v>0.02</v>
      </c>
      <c r="R386" s="7" t="str">
        <f t="shared" si="9"/>
        <v>E:\附赠：Excel模板\Excel实战技巧精粹：Excel模板大全1000例</v>
      </c>
      <c r="S386" s="9">
        <v>43600.3821296296</v>
      </c>
      <c r="T386" s="9">
        <v>43390.5140509259</v>
      </c>
    </row>
    <row r="387" spans="14:20">
      <c r="N387" s="7" t="str">
        <f>HYPERLINK("E:\附赠：Excel模板\Excel实战技巧精粹：Excel模板大全1000例\农业适用技术推广项目落实情况统计表.xls","农业适用技术推广项目落实情况统计表.xls")</f>
        <v>农业适用技术推广项目落实情况统计表.xls</v>
      </c>
      <c r="Q387">
        <v>0.05</v>
      </c>
      <c r="R387" s="7" t="str">
        <f t="shared" si="9"/>
        <v>E:\附赠：Excel模板\Excel实战技巧精粹：Excel模板大全1000例</v>
      </c>
      <c r="S387" s="9">
        <v>43600.3821296296</v>
      </c>
      <c r="T387" s="9">
        <v>43390.5140509259</v>
      </c>
    </row>
    <row r="388" spans="14:20">
      <c r="N388" s="7" t="str">
        <f>HYPERLINK("E:\附赠：Excel模板\Excel实战技巧精粹：Excel模板大全1000例\农业项目国家投资类表.xls","农业项目国家投资类表.xls")</f>
        <v>农业项目国家投资类表.xls</v>
      </c>
      <c r="Q388">
        <v>0.02</v>
      </c>
      <c r="R388" s="7" t="str">
        <f t="shared" si="9"/>
        <v>E:\附赠：Excel模板\Excel实战技巧精粹：Excel模板大全1000例</v>
      </c>
      <c r="S388" s="9">
        <v>43600.3821296296</v>
      </c>
      <c r="T388" s="9">
        <v>43390.5140509259</v>
      </c>
    </row>
    <row r="389" spans="14:20">
      <c r="N389" s="7" t="str">
        <f>HYPERLINK("E:\附赠：Excel模板\Excel实战技巧精粹：Excel模板大全1000例\农业项目招商引资类表.xls","农业项目招商引资类表.xls")</f>
        <v>农业项目招商引资类表.xls</v>
      </c>
      <c r="Q389">
        <v>0.02</v>
      </c>
      <c r="R389" s="7" t="str">
        <f t="shared" si="9"/>
        <v>E:\附赠：Excel模板\Excel实战技巧精粹：Excel模板大全1000例</v>
      </c>
      <c r="S389" s="9">
        <v>43600.3821296296</v>
      </c>
      <c r="T389" s="9">
        <v>43390.5140509259</v>
      </c>
    </row>
    <row r="390" spans="14:20">
      <c r="N390" s="7" t="str">
        <f>HYPERLINK("E:\附赠：Excel模板\Excel实战技巧精粹：Excel模板大全1000例\农机作业服务单位效益情况表.xls","农机作业服务单位效益情况表.xls")</f>
        <v>农机作业服务单位效益情况表.xls</v>
      </c>
      <c r="Q390">
        <v>0.02</v>
      </c>
      <c r="R390" s="7" t="str">
        <f t="shared" si="9"/>
        <v>E:\附赠：Excel模板\Excel实战技巧精粹：Excel模板大全1000例</v>
      </c>
      <c r="S390" s="9">
        <v>43600.3821296296</v>
      </c>
      <c r="T390" s="9">
        <v>43390.5140509259</v>
      </c>
    </row>
    <row r="391" spans="14:20">
      <c r="N391" s="7" t="str">
        <f>HYPERLINK("E:\附赠：Excel模板\Excel实战技巧精粹：Excel模板大全1000例\农村义务教育贫困家庭学生免杂费资金分配表.xls","农村义务教育贫困家庭学生免杂费资金分配表.xls")</f>
        <v>农村义务教育贫困家庭学生免杂费资金分配表.xls</v>
      </c>
      <c r="Q391">
        <v>0.02</v>
      </c>
      <c r="R391" s="7" t="str">
        <f t="shared" si="9"/>
        <v>E:\附赠：Excel模板\Excel实战技巧精粹：Excel模板大全1000例</v>
      </c>
      <c r="S391" s="9">
        <v>43600.3821296296</v>
      </c>
      <c r="T391" s="9">
        <v>43390.5140509259</v>
      </c>
    </row>
    <row r="392" spans="14:20">
      <c r="N392" s="7" t="str">
        <f>HYPERLINK("E:\附赠：Excel模板\Excel实战技巧精粹：Excel模板大全1000例\农村卫生建设执行情况汇总表.xls","农村卫生建设执行情况汇总表.xls")</f>
        <v>农村卫生建设执行情况汇总表.xls</v>
      </c>
      <c r="Q392">
        <v>0.02</v>
      </c>
      <c r="R392" s="7" t="str">
        <f t="shared" si="9"/>
        <v>E:\附赠：Excel模板\Excel实战技巧精粹：Excel模板大全1000例</v>
      </c>
      <c r="S392" s="9">
        <v>43600.3821296296</v>
      </c>
      <c r="T392" s="9">
        <v>43390.5140509259</v>
      </c>
    </row>
    <row r="393" spans="14:20">
      <c r="N393" s="7" t="str">
        <f>HYPERLINK("E:\附赠：Excel模板\Excel实战技巧精粹：Excel模板大全1000例\农村居民最低生活保障家庭备案表.xls","农村居民最低生活保障家庭备案表.xls")</f>
        <v>农村居民最低生活保障家庭备案表.xls</v>
      </c>
      <c r="Q393">
        <v>0.08</v>
      </c>
      <c r="R393" s="7" t="str">
        <f t="shared" si="9"/>
        <v>E:\附赠：Excel模板\Excel实战技巧精粹：Excel模板大全1000例</v>
      </c>
      <c r="S393" s="9">
        <v>43600.3821296296</v>
      </c>
      <c r="T393" s="9">
        <v>43390.5140509259</v>
      </c>
    </row>
    <row r="394" spans="14:20">
      <c r="N394" s="7" t="str">
        <f>HYPERLINK("E:\附赠：Excel模板\Excel实战技巧精粹：Excel模板大全1000例\出口收汇差额核销.xls","出口收汇差额核销.xls")</f>
        <v>出口收汇差额核销.xls</v>
      </c>
      <c r="Q394">
        <v>0.03</v>
      </c>
      <c r="R394" s="7" t="str">
        <f t="shared" si="9"/>
        <v>E:\附赠：Excel模板\Excel实战技巧精粹：Excel模板大全1000例</v>
      </c>
      <c r="S394" s="9">
        <v>43600.3821296296</v>
      </c>
      <c r="T394" s="9">
        <v>43390.5145601852</v>
      </c>
    </row>
    <row r="395" spans="14:20">
      <c r="N395" s="7" t="str">
        <f>HYPERLINK("E:\附赠：Excel模板\Excel实战技巧精粹：Excel模板大全1000例\出口收汇核销出口单位登记及核销人员管理.xls","出口收汇核销出口单位登记及核销人员管理.xls")</f>
        <v>出口收汇核销出口单位登记及核销人员管理.xls</v>
      </c>
      <c r="Q395">
        <v>0.02</v>
      </c>
      <c r="R395" s="7" t="str">
        <f t="shared" si="9"/>
        <v>E:\附赠：Excel模板\Excel实战技巧精粹：Excel模板大全1000例</v>
      </c>
      <c r="S395" s="9">
        <v>43600.3821296296</v>
      </c>
      <c r="T395" s="9">
        <v>43390.5145833333</v>
      </c>
    </row>
    <row r="396" spans="14:20">
      <c r="N396" s="7" t="str">
        <f>HYPERLINK("E:\附赠：Excel模板\Excel实战技巧精粹：Excel模板大全1000例\出口收汇核销单管理.xls","出口收汇核销单管理.xls")</f>
        <v>出口收汇核销单管理.xls</v>
      </c>
      <c r="Q396">
        <v>0.02</v>
      </c>
      <c r="R396" s="7" t="str">
        <f t="shared" si="9"/>
        <v>E:\附赠：Excel模板\Excel实战技巧精粹：Excel模板大全1000例</v>
      </c>
      <c r="S396" s="9">
        <v>43600.3821296296</v>
      </c>
      <c r="T396" s="9">
        <v>43390.5145601852</v>
      </c>
    </row>
    <row r="397" spans="14:20">
      <c r="N397" s="7" t="str">
        <f>HYPERLINK("E:\附赠：Excel模板\Excel实战技巧精粹：Excel模板大全1000例\出口收汇核销备查.xls","出口收汇核销备查.xls")</f>
        <v>出口收汇核销备查.xls</v>
      </c>
      <c r="Q397">
        <v>0.02</v>
      </c>
      <c r="R397" s="7" t="str">
        <f t="shared" si="9"/>
        <v>E:\附赠：Excel模板\Excel实战技巧精粹：Excel模板大全1000例</v>
      </c>
      <c r="S397" s="9">
        <v>43600.3821296296</v>
      </c>
      <c r="T397" s="9">
        <v>43390.5145601852</v>
      </c>
    </row>
    <row r="398" spans="14:20">
      <c r="N398" s="7" t="str">
        <f>HYPERLINK("E:\附赠：Excel模板\Excel实战技巧精粹：Excel模板大全1000例\出口收汇核销考核.xls","出口收汇核销考核.xls")</f>
        <v>出口收汇核销考核.xls</v>
      </c>
      <c r="Q398">
        <v>0.02</v>
      </c>
      <c r="R398" s="7" t="str">
        <f t="shared" si="9"/>
        <v>E:\附赠：Excel模板\Excel实战技巧精粹：Excel模板大全1000例</v>
      </c>
      <c r="S398" s="9">
        <v>43600.3821296296</v>
      </c>
      <c r="T398" s="9">
        <v>43390.5145601852</v>
      </c>
    </row>
    <row r="399" spans="14:20">
      <c r="N399" s="7" t="str">
        <f>HYPERLINK("E:\附赠：Excel模板\Excel实战技巧精粹：Excel模板大全1000例\出租、出借、内部经营等情况调查表.xls","出租、出借、内部经营等情况调查表.xls")</f>
        <v>出租、出借、内部经营等情况调查表.xls</v>
      </c>
      <c r="Q399">
        <v>0.02</v>
      </c>
      <c r="R399" s="7" t="str">
        <f t="shared" si="9"/>
        <v>E:\附赠：Excel模板\Excel实战技巧精粹：Excel模板大全1000例</v>
      </c>
      <c r="S399" s="9">
        <v>43600.3821296296</v>
      </c>
      <c r="T399" s="9">
        <v>43390.5145601852</v>
      </c>
    </row>
    <row r="400" spans="14:20">
      <c r="N400" s="7" t="str">
        <f>HYPERLINK("E:\附赠：Excel模板\Excel实战技巧精粹：Excel模板大全1000例\出资情况表.xls","出资情况表.xls")</f>
        <v>出资情况表.xls</v>
      </c>
      <c r="Q400">
        <v>0.02</v>
      </c>
      <c r="R400" s="7" t="str">
        <f t="shared" si="9"/>
        <v>E:\附赠：Excel模板\Excel实战技巧精粹：Excel模板大全1000例</v>
      </c>
      <c r="S400" s="9">
        <v>43600.3821296296</v>
      </c>
      <c r="T400" s="9">
        <v>43390.5145601852</v>
      </c>
    </row>
    <row r="401" spans="14:20">
      <c r="N401" s="7" t="str">
        <f>HYPERLINK("E:\附赠：Excel模板\Excel实战技巧精粹：Excel模板大全1000例\出进货单.xls","出进货单.xls")</f>
        <v>出进货单.xls</v>
      </c>
      <c r="Q401">
        <v>0.02</v>
      </c>
      <c r="R401" s="7" t="str">
        <f t="shared" si="9"/>
        <v>E:\附赠：Excel模板\Excel实战技巧精粹：Excel模板大全1000例</v>
      </c>
      <c r="S401" s="9">
        <v>43600.3821296296</v>
      </c>
      <c r="T401" s="9">
        <v>43390.5145601852</v>
      </c>
    </row>
    <row r="402" spans="14:20">
      <c r="N402" s="7" t="str">
        <f>HYPERLINK("E:\附赠：Excel模板\Excel实战技巧精粹：Excel模板大全1000例\分产品（业务）收入成本预算表.xls","分产品（业务）收入成本预算表.xls")</f>
        <v>分产品（业务）收入成本预算表.xls</v>
      </c>
      <c r="Q402">
        <v>0.02</v>
      </c>
      <c r="R402" s="7" t="str">
        <f t="shared" si="9"/>
        <v>E:\附赠：Excel模板\Excel实战技巧精粹：Excel模板大全1000例</v>
      </c>
      <c r="S402" s="9">
        <v>43600.3821296296</v>
      </c>
      <c r="T402" s="9">
        <v>43390.5144444444</v>
      </c>
    </row>
    <row r="403" spans="14:20">
      <c r="N403" s="7" t="str">
        <f>HYPERLINK("E:\附赠：Excel模板\Excel实战技巧精粹：Excel模板大全1000例\分散采购统计表.xls","分散采购统计表.xls")</f>
        <v>分散采购统计表.xls</v>
      </c>
      <c r="Q403">
        <v>0.03</v>
      </c>
      <c r="R403" s="7" t="str">
        <f t="shared" si="9"/>
        <v>E:\附赠：Excel模板\Excel实战技巧精粹：Excel模板大全1000例</v>
      </c>
      <c r="S403" s="9">
        <v>43600.3821296296</v>
      </c>
      <c r="T403" s="9">
        <v>43390.5144444444</v>
      </c>
    </row>
    <row r="404" spans="14:20">
      <c r="N404" s="7" t="str">
        <f>HYPERLINK("E:\附赠：Excel模板\Excel实战技巧精粹：Excel模板大全1000例\分部报表.xls","分部报表.xls")</f>
        <v>分部报表.xls</v>
      </c>
      <c r="Q404">
        <v>0.02</v>
      </c>
      <c r="R404" s="7" t="str">
        <f t="shared" si="9"/>
        <v>E:\附赠：Excel模板\Excel实战技巧精粹：Excel模板大全1000例</v>
      </c>
      <c r="S404" s="9">
        <v>43600.3821296296</v>
      </c>
      <c r="T404" s="9">
        <v>43390.5144444444</v>
      </c>
    </row>
    <row r="405" spans="14:20">
      <c r="N405" s="7" t="str">
        <f>HYPERLINK("E:\附赠：Excel模板\Excel实战技巧精粹：Excel模板大全1000例\初中教育技术装备统计汇总表.xls","初中教育技术装备统计汇总表.xls")</f>
        <v>初中教育技术装备统计汇总表.xls</v>
      </c>
      <c r="Q405">
        <v>0.03</v>
      </c>
      <c r="R405" s="7" t="str">
        <f t="shared" si="9"/>
        <v>E:\附赠：Excel模板\Excel实战技巧精粹：Excel模板大全1000例</v>
      </c>
      <c r="S405" s="9">
        <v>43600.3821296296</v>
      </c>
      <c r="T405" s="9">
        <v>43390.5145601852</v>
      </c>
    </row>
    <row r="406" spans="14:20">
      <c r="N406" s="7" t="str">
        <f>HYPERLINK("E:\附赠：Excel模板\Excel实战技巧精粹：Excel模板大全1000例\利润分配表.xls","利润分配表.xls")</f>
        <v>利润分配表.xls</v>
      </c>
      <c r="Q406">
        <v>0.02</v>
      </c>
      <c r="R406" s="7" t="str">
        <f t="shared" si="9"/>
        <v>E:\附赠：Excel模板\Excel实战技巧精粹：Excel模板大全1000例</v>
      </c>
      <c r="S406" s="9">
        <v>43600.3821296296</v>
      </c>
      <c r="T406" s="9">
        <v>43390.5141435185</v>
      </c>
    </row>
    <row r="407" spans="14:20">
      <c r="N407" s="7" t="str">
        <f>HYPERLINK("E:\附赠：Excel模板\Excel实战技巧精粹：Excel模板大全1000例\利润及利润分配表.xls","利润及利润分配表.xls")</f>
        <v>利润及利润分配表.xls</v>
      </c>
      <c r="Q407">
        <v>0.08</v>
      </c>
      <c r="R407" s="7" t="str">
        <f t="shared" ref="R407:R470" si="10">HYPERLINK("E:\附赠：Excel模板\Excel实战技巧精粹：Excel模板大全1000例","E:\附赠：Excel模板\Excel实战技巧精粹：Excel模板大全1000例")</f>
        <v>E:\附赠：Excel模板\Excel实战技巧精粹：Excel模板大全1000例</v>
      </c>
      <c r="S407" s="9">
        <v>43600.3821296296</v>
      </c>
      <c r="T407" s="9">
        <v>43390.5141435185</v>
      </c>
    </row>
    <row r="408" spans="14:20">
      <c r="N408" s="7" t="str">
        <f>HYPERLINK("E:\附赠：Excel模板\Excel实战技巧精粹：Excel模板大全1000例\利润及利润分配表2.xls","利润及利润分配表2.xls")</f>
        <v>利润及利润分配表2.xls</v>
      </c>
      <c r="Q408">
        <v>0.02</v>
      </c>
      <c r="R408" s="7" t="str">
        <f t="shared" si="10"/>
        <v>E:\附赠：Excel模板\Excel实战技巧精粹：Excel模板大全1000例</v>
      </c>
      <c r="S408" s="9">
        <v>43600.3821296296</v>
      </c>
      <c r="T408" s="9">
        <v>43390.5141435185</v>
      </c>
    </row>
    <row r="409" spans="14:20">
      <c r="N409" s="7" t="str">
        <f>HYPERLINK("E:\附赠：Excel模板\Excel实战技巧精粹：Excel模板大全1000例\利润及利润分配表（旅游类）.xls","利润及利润分配表（旅游类）.xls")</f>
        <v>利润及利润分配表（旅游类）.xls</v>
      </c>
      <c r="Q409">
        <v>0.02</v>
      </c>
      <c r="R409" s="7" t="str">
        <f t="shared" si="10"/>
        <v>E:\附赠：Excel模板\Excel实战技巧精粹：Excel模板大全1000例</v>
      </c>
      <c r="S409" s="9">
        <v>43600.3821296296</v>
      </c>
      <c r="T409" s="9">
        <v>43390.5141435185</v>
      </c>
    </row>
    <row r="410" spans="14:20">
      <c r="N410" s="7" t="str">
        <f>HYPERLINK("E:\附赠：Excel模板\Excel实战技巧精粹：Excel模板大全1000例\利润表.xls","利润表.xls")</f>
        <v>利润表.xls</v>
      </c>
      <c r="Q410">
        <v>0.02</v>
      </c>
      <c r="R410" s="7" t="str">
        <f t="shared" si="10"/>
        <v>E:\附赠：Excel模板\Excel实战技巧精粹：Excel模板大全1000例</v>
      </c>
      <c r="S410" s="9">
        <v>43600.3821296296</v>
      </c>
      <c r="T410" s="9">
        <v>43390.5141435185</v>
      </c>
    </row>
    <row r="411" spans="14:20">
      <c r="N411" s="7" t="str">
        <f>HYPERLINK("E:\附赠：Excel模板\Excel实战技巧精粹：Excel模板大全1000例\利润表2.xls","利润表2.xls")</f>
        <v>利润表2.xls</v>
      </c>
      <c r="Q411">
        <v>0.02</v>
      </c>
      <c r="R411" s="7" t="str">
        <f t="shared" si="10"/>
        <v>E:\附赠：Excel模板\Excel实战技巧精粹：Excel模板大全1000例</v>
      </c>
      <c r="S411" s="9">
        <v>43600.3821296296</v>
      </c>
      <c r="T411" s="9">
        <v>43390.5141435185</v>
      </c>
    </row>
    <row r="412" spans="14:20">
      <c r="N412" s="7" t="str">
        <f>HYPERLINK("E:\附赠：Excel模板\Excel实战技巧精粹：Excel模板大全1000例\利润表3.xls","利润表3.xls")</f>
        <v>利润表3.xls</v>
      </c>
      <c r="Q412">
        <v>0.02</v>
      </c>
      <c r="R412" s="7" t="str">
        <f t="shared" si="10"/>
        <v>E:\附赠：Excel模板\Excel实战技巧精粹：Excel模板大全1000例</v>
      </c>
      <c r="S412" s="9">
        <v>43600.3821296296</v>
      </c>
      <c r="T412" s="9">
        <v>43390.5141435185</v>
      </c>
    </row>
    <row r="413" spans="14:20">
      <c r="N413" s="7" t="str">
        <f>HYPERLINK("E:\附赠：Excel模板\Excel实战技巧精粹：Excel模板大全1000例\利润表4.xls","利润表4.xls")</f>
        <v>利润表4.xls</v>
      </c>
      <c r="Q413">
        <v>0.02</v>
      </c>
      <c r="R413" s="7" t="str">
        <f t="shared" si="10"/>
        <v>E:\附赠：Excel模板\Excel实战技巧精粹：Excel模板大全1000例</v>
      </c>
      <c r="S413" s="9">
        <v>43600.3821296296</v>
      </c>
      <c r="T413" s="9">
        <v>43390.5141435185</v>
      </c>
    </row>
    <row r="414" spans="14:20">
      <c r="N414" s="7" t="str">
        <f>HYPERLINK("E:\附赠：Excel模板\Excel实战技巧精粹：Excel模板大全1000例\利润预算表.xls","利润预算表.xls")</f>
        <v>利润预算表.xls</v>
      </c>
      <c r="Q414">
        <v>0.02</v>
      </c>
      <c r="R414" s="7" t="str">
        <f t="shared" si="10"/>
        <v>E:\附赠：Excel模板\Excel实战技巧精粹：Excel模板大全1000例</v>
      </c>
      <c r="S414" s="9">
        <v>43600.3821296296</v>
      </c>
      <c r="T414" s="9">
        <v>43390.5141435185</v>
      </c>
    </row>
    <row r="415" spans="14:20">
      <c r="N415" s="7" t="str">
        <f>HYPERLINK("E:\附赠：Excel模板\Excel实战技巧精粹：Excel模板大全1000例\前期物业管理服务等级证明申请表.xls","前期物业管理服务等级证明申请表.xls")</f>
        <v>前期物业管理服务等级证明申请表.xls</v>
      </c>
      <c r="Q415">
        <v>0.02</v>
      </c>
      <c r="R415" s="7" t="str">
        <f t="shared" si="10"/>
        <v>E:\附赠：Excel模板\Excel实战技巧精粹：Excel模板大全1000例</v>
      </c>
      <c r="S415" s="9">
        <v>43600.3821296296</v>
      </c>
      <c r="T415" s="9">
        <v>43390.5140046296</v>
      </c>
    </row>
    <row r="416" spans="14:20">
      <c r="N416" s="7" t="str">
        <f>HYPERLINK("E:\附赠：Excel模板\Excel实战技巧精粹：Excel模板大全1000例\加工贸易生产能力证明.xls","加工贸易生产能力证明.xls")</f>
        <v>加工贸易生产能力证明.xls</v>
      </c>
      <c r="Q416">
        <v>0.03</v>
      </c>
      <c r="R416" s="7" t="str">
        <f t="shared" si="10"/>
        <v>E:\附赠：Excel模板\Excel实战技巧精粹：Excel模板大全1000例</v>
      </c>
      <c r="S416" s="9">
        <v>43600.3821296296</v>
      </c>
      <c r="T416" s="9">
        <v>43390.5142592593</v>
      </c>
    </row>
    <row r="417" spans="14:20">
      <c r="N417" s="7" t="str">
        <f>HYPERLINK("E:\附赠：Excel模板\Excel实战技巧精粹：Excel模板大全1000例\加工贸易经营状况.xls","加工贸易经营状况.xls")</f>
        <v>加工贸易经营状况.xls</v>
      </c>
      <c r="Q417">
        <v>0.03</v>
      </c>
      <c r="R417" s="7" t="str">
        <f t="shared" si="10"/>
        <v>E:\附赠：Excel模板\Excel实战技巧精粹：Excel模板大全1000例</v>
      </c>
      <c r="S417" s="9">
        <v>43600.3821296296</v>
      </c>
      <c r="T417" s="9">
        <v>43390.5142592593</v>
      </c>
    </row>
    <row r="418" spans="14:20">
      <c r="N418" s="7" t="str">
        <f>HYPERLINK("E:\附赠：Excel模板\Excel实战技巧精粹：Excel模板大全1000例\劳动者就业登记表.xls","劳动者就业登记表.xls")</f>
        <v>劳动者就业登记表.xls</v>
      </c>
      <c r="Q418">
        <v>0.02</v>
      </c>
      <c r="R418" s="7" t="str">
        <f t="shared" si="10"/>
        <v>E:\附赠：Excel模板\Excel实战技巧精粹：Excel模板大全1000例</v>
      </c>
      <c r="S418" s="9">
        <v>43600.3821296296</v>
      </c>
      <c r="T418" s="9">
        <v>43390.5141666667</v>
      </c>
    </row>
    <row r="419" spans="14:20">
      <c r="N419" s="7" t="str">
        <f>HYPERLINK("E:\附赠：Excel模板\Excel实战技巧精粹：Excel模板大全1000例\勘查许可证、采矿许可证发放情况.xls","勘查许可证、采矿许可证发放情况.xls")</f>
        <v>勘查许可证、采矿许可证发放情况.xls</v>
      </c>
      <c r="Q419">
        <v>0.02</v>
      </c>
      <c r="R419" s="7" t="str">
        <f t="shared" si="10"/>
        <v>E:\附赠：Excel模板\Excel实战技巧精粹：Excel模板大全1000例</v>
      </c>
      <c r="S419" s="9">
        <v>43600.3821296296</v>
      </c>
      <c r="T419" s="9">
        <v>43390.5141666667</v>
      </c>
    </row>
    <row r="420" spans="14:20">
      <c r="N420" s="7" t="str">
        <f>HYPERLINK("E:\附赠：Excel模板\Excel实战技巧精粹：Excel模板大全1000例\勘测设计企业财务状况.xls","勘测设计企业财务状况.xls")</f>
        <v>勘测设计企业财务状况.xls</v>
      </c>
      <c r="Q420">
        <v>0.02</v>
      </c>
      <c r="R420" s="7" t="str">
        <f t="shared" si="10"/>
        <v>E:\附赠：Excel模板\Excel实战技巧精粹：Excel模板大全1000例</v>
      </c>
      <c r="S420" s="9">
        <v>43600.3821296296</v>
      </c>
      <c r="T420" s="9">
        <v>43390.5141666667</v>
      </c>
    </row>
    <row r="421" spans="14:20">
      <c r="N421" s="7" t="str">
        <f>HYPERLINK("E:\附赠：Excel模板\Excel实战技巧精粹：Excel模板大全1000例\区县妇女儿童发展规划统计监测基本情况表.xls","区县妇女儿童发展规划统计监测基本情况表.xls")</f>
        <v>区县妇女儿童发展规划统计监测基本情况表.xls</v>
      </c>
      <c r="Q421">
        <v>0.24</v>
      </c>
      <c r="R421" s="7" t="str">
        <f t="shared" si="10"/>
        <v>E:\附赠：Excel模板\Excel实战技巧精粹：Excel模板大全1000例</v>
      </c>
      <c r="S421" s="9">
        <v>43600.3821296296</v>
      </c>
      <c r="T421" s="9">
        <v>43390.5139814815</v>
      </c>
    </row>
    <row r="422" spans="14:20">
      <c r="N422" s="7" t="str">
        <f>HYPERLINK("E:\附赠：Excel模板\Excel实战技巧精粹：Excel模板大全1000例\区自行、分散采购资金财政直接拨付申请表.xls","区自行、分散采购资金财政直接拨付申请表.xls")</f>
        <v>区自行、分散采购资金财政直接拨付申请表.xls</v>
      </c>
      <c r="Q422">
        <v>0.02</v>
      </c>
      <c r="R422" s="7" t="str">
        <f t="shared" si="10"/>
        <v>E:\附赠：Excel模板\Excel实战技巧精粹：Excel模板大全1000例</v>
      </c>
      <c r="S422" s="9">
        <v>43600.3821296296</v>
      </c>
      <c r="T422" s="9">
        <v>43390.5139814815</v>
      </c>
    </row>
    <row r="423" spans="14:20">
      <c r="N423" s="7" t="str">
        <f>HYPERLINK("E:\附赠：Excel模板\Excel实战技巧精粹：Excel模板大全1000例\医疗单位物流.xls","医疗单位物流.xls")</f>
        <v>医疗单位物流.xls</v>
      </c>
      <c r="Q423">
        <v>0.02</v>
      </c>
      <c r="R423" s="7" t="str">
        <f t="shared" si="10"/>
        <v>E:\附赠：Excel模板\Excel实战技巧精粹：Excel模板大全1000例</v>
      </c>
      <c r="S423" s="9">
        <v>43600.3821296296</v>
      </c>
      <c r="T423" s="9">
        <v>43390.5135416667</v>
      </c>
    </row>
    <row r="424" spans="14:20">
      <c r="N424" s="7" t="str">
        <f>HYPERLINK("E:\附赠：Excel模板\Excel实战技巧精粹：Excel模板大全1000例\医疗机构医疗收支明细表.xls","医疗机构医疗收支明细表.xls")</f>
        <v>医疗机构医疗收支明细表.xls</v>
      </c>
      <c r="Q424">
        <v>0.02</v>
      </c>
      <c r="R424" s="7" t="str">
        <f t="shared" si="10"/>
        <v>E:\附赠：Excel模板\Excel实战技巧精粹：Excel模板大全1000例</v>
      </c>
      <c r="S424" s="9">
        <v>43600.3821296296</v>
      </c>
      <c r="T424" s="9">
        <v>43390.5135416667</v>
      </c>
    </row>
    <row r="425" spans="14:20">
      <c r="N425" s="7" t="str">
        <f>HYPERLINK("E:\附赠：Excel模板\Excel实战技巧精粹：Excel模板大全1000例\医疗机构基本数字表.xls","医疗机构基本数字表.xls")</f>
        <v>医疗机构基本数字表.xls</v>
      </c>
      <c r="Q425">
        <v>0.02</v>
      </c>
      <c r="R425" s="7" t="str">
        <f t="shared" si="10"/>
        <v>E:\附赠：Excel模板\Excel实战技巧精粹：Excel模板大全1000例</v>
      </c>
      <c r="S425" s="9">
        <v>43600.3821296296</v>
      </c>
      <c r="T425" s="9">
        <v>43390.5135416667</v>
      </c>
    </row>
    <row r="426" spans="14:20">
      <c r="N426" s="7" t="str">
        <f>HYPERLINK("E:\附赠：Excel模板\Excel实战技巧精粹：Excel模板大全1000例\医疗机构基金变动情况表.xls","医疗机构基金变动情况表.xls")</f>
        <v>医疗机构基金变动情况表.xls</v>
      </c>
      <c r="Q426">
        <v>0.02</v>
      </c>
      <c r="R426" s="7" t="str">
        <f t="shared" si="10"/>
        <v>E:\附赠：Excel模板\Excel实战技巧精粹：Excel模板大全1000例</v>
      </c>
      <c r="S426" s="9">
        <v>43600.3821296296</v>
      </c>
      <c r="T426" s="9">
        <v>43390.5135416667</v>
      </c>
    </row>
    <row r="427" spans="14:20">
      <c r="N427" s="7" t="str">
        <f>HYPERLINK("E:\附赠：Excel模板\Excel实战技巧精粹：Excel模板大全1000例\医疗机构收入支出总表.xls","医疗机构收入支出总表.xls")</f>
        <v>医疗机构收入支出总表.xls</v>
      </c>
      <c r="Q427">
        <v>0.02</v>
      </c>
      <c r="R427" s="7" t="str">
        <f t="shared" si="10"/>
        <v>E:\附赠：Excel模板\Excel实战技巧精粹：Excel模板大全1000例</v>
      </c>
      <c r="S427" s="9">
        <v>43600.3821296296</v>
      </c>
      <c r="T427" s="9">
        <v>43390.5135416667</v>
      </c>
    </row>
    <row r="428" spans="14:20">
      <c r="N428" s="7" t="str">
        <f>HYPERLINK("E:\附赠：Excel模板\Excel实战技巧精粹：Excel模板大全1000例\医疗机构药品收支明细表.xls","医疗机构药品收支明细表.xls")</f>
        <v>医疗机构药品收支明细表.xls</v>
      </c>
      <c r="Q428">
        <v>0.02</v>
      </c>
      <c r="R428" s="7" t="str">
        <f t="shared" si="10"/>
        <v>E:\附赠：Excel模板\Excel实战技巧精粹：Excel模板大全1000例</v>
      </c>
      <c r="S428" s="9">
        <v>43600.3821296296</v>
      </c>
      <c r="T428" s="9">
        <v>43390.5135416667</v>
      </c>
    </row>
    <row r="429" spans="14:20">
      <c r="N429" s="7" t="str">
        <f>HYPERLINK("E:\附赠：Excel模板\Excel实战技巧精粹：Excel模板大全1000例\医疗机构资产负债表.xls","医疗机构资产负债表.xls")</f>
        <v>医疗机构资产负债表.xls</v>
      </c>
      <c r="Q429">
        <v>0.02</v>
      </c>
      <c r="R429" s="7" t="str">
        <f t="shared" si="10"/>
        <v>E:\附赠：Excel模板\Excel实战技巧精粹：Excel模板大全1000例</v>
      </c>
      <c r="S429" s="9">
        <v>43600.3821296296</v>
      </c>
      <c r="T429" s="9">
        <v>43390.5135416667</v>
      </c>
    </row>
    <row r="430" spans="14:20">
      <c r="N430" s="7" t="str">
        <f>HYPERLINK("E:\附赠：Excel模板\Excel实战技巧精粹：Excel模板大全1000例\单位人员车辆基本信息表.xls","单位人员车辆基本信息表.xls")</f>
        <v>单位人员车辆基本信息表.xls</v>
      </c>
      <c r="Q430">
        <v>0.02</v>
      </c>
      <c r="R430" s="7" t="str">
        <f t="shared" si="10"/>
        <v>E:\附赠：Excel模板\Excel实战技巧精粹：Excel模板大全1000例</v>
      </c>
      <c r="S430" s="9">
        <v>43600.3821296296</v>
      </c>
      <c r="T430" s="9">
        <v>43390.5145138889</v>
      </c>
    </row>
    <row r="431" spans="14:20">
      <c r="N431" s="7" t="str">
        <f>HYPERLINK("E:\附赠：Excel模板\Excel实战技巧精粹：Excel模板大全1000例\单位基本情况表.xls","单位基本情况表.xls")</f>
        <v>单位基本情况表.xls</v>
      </c>
      <c r="Q431">
        <v>0.02</v>
      </c>
      <c r="R431" s="7" t="str">
        <f t="shared" si="10"/>
        <v>E:\附赠：Excel模板\Excel实战技巧精粹：Excel模板大全1000例</v>
      </c>
      <c r="S431" s="9">
        <v>43600.3821296296</v>
      </c>
      <c r="T431" s="9">
        <v>43390.5145138889</v>
      </c>
    </row>
    <row r="432" spans="14:20">
      <c r="N432" s="7" t="str">
        <f>HYPERLINK("E:\附赠：Excel模板\Excel实战技巧精粹：Excel模板大全1000例\单位帮困救助情况表.xls","单位帮困救助情况表.xls")</f>
        <v>单位帮困救助情况表.xls</v>
      </c>
      <c r="Q432">
        <v>0.02</v>
      </c>
      <c r="R432" s="7" t="str">
        <f t="shared" si="10"/>
        <v>E:\附赠：Excel模板\Excel实战技巧精粹：Excel模板大全1000例</v>
      </c>
      <c r="S432" s="9">
        <v>43600.3821296296</v>
      </c>
      <c r="T432" s="9">
        <v>43390.5145138889</v>
      </c>
    </row>
    <row r="433" spans="14:20">
      <c r="N433" s="7" t="str">
        <f>HYPERLINK("E:\附赠：Excel模板\Excel实战技巧精粹：Excel模板大全1000例\单位改制企业职工情况表.xls","单位改制企业职工情况表.xls")</f>
        <v>单位改制企业职工情况表.xls</v>
      </c>
      <c r="Q433">
        <v>0.03</v>
      </c>
      <c r="R433" s="7" t="str">
        <f t="shared" si="10"/>
        <v>E:\附赠：Excel模板\Excel实战技巧精粹：Excel模板大全1000例</v>
      </c>
      <c r="S433" s="9">
        <v>43600.3821296296</v>
      </c>
      <c r="T433" s="9">
        <v>43390.5145138889</v>
      </c>
    </row>
    <row r="434" spans="14:20">
      <c r="N434" s="7" t="str">
        <f>HYPERLINK("E:\附赠：Excel模板\Excel实战技巧精粹：Excel模板大全1000例\单位清欠劳动债务情况表.xls","单位清欠劳动债务情况表.xls")</f>
        <v>单位清欠劳动债务情况表.xls</v>
      </c>
      <c r="Q434">
        <v>0.02</v>
      </c>
      <c r="R434" s="7" t="str">
        <f t="shared" si="10"/>
        <v>E:\附赠：Excel模板\Excel实战技巧精粹：Excel模板大全1000例</v>
      </c>
      <c r="S434" s="9">
        <v>43600.3821296296</v>
      </c>
      <c r="T434" s="9">
        <v>43390.5145138889</v>
      </c>
    </row>
    <row r="435" spans="14:20">
      <c r="N435" s="7" t="str">
        <f>HYPERLINK("E:\附赠：Excel模板\Excel实战技巧精粹：Excel模板大全1000例\单位生产成本估算表.xls","单位生产成本估算表.xls")</f>
        <v>单位生产成本估算表.xls</v>
      </c>
      <c r="Q435">
        <v>0.01</v>
      </c>
      <c r="R435" s="7" t="str">
        <f t="shared" si="10"/>
        <v>E:\附赠：Excel模板\Excel实战技巧精粹：Excel模板大全1000例</v>
      </c>
      <c r="S435" s="9">
        <v>43600.3821296296</v>
      </c>
      <c r="T435" s="9">
        <v>43390.5145138889</v>
      </c>
    </row>
    <row r="436" spans="14:20">
      <c r="N436" s="7" t="str">
        <f>HYPERLINK("E:\附赠：Excel模板\Excel实战技巧精粹：Excel模板大全1000例\单位申请贷款贴息表.xls","单位申请贷款贴息表.xls")</f>
        <v>单位申请贷款贴息表.xls</v>
      </c>
      <c r="Q436">
        <v>0.04</v>
      </c>
      <c r="R436" s="7" t="str">
        <f t="shared" si="10"/>
        <v>E:\附赠：Excel模板\Excel实战技巧精粹：Excel模板大全1000例</v>
      </c>
      <c r="S436" s="9">
        <v>43600.3821296296</v>
      </c>
      <c r="T436" s="9">
        <v>43390.5144907407</v>
      </c>
    </row>
    <row r="437" spans="14:20">
      <c r="N437" s="7" t="str">
        <f>HYPERLINK("E:\附赠：Excel模板\Excel实战技巧精粹：Excel模板大全1000例\单位财务工作检查记录.xls","单位财务工作检查记录.xls")</f>
        <v>单位财务工作检查记录.xls</v>
      </c>
      <c r="Q437">
        <v>0.03</v>
      </c>
      <c r="R437" s="7" t="str">
        <f t="shared" si="10"/>
        <v>E:\附赠：Excel模板\Excel实战技巧精粹：Excel模板大全1000例</v>
      </c>
      <c r="S437" s="9">
        <v>43600.3821296296</v>
      </c>
      <c r="T437" s="9">
        <v>43390.5145138889</v>
      </c>
    </row>
    <row r="438" spans="14:20">
      <c r="N438" s="7" t="str">
        <f>HYPERLINK("E:\附赠：Excel模板\Excel实战技巧精粹：Excel模板大全1000例\卫生、中医事业单位基本数字表.xls","卫生、中医事业单位基本数字表.xls")</f>
        <v>卫生、中医事业单位基本数字表.xls</v>
      </c>
      <c r="Q438">
        <v>0.02</v>
      </c>
      <c r="R438" s="7" t="str">
        <f t="shared" si="10"/>
        <v>E:\附赠：Excel模板\Excel实战技巧精粹：Excel模板大全1000例</v>
      </c>
      <c r="S438" s="9">
        <v>43600.3821296296</v>
      </c>
      <c r="T438" s="9">
        <v>43390.5137731481</v>
      </c>
    </row>
    <row r="439" spans="14:20">
      <c r="N439" s="7" t="str">
        <f>HYPERLINK("E:\附赠：Excel模板\Excel实战技巧精粹：Excel模板大全1000例\卫生、中医事业单位收支表.xls","卫生、中医事业单位收支表.xls")</f>
        <v>卫生、中医事业单位收支表.xls</v>
      </c>
      <c r="Q439">
        <v>0.02</v>
      </c>
      <c r="R439" s="7" t="str">
        <f t="shared" si="10"/>
        <v>E:\附赠：Excel模板\Excel实战技巧精粹：Excel模板大全1000例</v>
      </c>
      <c r="S439" s="9">
        <v>43600.3821296296</v>
      </c>
      <c r="T439" s="9">
        <v>43390.5137731481</v>
      </c>
    </row>
    <row r="440" spans="14:20">
      <c r="N440" s="7" t="str">
        <f>HYPERLINK("E:\附赠：Excel模板\Excel实战技巧精粹：Excel模板大全1000例\卫生事业单位资产负债表.xls","卫生事业单位资产负债表.xls")</f>
        <v>卫生事业单位资产负债表.xls</v>
      </c>
      <c r="Q440">
        <v>0.02</v>
      </c>
      <c r="R440" s="7" t="str">
        <f t="shared" si="10"/>
        <v>E:\附赠：Excel模板\Excel实战技巧精粹：Excel模板大全1000例</v>
      </c>
      <c r="S440" s="9">
        <v>43600.3821296296</v>
      </c>
      <c r="T440" s="9">
        <v>43390.51375</v>
      </c>
    </row>
    <row r="441" spans="14:20">
      <c r="N441" s="7" t="str">
        <f>HYPERLINK("E:\附赠：Excel模板\Excel实战技巧精粹：Excel模板大全1000例\卫生支出统计表.xls","卫生支出统计表.xls")</f>
        <v>卫生支出统计表.xls</v>
      </c>
      <c r="Q441">
        <v>0.02</v>
      </c>
      <c r="R441" s="7" t="str">
        <f t="shared" si="10"/>
        <v>E:\附赠：Excel模板\Excel实战技巧精粹：Excel模板大全1000例</v>
      </c>
      <c r="S441" s="9">
        <v>43600.3821296296</v>
      </c>
      <c r="T441" s="9">
        <v>43390.51375</v>
      </c>
    </row>
    <row r="442" spans="14:20">
      <c r="N442" s="7" t="str">
        <f>HYPERLINK("E:\附赠：Excel模板\Excel实战技巧精粹：Excel模板大全1000例\卫生机构基本建设情况表1.xls","卫生机构基本建设情况表1.xls")</f>
        <v>卫生机构基本建设情况表1.xls</v>
      </c>
      <c r="Q442">
        <v>0.02</v>
      </c>
      <c r="R442" s="7" t="str">
        <f t="shared" si="10"/>
        <v>E:\附赠：Excel模板\Excel实战技巧精粹：Excel模板大全1000例</v>
      </c>
      <c r="S442" s="9">
        <v>43600.3821296296</v>
      </c>
      <c r="T442" s="9">
        <v>43390.5137731481</v>
      </c>
    </row>
    <row r="443" spans="14:20">
      <c r="N443" s="7" t="str">
        <f>HYPERLINK("E:\附赠：Excel模板\Excel实战技巧精粹：Excel模板大全1000例\卫生机构基本建设情况表2.xls","卫生机构基本建设情况表2.xls")</f>
        <v>卫生机构基本建设情况表2.xls</v>
      </c>
      <c r="Q443">
        <v>0.02</v>
      </c>
      <c r="R443" s="7" t="str">
        <f t="shared" si="10"/>
        <v>E:\附赠：Excel模板\Excel实战技巧精粹：Excel模板大全1000例</v>
      </c>
      <c r="S443" s="9">
        <v>43600.3821296296</v>
      </c>
      <c r="T443" s="9">
        <v>43390.5137731481</v>
      </c>
    </row>
    <row r="444" spans="14:20">
      <c r="N444" s="7" t="str">
        <f>HYPERLINK("E:\附赠：Excel模板\Excel实战技巧精粹：Excel模板大全1000例\卫生机构基本建设投资完成情况调查表.xls","卫生机构基本建设投资完成情况调查表.xls")</f>
        <v>卫生机构基本建设投资完成情况调查表.xls</v>
      </c>
      <c r="Q444">
        <v>0.02</v>
      </c>
      <c r="R444" s="7" t="str">
        <f t="shared" si="10"/>
        <v>E:\附赠：Excel模板\Excel实战技巧精粹：Excel模板大全1000例</v>
      </c>
      <c r="S444" s="9">
        <v>43600.3821296296</v>
      </c>
      <c r="T444" s="9">
        <v>43390.5137731481</v>
      </c>
    </row>
    <row r="445" spans="14:20">
      <c r="N445" s="7" t="str">
        <f>HYPERLINK("E:\附赠：Excel模板\Excel实战技巧精粹：Excel模板大全1000例\卫生部门效益统计.xls","卫生部门效益统计.xls")</f>
        <v>卫生部门效益统计.xls</v>
      </c>
      <c r="Q445">
        <v>0.02</v>
      </c>
      <c r="R445" s="7" t="str">
        <f t="shared" si="10"/>
        <v>E:\附赠：Excel模板\Excel实战技巧精粹：Excel模板大全1000例</v>
      </c>
      <c r="S445" s="9">
        <v>43600.3821296296</v>
      </c>
      <c r="T445" s="9">
        <v>43390.5137731481</v>
      </c>
    </row>
    <row r="446" spans="14:20">
      <c r="N446" s="7" t="str">
        <f>HYPERLINK("E:\附赠：Excel模板\Excel实战技巧精粹：Excel模板大全1000例\历届知名校友名册.xls","历届知名校友名册.xls")</f>
        <v>历届知名校友名册.xls</v>
      </c>
      <c r="Q446">
        <v>0.02</v>
      </c>
      <c r="R446" s="7" t="str">
        <f t="shared" si="10"/>
        <v>E:\附赠：Excel模板\Excel实战技巧精粹：Excel模板大全1000例</v>
      </c>
      <c r="S446" s="9">
        <v>43600.3821296296</v>
      </c>
      <c r="T446" s="9">
        <v>43390.5141435185</v>
      </c>
    </row>
    <row r="447" spans="14:20">
      <c r="N447" s="7" t="str">
        <f>HYPERLINK("E:\附赠：Excel模板\Excel实战技巧精粹：Excel模板大全1000例\参加国外学习班(展览)报名表.xls","参加国外学习班(展览)报名表.xls")</f>
        <v>参加国外学习班(展览)报名表.xls</v>
      </c>
      <c r="Q447">
        <v>0.02</v>
      </c>
      <c r="R447" s="7" t="str">
        <f t="shared" si="10"/>
        <v>E:\附赠：Excel模板\Excel实战技巧精粹：Excel模板大全1000例</v>
      </c>
      <c r="S447" s="9">
        <v>43600.3821296296</v>
      </c>
      <c r="T447" s="9">
        <v>43390.5146064815</v>
      </c>
    </row>
    <row r="448" spans="14:20">
      <c r="N448" s="7" t="str">
        <f>HYPERLINK("E:\附赠：Excel模板\Excel实战技巧精粹：Excel模板大全1000例\发票领用报表.xls","发票领用报表.xls")</f>
        <v>发票领用报表.xls</v>
      </c>
      <c r="Q448">
        <v>0.02</v>
      </c>
      <c r="R448" s="7" t="str">
        <f t="shared" si="10"/>
        <v>E:\附赠：Excel模板\Excel实战技巧精粹：Excel模板大全1000例</v>
      </c>
      <c r="S448" s="9">
        <v>43600.3821296296</v>
      </c>
      <c r="T448" s="9">
        <v>43390.5144675926</v>
      </c>
    </row>
    <row r="449" spans="14:20">
      <c r="N449" s="7" t="str">
        <f>HYPERLINK("E:\附赠：Excel模板\Excel实战技巧精粹：Excel模板大全1000例\变动图表.xls","变动图表.xls")</f>
        <v>变动图表.xls</v>
      </c>
      <c r="Q449">
        <v>0.05</v>
      </c>
      <c r="R449" s="7" t="str">
        <f t="shared" si="10"/>
        <v>E:\附赠：Excel模板\Excel实战技巧精粹：Excel模板大全1000例</v>
      </c>
      <c r="S449" s="9">
        <v>43600.3821296296</v>
      </c>
      <c r="T449" s="9">
        <v>43390.5146759259</v>
      </c>
    </row>
    <row r="450" spans="14:20">
      <c r="N450" s="7" t="str">
        <f>HYPERLINK("E:\附赠：Excel模板\Excel实战技巧精粹：Excel模板大全1000例\变更住房补贴汇总表.xls","变更住房补贴汇总表.xls")</f>
        <v>变更住房补贴汇总表.xls</v>
      </c>
      <c r="Q450">
        <v>0.02</v>
      </c>
      <c r="R450" s="7" t="str">
        <f t="shared" si="10"/>
        <v>E:\附赠：Excel模板\Excel实战技巧精粹：Excel模板大全1000例</v>
      </c>
      <c r="S450" s="9">
        <v>43600.3821296296</v>
      </c>
      <c r="T450" s="9">
        <v>43390.5146759259</v>
      </c>
    </row>
    <row r="451" spans="14:20">
      <c r="N451" s="7" t="str">
        <f>HYPERLINK("E:\附赠：Excel模板\Excel实战技巧精粹：Excel模板大全1000例\各单位岗位津贴随月发放金额明细表1.xls","各单位岗位津贴随月发放金额明细表1.xls")</f>
        <v>各单位岗位津贴随月发放金额明细表1.xls</v>
      </c>
      <c r="Q451">
        <v>0.07</v>
      </c>
      <c r="R451" s="7" t="str">
        <f t="shared" si="10"/>
        <v>E:\附赠：Excel模板\Excel实战技巧精粹：Excel模板大全1000例</v>
      </c>
      <c r="S451" s="9">
        <v>43600.3821296296</v>
      </c>
      <c r="T451" s="9">
        <v>43390.5144212963</v>
      </c>
    </row>
    <row r="452" spans="14:20">
      <c r="N452" s="7" t="str">
        <f>HYPERLINK("E:\附赠：Excel模板\Excel实战技巧精粹：Excel模板大全1000例\各单位岗位津贴随月发放金额明细表2.xls","各单位岗位津贴随月发放金额明细表2.xls")</f>
        <v>各单位岗位津贴随月发放金额明细表2.xls</v>
      </c>
      <c r="Q452">
        <v>0.02</v>
      </c>
      <c r="R452" s="7" t="str">
        <f t="shared" si="10"/>
        <v>E:\附赠：Excel模板\Excel实战技巧精粹：Excel模板大全1000例</v>
      </c>
      <c r="S452" s="9">
        <v>43600.3821296296</v>
      </c>
      <c r="T452" s="9">
        <v>43390.5144212963</v>
      </c>
    </row>
    <row r="453" spans="14:20">
      <c r="N453" s="7" t="str">
        <f>HYPERLINK("E:\附赠：Excel模板\Excel实战技巧精粹：Excel模板大全1000例\各旅遊路線行程時間及團長安排匯總表.xls","各旅遊路線行程時間及團長安排匯總表.xls")</f>
        <v>各旅遊路線行程時間及團長安排匯總表.xls</v>
      </c>
      <c r="Q453">
        <v>0.02</v>
      </c>
      <c r="R453" s="7" t="str">
        <f t="shared" si="10"/>
        <v>E:\附赠：Excel模板\Excel实战技巧精粹：Excel模板大全1000例</v>
      </c>
      <c r="S453" s="9">
        <v>43600.3821296296</v>
      </c>
      <c r="T453" s="9">
        <v>43390.5144212963</v>
      </c>
    </row>
    <row r="454" spans="14:20">
      <c r="N454" s="7" t="str">
        <f>HYPERLINK("E:\附赠：Excel模板\Excel实战技巧精粹：Excel模板大全1000例\各环境指数统计表.xls","各环境指数统计表.xls")</f>
        <v>各环境指数统计表.xls</v>
      </c>
      <c r="Q454">
        <v>0.02</v>
      </c>
      <c r="R454" s="7" t="str">
        <f t="shared" si="10"/>
        <v>E:\附赠：Excel模板\Excel实战技巧精粹：Excel模板大全1000例</v>
      </c>
      <c r="S454" s="9">
        <v>43600.3821296296</v>
      </c>
      <c r="T454" s="9">
        <v>43390.5144212963</v>
      </c>
    </row>
    <row r="455" spans="14:20">
      <c r="N455" s="7" t="str">
        <f>HYPERLINK("E:\附赠：Excel模板\Excel实战技巧精粹：Excel模板大全1000例\各类体育竞赛获奖情况统计表.xls","各类体育竞赛获奖情况统计表.xls")</f>
        <v>各类体育竞赛获奖情况统计表.xls</v>
      </c>
      <c r="Q455">
        <v>0.02</v>
      </c>
      <c r="R455" s="7" t="str">
        <f t="shared" si="10"/>
        <v>E:\附赠：Excel模板\Excel实战技巧精粹：Excel模板大全1000例</v>
      </c>
      <c r="S455" s="9">
        <v>43600.3821296296</v>
      </c>
      <c r="T455" s="9">
        <v>43390.5144212963</v>
      </c>
    </row>
    <row r="456" spans="14:20">
      <c r="N456" s="7" t="str">
        <f>HYPERLINK("E:\附赠：Excel模板\Excel实战技巧精粹：Excel模板大全1000例\各类奖学金评定情况表.xls","各类奖学金评定情况表.xls")</f>
        <v>各类奖学金评定情况表.xls</v>
      </c>
      <c r="Q456">
        <v>0.02</v>
      </c>
      <c r="R456" s="7" t="str">
        <f t="shared" si="10"/>
        <v>E:\附赠：Excel模板\Excel实战技巧精粹：Excel模板大全1000例</v>
      </c>
      <c r="S456" s="9">
        <v>43600.3821296296</v>
      </c>
      <c r="T456" s="9">
        <v>43390.5144212963</v>
      </c>
    </row>
    <row r="457" spans="14:20">
      <c r="N457" s="7" t="str">
        <f>HYPERLINK("E:\附赠：Excel模板\Excel实战技巧精粹：Excel模板大全1000例\合伙律师事务所建设情况问卷调查表.xls","合伙律师事务所建设情况问卷调查表.xls")</f>
        <v>合伙律师事务所建设情况问卷调查表.xls</v>
      </c>
      <c r="Q457">
        <v>0.02</v>
      </c>
      <c r="R457" s="7" t="str">
        <f t="shared" si="10"/>
        <v>E:\附赠：Excel模板\Excel实战技巧精粹：Excel模板大全1000例</v>
      </c>
      <c r="S457" s="9">
        <v>43600.3821296296</v>
      </c>
      <c r="T457" s="9">
        <v>43390.5143518519</v>
      </c>
    </row>
    <row r="458" spans="14:20">
      <c r="N458" s="7" t="str">
        <f>HYPERLINK("E:\附赠：Excel模板\Excel实战技巧精粹：Excel模板大全1000例\合作医疗票据统计表.xls","合作医疗票据统计表.xls")</f>
        <v>合作医疗票据统计表.xls</v>
      </c>
      <c r="Q458">
        <v>0.14</v>
      </c>
      <c r="R458" s="7" t="str">
        <f t="shared" si="10"/>
        <v>E:\附赠：Excel模板\Excel实战技巧精粹：Excel模板大全1000例</v>
      </c>
      <c r="S458" s="9">
        <v>43600.3821296296</v>
      </c>
      <c r="T458" s="9">
        <v>43390.5143518519</v>
      </c>
    </row>
    <row r="459" spans="14:20">
      <c r="N459" s="7" t="str">
        <f>HYPERLINK("E:\附赠：Excel模板\Excel实战技巧精粹：Excel模板大全1000例\合格醫院名單.xls","合格醫院名單.xls")</f>
        <v>合格醫院名單.xls</v>
      </c>
      <c r="Q459">
        <v>0.02</v>
      </c>
      <c r="R459" s="7" t="str">
        <f t="shared" si="10"/>
        <v>E:\附赠：Excel模板\Excel实战技巧精粹：Excel模板大全1000例</v>
      </c>
      <c r="S459" s="9">
        <v>43600.3821296296</v>
      </c>
      <c r="T459" s="9">
        <v>43390.5143518519</v>
      </c>
    </row>
    <row r="460" spans="14:20">
      <c r="N460" s="7" t="str">
        <f>HYPERLINK("E:\附赠：Excel模板\Excel实战技巧精粹：Excel模板大全1000例\员工概况表.xls","员工概况表.xls")</f>
        <v>员工概况表.xls</v>
      </c>
      <c r="Q460">
        <v>0.02</v>
      </c>
      <c r="R460" s="7" t="str">
        <f t="shared" si="10"/>
        <v>E:\附赠：Excel模板\Excel实战技巧精粹：Excel模板大全1000例</v>
      </c>
      <c r="S460" s="9">
        <v>43600.3821296296</v>
      </c>
      <c r="T460" s="9">
        <v>43390.5134953704</v>
      </c>
    </row>
    <row r="461" spans="14:20">
      <c r="N461" s="7" t="str">
        <f>HYPERLINK("E:\附赠：Excel模板\Excel实战技巧精粹：Excel模板大全1000例\员工面试通过一览表.xls","员工面试通过一览表.xls")</f>
        <v>员工面试通过一览表.xls</v>
      </c>
      <c r="Q461">
        <v>0.02</v>
      </c>
      <c r="R461" s="7" t="str">
        <f t="shared" si="10"/>
        <v>E:\附赠：Excel模板\Excel实战技巧精粹：Excel模板大全1000例</v>
      </c>
      <c r="S461" s="9">
        <v>43600.3821296296</v>
      </c>
      <c r="T461" s="9">
        <v>43390.5134953704</v>
      </c>
    </row>
    <row r="462" spans="14:20">
      <c r="N462" s="7" t="str">
        <f>HYPERLINK("E:\附赠：Excel模板\Excel实战技巧精粹：Excel模板大全1000例\咨询单位资质系统.xls","咨询单位资质系统.xls")</f>
        <v>咨询单位资质系统.xls</v>
      </c>
      <c r="Q462">
        <v>0.15</v>
      </c>
      <c r="R462" s="7" t="str">
        <f t="shared" si="10"/>
        <v>E:\附赠：Excel模板\Excel实战技巧精粹：Excel模板大全1000例</v>
      </c>
      <c r="S462" s="9">
        <v>43600.3821296296</v>
      </c>
      <c r="T462" s="9">
        <v>43390.5134027778</v>
      </c>
    </row>
    <row r="463" spans="14:20">
      <c r="N463" s="7" t="str">
        <f>HYPERLINK("E:\附赠：Excel模板\Excel实战技巧精粹：Excel模板大全1000例\品学兼优毕业生名单.xls","品学兼优毕业生名单.xls")</f>
        <v>品学兼优毕业生名单.xls</v>
      </c>
      <c r="Q463">
        <v>0.02</v>
      </c>
      <c r="R463" s="7" t="str">
        <f t="shared" si="10"/>
        <v>E:\附赠：Excel模板\Excel实战技巧精粹：Excel模板大全1000例</v>
      </c>
      <c r="S463" s="9">
        <v>43600.3821296296</v>
      </c>
      <c r="T463" s="9">
        <v>43390.5140277778</v>
      </c>
    </row>
    <row r="464" spans="14:20">
      <c r="N464" s="7" t="str">
        <f>HYPERLINK("E:\附赠：Excel模板\Excel实战技巧精粹：Excel模板大全1000例\商务经营情况明细表.xls","商务经营情况明细表.xls")</f>
        <v>商务经营情况明细表.xls</v>
      </c>
      <c r="Q464">
        <v>0.02</v>
      </c>
      <c r="R464" s="7" t="str">
        <f t="shared" si="10"/>
        <v>E:\附赠：Excel模板\Excel实战技巧精粹：Excel模板大全1000例</v>
      </c>
      <c r="S464" s="9">
        <v>43600.3821296296</v>
      </c>
      <c r="T464" s="9">
        <v>43390.5139351852</v>
      </c>
    </row>
    <row r="465" spans="14:20">
      <c r="N465" s="7" t="str">
        <f>HYPERLINK("E:\附赠：Excel模板\Excel实战技巧精粹：Excel模板大全1000例\商品经营情况明细表.xls","商品经营情况明细表.xls")</f>
        <v>商品经营情况明细表.xls</v>
      </c>
      <c r="Q465">
        <v>0.02</v>
      </c>
      <c r="R465" s="7" t="str">
        <f t="shared" si="10"/>
        <v>E:\附赠：Excel模板\Excel实战技巧精粹：Excel模板大全1000例</v>
      </c>
      <c r="S465" s="9">
        <v>43600.3821296296</v>
      </c>
      <c r="T465" s="9">
        <v>43390.5139583333</v>
      </c>
    </row>
    <row r="466" spans="14:20">
      <c r="N466" s="7" t="str">
        <f>HYPERLINK("E:\附赠：Excel模板\Excel实战技巧精粹：Excel模板大全1000例\商品订购单.xls","商品订购单.xls")</f>
        <v>商品订购单.xls</v>
      </c>
      <c r="Q466">
        <v>0.02</v>
      </c>
      <c r="R466" s="7" t="str">
        <f t="shared" si="10"/>
        <v>E:\附赠：Excel模板\Excel实战技巧精粹：Excel模板大全1000例</v>
      </c>
      <c r="S466" s="9">
        <v>43600.3821296296</v>
      </c>
      <c r="T466" s="9">
        <v>43390.5139351852</v>
      </c>
    </row>
    <row r="467" spans="14:20">
      <c r="N467" s="7" t="str">
        <f>HYPERLINK("E:\附赠：Excel模板\Excel实战技巧精粹：Excel模板大全1000例\商品采购项目计划申请表.xls","商品采购项目计划申请表.xls")</f>
        <v>商品采购项目计划申请表.xls</v>
      </c>
      <c r="Q467">
        <v>0.02</v>
      </c>
      <c r="R467" s="7" t="str">
        <f t="shared" si="10"/>
        <v>E:\附赠：Excel模板\Excel实战技巧精粹：Excel模板大全1000例</v>
      </c>
      <c r="S467" s="9">
        <v>43600.3821296296</v>
      </c>
      <c r="T467" s="9">
        <v>43390.5139351852</v>
      </c>
    </row>
    <row r="468" spans="14:20">
      <c r="N468" s="7" t="str">
        <f>HYPERLINK("E:\附赠：Excel模板\Excel实战技巧精粹：Excel模板大全1000例\四项教学经费情况统计表.xls","四项教学经费情况统计表.xls")</f>
        <v>四项教学经费情况统计表.xls</v>
      </c>
      <c r="Q468">
        <v>0.03</v>
      </c>
      <c r="R468" s="7" t="str">
        <f t="shared" si="10"/>
        <v>E:\附赠：Excel模板\Excel实战技巧精粹：Excel模板大全1000例</v>
      </c>
      <c r="S468" s="9">
        <v>43600.3821296296</v>
      </c>
      <c r="T468" s="9">
        <v>43390.5138194444</v>
      </c>
    </row>
    <row r="469" spans="14:20">
      <c r="N469" s="7" t="str">
        <f>HYPERLINK("E:\附赠：Excel模板\Excel实战技巧精粹：Excel模板大全1000例\园林绿化工程专项验收与竣工备案证明书.xls","园林绿化工程专项验收与竣工备案证明书.xls")</f>
        <v>园林绿化工程专项验收与竣工备案证明书.xls</v>
      </c>
      <c r="Q469">
        <v>0.02</v>
      </c>
      <c r="R469" s="7" t="str">
        <f t="shared" si="10"/>
        <v>E:\附赠：Excel模板\Excel实战技巧精粹：Excel模板大全1000例</v>
      </c>
      <c r="S469" s="9">
        <v>43600.3821296296</v>
      </c>
      <c r="T469" s="9">
        <v>43390.5134953704</v>
      </c>
    </row>
    <row r="470" spans="14:20">
      <c r="N470" s="7" t="str">
        <f>HYPERLINK("E:\附赠：Excel模板\Excel实战技巧精粹：Excel模板大全1000例\困难学生资助申请表.xls","困难学生资助申请表.xls")</f>
        <v>困难学生资助申请表.xls</v>
      </c>
      <c r="Q470">
        <v>0.02</v>
      </c>
      <c r="R470" s="7" t="str">
        <f t="shared" si="10"/>
        <v>E:\附赠：Excel模板\Excel实战技巧精粹：Excel模板大全1000例</v>
      </c>
      <c r="S470" s="9">
        <v>43600.3821296296</v>
      </c>
      <c r="T470" s="9">
        <v>43390.5141666667</v>
      </c>
    </row>
    <row r="471" spans="14:20">
      <c r="N471" s="7" t="str">
        <f>HYPERLINK("E:\附赠：Excel模板\Excel实战技巧精粹：Excel模板大全1000例\固定资产价值重估申报表.xls","固定资产价值重估申报表.xls")</f>
        <v>固定资产价值重估申报表.xls</v>
      </c>
      <c r="Q471">
        <v>0.02</v>
      </c>
      <c r="R471" s="7" t="str">
        <f t="shared" ref="R471:R534" si="11">HYPERLINK("E:\附赠：Excel模板\Excel实战技巧精粹：Excel模板大全1000例","E:\附赠：Excel模板\Excel实战技巧精粹：Excel模板大全1000例")</f>
        <v>E:\附赠：Excel模板\Excel实战技巧精粹：Excel模板大全1000例</v>
      </c>
      <c r="S471" s="9">
        <v>43600.3821296296</v>
      </c>
      <c r="T471" s="9">
        <v>43390.514375</v>
      </c>
    </row>
    <row r="472" spans="14:20">
      <c r="N472" s="7" t="str">
        <f>HYPERLINK("E:\附赠：Excel模板\Excel实战技巧精粹：Excel模板大全1000例\固定资产分类表.xls","固定资产分类表.xls")</f>
        <v>固定资产分类表.xls</v>
      </c>
      <c r="Q472">
        <v>0.03</v>
      </c>
      <c r="R472" s="7" t="str">
        <f t="shared" si="11"/>
        <v>E:\附赠：Excel模板\Excel实战技巧精粹：Excel模板大全1000例</v>
      </c>
      <c r="S472" s="9">
        <v>43600.3821296296</v>
      </c>
      <c r="T472" s="9">
        <v>43390.514375</v>
      </c>
    </row>
    <row r="473" spans="14:20">
      <c r="N473" s="7" t="str">
        <f>HYPERLINK("E:\附赠：Excel模板\Excel实战技巧精粹：Excel模板大全1000例\固定资产明细表.xls","固定资产明细表.xls")</f>
        <v>固定资产明细表.xls</v>
      </c>
      <c r="Q473">
        <v>0.02</v>
      </c>
      <c r="R473" s="7" t="str">
        <f t="shared" si="11"/>
        <v>E:\附赠：Excel模板\Excel实战技巧精粹：Excel模板大全1000例</v>
      </c>
      <c r="S473" s="9">
        <v>43600.3821296296</v>
      </c>
      <c r="T473" s="9">
        <v>43390.514375</v>
      </c>
    </row>
    <row r="474" spans="14:20">
      <c r="N474" s="7" t="str">
        <f>HYPERLINK("E:\附赠：Excel模板\Excel实战技巧精粹：Excel模板大全1000例\固定资产汇兑表.xls","固定资产汇兑表.xls")</f>
        <v>固定资产汇兑表.xls</v>
      </c>
      <c r="Q474">
        <v>0.02</v>
      </c>
      <c r="R474" s="7" t="str">
        <f t="shared" si="11"/>
        <v>E:\附赠：Excel模板\Excel实战技巧精粹：Excel模板大全1000例</v>
      </c>
      <c r="S474" s="9">
        <v>43600.3821296296</v>
      </c>
      <c r="T474" s="9">
        <v>43390.514375</v>
      </c>
    </row>
    <row r="475" spans="14:20">
      <c r="N475" s="7" t="str">
        <f>HYPERLINK("E:\附赠：Excel模板\Excel实战技巧精粹：Excel模板大全1000例\国土资源综合统计月报报表.xls","国土资源综合统计月报报表.xls")</f>
        <v>国土资源综合统计月报报表.xls</v>
      </c>
      <c r="Q475">
        <v>0.02</v>
      </c>
      <c r="R475" s="7" t="str">
        <f t="shared" si="11"/>
        <v>E:\附赠：Excel模板\Excel实战技巧精粹：Excel模板大全1000例</v>
      </c>
      <c r="S475" s="9">
        <v>43600.3821296296</v>
      </c>
      <c r="T475" s="9">
        <v>43390.5143518519</v>
      </c>
    </row>
    <row r="476" spans="14:20">
      <c r="N476" s="7" t="str">
        <f>HYPERLINK("E:\附赠：Excel模板\Excel实战技巧精粹：Excel模板大全1000例\国土资源违法案件查处.xls","国土资源违法案件查处.xls")</f>
        <v>国土资源违法案件查处.xls</v>
      </c>
      <c r="Q476">
        <v>0.02</v>
      </c>
      <c r="R476" s="7" t="str">
        <f t="shared" si="11"/>
        <v>E:\附赠：Excel模板\Excel实战技巧精粹：Excel模板大全1000例</v>
      </c>
      <c r="S476" s="9">
        <v>43600.3821296296</v>
      </c>
      <c r="T476" s="9">
        <v>43390.5143518519</v>
      </c>
    </row>
    <row r="477" spans="14:20">
      <c r="N477" s="7" t="str">
        <f>HYPERLINK("E:\附赠：Excel模板\Excel实战技巧精粹：Excel模板大全1000例\国家公务员机关工作者录用计划执行情况统计表.xls","国家公务员机关工作者录用计划执行情况统计表.xls")</f>
        <v>国家公务员机关工作者录用计划执行情况统计表.xls</v>
      </c>
      <c r="Q477">
        <v>0.02</v>
      </c>
      <c r="R477" s="7" t="str">
        <f t="shared" si="11"/>
        <v>E:\附赠：Excel模板\Excel实战技巧精粹：Excel模板大全1000例</v>
      </c>
      <c r="S477" s="9">
        <v>43600.3821296296</v>
      </c>
      <c r="T477" s="9">
        <v>43390.5143518519</v>
      </c>
    </row>
    <row r="478" spans="14:20">
      <c r="N478" s="7" t="str">
        <f>HYPERLINK("E:\附赠：Excel模板\Excel实战技巧精粹：Excel模板大全1000例\国家助学贷款学生家庭所在地证明.xls","国家助学贷款学生家庭所在地证明.xls")</f>
        <v>国家助学贷款学生家庭所在地证明.xls</v>
      </c>
      <c r="Q478">
        <v>0.02</v>
      </c>
      <c r="R478" s="7" t="str">
        <f t="shared" si="11"/>
        <v>E:\附赠：Excel模板\Excel实战技巧精粹：Excel模板大全1000例</v>
      </c>
      <c r="S478" s="9">
        <v>43600.3821296296</v>
      </c>
      <c r="T478" s="9">
        <v>43390.5143518519</v>
      </c>
    </row>
    <row r="479" spans="14:20">
      <c r="N479" s="7" t="str">
        <f>HYPERLINK("E:\附赠：Excel模板\Excel实战技巧精粹：Excel模板大全1000例\国家政策内的津贴补贴调查表.xls","国家政策内的津贴补贴调查表.xls")</f>
        <v>国家政策内的津贴补贴调查表.xls</v>
      </c>
      <c r="Q479">
        <v>0.02</v>
      </c>
      <c r="R479" s="7" t="str">
        <f t="shared" si="11"/>
        <v>E:\附赠：Excel模板\Excel实战技巧精粹：Excel模板大全1000例</v>
      </c>
      <c r="S479" s="9">
        <v>43600.3821296296</v>
      </c>
      <c r="T479" s="9">
        <v>43390.5143518519</v>
      </c>
    </row>
    <row r="480" spans="14:20">
      <c r="N480" s="7" t="str">
        <f>HYPERLINK("E:\附赠：Excel模板\Excel实战技巧精粹：Excel模板大全1000例\国家社会科学基金项目申报数据代码表.xls","国家社会科学基金项目申报数据代码表.xls")</f>
        <v>国家社会科学基金项目申报数据代码表.xls</v>
      </c>
      <c r="Q480">
        <v>0.04</v>
      </c>
      <c r="R480" s="7" t="str">
        <f t="shared" si="11"/>
        <v>E:\附赠：Excel模板\Excel实战技巧精粹：Excel模板大全1000例</v>
      </c>
      <c r="S480" s="9">
        <v>43600.3821296296</v>
      </c>
      <c r="T480" s="9">
        <v>43390.5143518519</v>
      </c>
    </row>
    <row r="481" spans="14:20">
      <c r="N481" s="7" t="str">
        <f>HYPERLINK("E:\附赠：Excel模板\Excel实战技巧精粹：Excel模板大全1000例\国家粮食局库存统计.xls","国家粮食局库存统计.xls")</f>
        <v>国家粮食局库存统计.xls</v>
      </c>
      <c r="Q481">
        <v>0.04</v>
      </c>
      <c r="R481" s="7" t="str">
        <f t="shared" si="11"/>
        <v>E:\附赠：Excel模板\Excel实战技巧精粹：Excel模板大全1000例</v>
      </c>
      <c r="S481" s="9">
        <v>43600.3821296296</v>
      </c>
      <c r="T481" s="9">
        <v>43390.5143518519</v>
      </c>
    </row>
    <row r="482" spans="14:20">
      <c r="N482" s="7" t="str">
        <f>HYPERLINK("E:\附赠：Excel模板\Excel实战技巧精粹：Excel模板大全1000例\国家风景名胜区申请国家补助项目表.xls","国家风景名胜区申请国家补助项目表.xls")</f>
        <v>国家风景名胜区申请国家补助项目表.xls</v>
      </c>
      <c r="Q482">
        <v>0.02</v>
      </c>
      <c r="R482" s="7" t="str">
        <f t="shared" si="11"/>
        <v>E:\附赠：Excel模板\Excel实战技巧精粹：Excel模板大全1000例</v>
      </c>
      <c r="S482" s="9">
        <v>43600.3821296296</v>
      </c>
      <c r="T482" s="9">
        <v>43390.5143518519</v>
      </c>
    </row>
    <row r="483" spans="14:20">
      <c r="N483" s="7" t="str">
        <f>HYPERLINK("E:\附赠：Excel模板\Excel实战技巧精粹：Excel模板大全1000例\国库集中支付计划单.xls","国库集中支付计划单.xls")</f>
        <v>国库集中支付计划单.xls</v>
      </c>
      <c r="Q483">
        <v>0.01</v>
      </c>
      <c r="R483" s="7" t="str">
        <f t="shared" si="11"/>
        <v>E:\附赠：Excel模板\Excel实战技巧精粹：Excel模板大全1000例</v>
      </c>
      <c r="S483" s="9">
        <v>43600.3821296296</v>
      </c>
      <c r="T483" s="9">
        <v>43390.5143518519</v>
      </c>
    </row>
    <row r="484" spans="14:20">
      <c r="N484" s="7" t="str">
        <f>HYPERLINK("E:\附赠：Excel模板\Excel实战技巧精粹：Excel模板大全1000例\国有产权（股权）交易上市申请书.xls","国有产权（股权）交易上市申请书.xls")</f>
        <v>国有产权（股权）交易上市申请书.xls</v>
      </c>
      <c r="Q484">
        <v>0.07</v>
      </c>
      <c r="R484" s="7" t="str">
        <f t="shared" si="11"/>
        <v>E:\附赠：Excel模板\Excel实战技巧精粹：Excel模板大全1000例</v>
      </c>
      <c r="S484" s="9">
        <v>43600.3821296296</v>
      </c>
      <c r="T484" s="9">
        <v>43390.5143518519</v>
      </c>
    </row>
    <row r="485" spans="14:20">
      <c r="N485" s="7" t="str">
        <f>HYPERLINK("E:\附赠：Excel模板\Excel实战技巧精粹：Excel模板大全1000例\国有农牧渔良种场繁殖情况调查表.xls","国有农牧渔良种场繁殖情况调查表.xls")</f>
        <v>国有农牧渔良种场繁殖情况调查表.xls</v>
      </c>
      <c r="Q485">
        <v>0.01</v>
      </c>
      <c r="R485" s="7" t="str">
        <f t="shared" si="11"/>
        <v>E:\附赠：Excel模板\Excel实战技巧精粹：Excel模板大全1000例</v>
      </c>
      <c r="S485" s="9">
        <v>43600.3821296296</v>
      </c>
      <c r="T485" s="9">
        <v>43390.5143518519</v>
      </c>
    </row>
    <row r="486" spans="14:20">
      <c r="N486" s="7" t="str">
        <f>HYPERLINK("E:\附赠：Excel模板\Excel实战技巧精粹：Excel模板大全1000例\国民经济行业分类职工人数和工资情况.xls","国民经济行业分类职工人数和工资情况.xls")</f>
        <v>国民经济行业分类职工人数和工资情况.xls</v>
      </c>
      <c r="Q486">
        <v>0.02</v>
      </c>
      <c r="R486" s="7" t="str">
        <f t="shared" si="11"/>
        <v>E:\附赠：Excel模板\Excel实战技巧精粹：Excel模板大全1000例</v>
      </c>
      <c r="S486" s="9">
        <v>43600.3821296296</v>
      </c>
      <c r="T486" s="9">
        <v>43390.5143518519</v>
      </c>
    </row>
    <row r="487" spans="14:20">
      <c r="N487" s="7" t="str">
        <f>HYPERLINK("E:\附赠：Excel模板\Excel实战技巧精粹：Excel模板大全1000例\国际旅游人数和外汇收入（1985－2001年）.xls","国际旅游人数和外汇收入（1985－2001年）.xls")</f>
        <v>国际旅游人数和外汇收入（1985－2001年）.xls</v>
      </c>
      <c r="Q487">
        <v>0.02</v>
      </c>
      <c r="R487" s="7" t="str">
        <f t="shared" si="11"/>
        <v>E:\附赠：Excel模板\Excel实战技巧精粹：Excel模板大全1000例</v>
      </c>
      <c r="S487" s="9">
        <v>43600.3821296296</v>
      </c>
      <c r="T487" s="9">
        <v>43390.514375</v>
      </c>
    </row>
    <row r="488" spans="14:20">
      <c r="N488" s="7" t="str">
        <f>HYPERLINK("E:\附赠：Excel模板\Excel实战技巧精粹：Excel模板大全1000例\土地使用权调查表.xls","土地使用权调查表.xls")</f>
        <v>土地使用权调查表.xls</v>
      </c>
      <c r="Q488">
        <v>0.02</v>
      </c>
      <c r="R488" s="7" t="str">
        <f t="shared" si="11"/>
        <v>E:\附赠：Excel模板\Excel实战技巧精粹：Excel模板大全1000例</v>
      </c>
      <c r="S488" s="9">
        <v>43600.3821296296</v>
      </c>
      <c r="T488" s="9">
        <v>43390.5137962963</v>
      </c>
    </row>
    <row r="489" spans="14:20">
      <c r="N489" s="7" t="str">
        <f>HYPERLINK("E:\附赠：Excel模板\Excel实战技巧精粹：Excel模板大全1000例\土地类资产情况明细表.xls","土地类资产情况明细表.xls")</f>
        <v>土地类资产情况明细表.xls</v>
      </c>
      <c r="Q489">
        <v>0.01</v>
      </c>
      <c r="R489" s="7" t="str">
        <f t="shared" si="11"/>
        <v>E:\附赠：Excel模板\Excel实战技巧精粹：Excel模板大全1000例</v>
      </c>
      <c r="S489" s="9">
        <v>43600.3821296296</v>
      </c>
      <c r="T489" s="9">
        <v>43390.5137962963</v>
      </c>
    </row>
    <row r="490" spans="14:20">
      <c r="N490" s="7" t="str">
        <f>HYPERLINK("E:\附赠：Excel模板\Excel实战技巧精粹：Excel模板大全1000例\土地行政管理.xls","土地行政管理.xls")</f>
        <v>土地行政管理.xls</v>
      </c>
      <c r="Q490">
        <v>0.02</v>
      </c>
      <c r="R490" s="7" t="str">
        <f t="shared" si="11"/>
        <v>E:\附赠：Excel模板\Excel实战技巧精粹：Excel模板大全1000例</v>
      </c>
      <c r="S490" s="9">
        <v>43600.3821296296</v>
      </c>
      <c r="T490" s="9">
        <v>43390.5137962963</v>
      </c>
    </row>
    <row r="491" spans="14:20">
      <c r="N491" s="7" t="str">
        <f>HYPERLINK("E:\附赠：Excel模板\Excel实战技巧精粹：Excel模板大全1000例\土地调查基本情况表.xls","土地调查基本情况表.xls")</f>
        <v>土地调查基本情况表.xls</v>
      </c>
      <c r="Q491">
        <v>0.02</v>
      </c>
      <c r="R491" s="7" t="str">
        <f t="shared" si="11"/>
        <v>E:\附赠：Excel模板\Excel实战技巧精粹：Excel模板大全1000例</v>
      </c>
      <c r="S491" s="9">
        <v>43600.3821296296</v>
      </c>
      <c r="T491" s="9">
        <v>43390.5137962963</v>
      </c>
    </row>
    <row r="492" spans="14:20">
      <c r="N492" s="7" t="str">
        <f>HYPERLINK("E:\附赠：Excel模板\Excel实战技巧精粹：Excel模板大全1000例\土地资产预估价值明细表.xls","土地资产预估价值明细表.xls")</f>
        <v>土地资产预估价值明细表.xls</v>
      </c>
      <c r="Q492">
        <v>0.02</v>
      </c>
      <c r="R492" s="7" t="str">
        <f t="shared" si="11"/>
        <v>E:\附赠：Excel模板\Excel实战技巧精粹：Excel模板大全1000例</v>
      </c>
      <c r="S492" s="9">
        <v>43600.3821296296</v>
      </c>
      <c r="T492" s="9">
        <v>43390.5137962963</v>
      </c>
    </row>
    <row r="493" spans="14:20">
      <c r="N493" s="7" t="str">
        <f>HYPERLINK("E:\附赠：Excel模板\Excel实战技巧精粹：Excel模板大全1000例\地址引用替换.xls","地址引用替换.xls")</f>
        <v>地址引用替换.xls</v>
      </c>
      <c r="Q493">
        <v>0.02</v>
      </c>
      <c r="R493" s="7" t="str">
        <f t="shared" si="11"/>
        <v>E:\附赠：Excel模板\Excel实战技巧精粹：Excel模板大全1000例</v>
      </c>
      <c r="S493" s="9">
        <v>43600.3821296296</v>
      </c>
      <c r="T493" s="9">
        <v>43390.5144907407</v>
      </c>
    </row>
    <row r="494" spans="14:20">
      <c r="N494" s="7" t="str">
        <f>HYPERLINK("E:\附赠：Excel模板\Excel实战技巧精粹：Excel模板大全1000例\地方财政收入主要项目.xls","地方财政收入主要项目.xls")</f>
        <v>地方财政收入主要项目.xls</v>
      </c>
      <c r="Q494">
        <v>0.02</v>
      </c>
      <c r="R494" s="7" t="str">
        <f t="shared" si="11"/>
        <v>E:\附赠：Excel模板\Excel实战技巧精粹：Excel模板大全1000例</v>
      </c>
      <c r="S494" s="9">
        <v>43600.3821296296</v>
      </c>
      <c r="T494" s="9">
        <v>43390.5144907407</v>
      </c>
    </row>
    <row r="495" spans="14:20">
      <c r="N495" s="7" t="str">
        <f>HYPERLINK("E:\附赠：Excel模板\Excel实战技巧精粹：Excel模板大全1000例\地级行政单位统计指标目录.xls","地级行政单位统计指标目录.xls")</f>
        <v>地级行政单位统计指标目录.xls</v>
      </c>
      <c r="Q495">
        <v>0.06</v>
      </c>
      <c r="R495" s="7" t="str">
        <f t="shared" si="11"/>
        <v>E:\附赠：Excel模板\Excel实战技巧精粹：Excel模板大全1000例</v>
      </c>
      <c r="S495" s="9">
        <v>43600.3821296296</v>
      </c>
      <c r="T495" s="9">
        <v>43390.5144907407</v>
      </c>
    </row>
    <row r="496" spans="14:20">
      <c r="N496" s="7" t="str">
        <f>HYPERLINK("E:\附赠：Excel模板\Excel实战技巧精粹：Excel模板大全1000例\地质调查费用报表.xls","地质调查费用报表.xls")</f>
        <v>地质调查费用报表.xls</v>
      </c>
      <c r="Q496">
        <v>0.04</v>
      </c>
      <c r="R496" s="7" t="str">
        <f t="shared" si="11"/>
        <v>E:\附赠：Excel模板\Excel实战技巧精粹：Excel模板大全1000例</v>
      </c>
      <c r="S496" s="9">
        <v>43600.3821296296</v>
      </c>
      <c r="T496" s="9">
        <v>43390.5144907407</v>
      </c>
    </row>
    <row r="497" spans="14:20">
      <c r="N497" s="7" t="str">
        <f>HYPERLINK("E:\附赠：Excel模板\Excel实战技巧精粹：Excel模板大全1000例\场地使用费核定表.xls","场地使用费核定表.xls")</f>
        <v>场地使用费核定表.xls</v>
      </c>
      <c r="Q497">
        <v>0.02</v>
      </c>
      <c r="R497" s="7" t="str">
        <f t="shared" si="11"/>
        <v>E:\附赠：Excel模板\Excel实战技巧精粹：Excel模板大全1000例</v>
      </c>
      <c r="S497" s="9">
        <v>43600.3821296296</v>
      </c>
      <c r="T497" s="9">
        <v>43390.5145833333</v>
      </c>
    </row>
    <row r="498" spans="14:20">
      <c r="N498" s="7" t="str">
        <f>HYPERLINK("E:\附赠：Excel模板\Excel实战技巧精粹：Excel模板大全1000例\城市基本情况统计表.xls","城市基本情况统计表.xls")</f>
        <v>城市基本情况统计表.xls</v>
      </c>
      <c r="Q498">
        <v>0.02</v>
      </c>
      <c r="R498" s="7" t="str">
        <f t="shared" si="11"/>
        <v>E:\附赠：Excel模板\Excel实战技巧精粹：Excel模板大全1000例</v>
      </c>
      <c r="S498" s="9">
        <v>43600.3821296296</v>
      </c>
      <c r="T498" s="9">
        <v>43390.5145833333</v>
      </c>
    </row>
    <row r="499" spans="14:20">
      <c r="N499" s="7" t="str">
        <f>HYPERLINK("E:\附赠：Excel模板\Excel实战技巧精粹：Excel模板大全1000例\城市居民最低生活保障统计月报表.xls","城市居民最低生活保障统计月报表.xls")</f>
        <v>城市居民最低生活保障统计月报表.xls</v>
      </c>
      <c r="Q499">
        <v>0.02</v>
      </c>
      <c r="R499" s="7" t="str">
        <f t="shared" si="11"/>
        <v>E:\附赠：Excel模板\Excel实战技巧精粹：Excel模板大全1000例</v>
      </c>
      <c r="S499" s="9">
        <v>43600.3821296296</v>
      </c>
      <c r="T499" s="9">
        <v>43390.5145833333</v>
      </c>
    </row>
    <row r="500" spans="14:20">
      <c r="N500" s="7" t="str">
        <f>HYPERLINK("E:\附赠：Excel模板\Excel实战技巧精粹：Excel模板大全1000例\城市建设统计范围及指标体系.xls","城市建设统计范围及指标体系.xls")</f>
        <v>城市建设统计范围及指标体系.xls</v>
      </c>
      <c r="Q500">
        <v>0.06</v>
      </c>
      <c r="R500" s="7" t="str">
        <f t="shared" si="11"/>
        <v>E:\附赠：Excel模板\Excel实战技巧精粹：Excel模板大全1000例</v>
      </c>
      <c r="S500" s="9">
        <v>43600.3821296296</v>
      </c>
      <c r="T500" s="9">
        <v>43390.5146064815</v>
      </c>
    </row>
    <row r="501" spans="14:20">
      <c r="N501" s="7" t="str">
        <f>HYPERLINK("E:\附赠：Excel模板\Excel实战技巧精粹：Excel模板大全1000例\城市房屋拆迁情况.xls","城市房屋拆迁情况.xls")</f>
        <v>城市房屋拆迁情况.xls</v>
      </c>
      <c r="Q501">
        <v>0.02</v>
      </c>
      <c r="R501" s="7" t="str">
        <f t="shared" si="11"/>
        <v>E:\附赠：Excel模板\Excel实战技巧精粹：Excel模板大全1000例</v>
      </c>
      <c r="S501" s="9">
        <v>43600.3821412037</v>
      </c>
      <c r="T501" s="9">
        <v>43390.5146064815</v>
      </c>
    </row>
    <row r="502" spans="14:20">
      <c r="N502" s="7" t="str">
        <f>HYPERLINK("E:\附赠：Excel模板\Excel实战技巧精粹：Excel模板大全1000例\城镇廉租住房申请登记表.xls","城镇廉租住房申请登记表.xls")</f>
        <v>城镇廉租住房申请登记表.xls</v>
      </c>
      <c r="Q502">
        <v>0.03</v>
      </c>
      <c r="R502" s="7" t="str">
        <f t="shared" si="11"/>
        <v>E:\附赠：Excel模板\Excel实战技巧精粹：Excel模板大全1000例</v>
      </c>
      <c r="S502" s="9">
        <v>43600.3821412037</v>
      </c>
      <c r="T502" s="9">
        <v>43390.5145833333</v>
      </c>
    </row>
    <row r="503" spans="14:20">
      <c r="N503" s="7" t="str">
        <f>HYPERLINK("E:\附赠：Excel模板\Excel实战技巧精粹：Excel模板大全1000例\城镇最低收入居民家庭住房保障申请表.xls","城镇最低收入居民家庭住房保障申请表.xls")</f>
        <v>城镇最低收入居民家庭住房保障申请表.xls</v>
      </c>
      <c r="Q503">
        <v>0.02</v>
      </c>
      <c r="R503" s="7" t="str">
        <f t="shared" si="11"/>
        <v>E:\附赠：Excel模板\Excel实战技巧精粹：Excel模板大全1000例</v>
      </c>
      <c r="S503" s="9">
        <v>43600.3821412037</v>
      </c>
      <c r="T503" s="9">
        <v>43390.5145833333</v>
      </c>
    </row>
    <row r="504" spans="14:20">
      <c r="N504" s="7" t="str">
        <f>HYPERLINK("E:\附赠：Excel模板\Excel实战技巧精粹：Excel模板大全1000例\城镇热力及蒸汽生产供应情况.xls","城镇热力及蒸汽生产供应情况.xls")</f>
        <v>城镇热力及蒸汽生产供应情况.xls</v>
      </c>
      <c r="Q504">
        <v>0.02</v>
      </c>
      <c r="R504" s="7" t="str">
        <f t="shared" si="11"/>
        <v>E:\附赠：Excel模板\Excel实战技巧精粹：Excel模板大全1000例</v>
      </c>
      <c r="S504" s="9">
        <v>43600.3821412037</v>
      </c>
      <c r="T504" s="9">
        <v>43390.5145833333</v>
      </c>
    </row>
    <row r="505" spans="14:20">
      <c r="N505" s="7" t="str">
        <f>HYPERLINK("E:\附赠：Excel模板\Excel实战技巧精粹：Excel模板大全1000例\城镇维护建设资金收入.xls","城镇维护建设资金收入.xls")</f>
        <v>城镇维护建设资金收入.xls</v>
      </c>
      <c r="Q505">
        <v>0.02</v>
      </c>
      <c r="R505" s="7" t="str">
        <f t="shared" si="11"/>
        <v>E:\附赠：Excel模板\Excel实战技巧精粹：Excel模板大全1000例</v>
      </c>
      <c r="S505" s="9">
        <v>43600.3821412037</v>
      </c>
      <c r="T505" s="9">
        <v>43390.5145833333</v>
      </c>
    </row>
    <row r="506" spans="14:20">
      <c r="N506" s="7" t="str">
        <f>HYPERLINK("E:\附赠：Excel模板\Excel实战技巧精粹：Excel模板大全1000例\培训计划表.xls","培训计划表.xls")</f>
        <v>培训计划表.xls</v>
      </c>
      <c r="Q506">
        <v>0.03</v>
      </c>
      <c r="R506" s="7" t="str">
        <f t="shared" si="11"/>
        <v>E:\附赠：Excel模板\Excel实战技巧精粹：Excel模板大全1000例</v>
      </c>
      <c r="S506" s="9">
        <v>43600.3821412037</v>
      </c>
      <c r="T506" s="9">
        <v>43390.5140509259</v>
      </c>
    </row>
    <row r="507" spans="14:20">
      <c r="N507" s="7" t="str">
        <f>HYPERLINK("E:\附赠：Excel模板\Excel实战技巧精粹：Excel模板大全1000例\基建预算.xls","基建预算.xls")</f>
        <v>基建预算.xls</v>
      </c>
      <c r="Q507">
        <v>0.02</v>
      </c>
      <c r="R507" s="7" t="str">
        <f t="shared" si="11"/>
        <v>E:\附赠：Excel模板\Excel实战技巧精粹：Excel模板大全1000例</v>
      </c>
      <c r="S507" s="9">
        <v>43600.3821412037</v>
      </c>
      <c r="T507" s="9">
        <v>43390.5143287037</v>
      </c>
    </row>
    <row r="508" spans="14:20">
      <c r="N508" s="7" t="str">
        <f>HYPERLINK("E:\附赠：Excel模板\Excel实战技巧精粹：Excel模板大全1000例\基本建设财务管理人员备案表.xls","基本建设财务管理人员备案表.xls")</f>
        <v>基本建设财务管理人员备案表.xls</v>
      </c>
      <c r="Q508">
        <v>0.01</v>
      </c>
      <c r="R508" s="7" t="str">
        <f t="shared" si="11"/>
        <v>E:\附赠：Excel模板\Excel实战技巧精粹：Excel模板大全1000例</v>
      </c>
      <c r="S508" s="9">
        <v>43600.3821412037</v>
      </c>
      <c r="T508" s="9">
        <v>43390.5143287037</v>
      </c>
    </row>
    <row r="509" spans="14:20">
      <c r="N509" s="7" t="str">
        <f>HYPERLINK("E:\附赠：Excel模板\Excel实战技巧精粹：Excel模板大全1000例\基本数字表.xls","基本数字表.xls")</f>
        <v>基本数字表.xls</v>
      </c>
      <c r="Q509">
        <v>0.04</v>
      </c>
      <c r="R509" s="7" t="str">
        <f t="shared" si="11"/>
        <v>E:\附赠：Excel模板\Excel实战技巧精粹：Excel模板大全1000例</v>
      </c>
      <c r="S509" s="9">
        <v>43600.3821412037</v>
      </c>
      <c r="T509" s="9">
        <v>43390.5143287037</v>
      </c>
    </row>
    <row r="510" spans="14:20">
      <c r="N510" s="7" t="str">
        <f>HYPERLINK("E:\附赠：Excel模板\Excel实战技巧精粹：Excel模板大全1000例\基础课、专业主干课教师情况统计表.xls","基础课、专业主干课教师情况统计表.xls")</f>
        <v>基础课、专业主干课教师情况统计表.xls</v>
      </c>
      <c r="Q510">
        <v>0.02</v>
      </c>
      <c r="R510" s="7" t="str">
        <f t="shared" si="11"/>
        <v>E:\附赠：Excel模板\Excel实战技巧精粹：Excel模板大全1000例</v>
      </c>
      <c r="S510" s="9">
        <v>43600.3821412037</v>
      </c>
      <c r="T510" s="9">
        <v>43390.5143287037</v>
      </c>
    </row>
    <row r="511" spans="14:20">
      <c r="N511" s="7" t="str">
        <f>HYPERLINK("E:\附赠：Excel模板\Excel实战技巧精粹：Excel模板大全1000例\境外企业基本情况表.xls","境外企业基本情况表.xls")</f>
        <v>境外企业基本情况表.xls</v>
      </c>
      <c r="Q511">
        <v>0.02</v>
      </c>
      <c r="R511" s="7" t="str">
        <f t="shared" si="11"/>
        <v>E:\附赠：Excel模板\Excel实战技巧精粹：Excel模板大全1000例</v>
      </c>
      <c r="S511" s="9">
        <v>43600.3821412037</v>
      </c>
      <c r="T511" s="9">
        <v>43390.5141898148</v>
      </c>
    </row>
    <row r="512" spans="14:20">
      <c r="N512" s="7" t="str">
        <f>HYPERLINK("E:\附赠：Excel模板\Excel实战技巧精粹：Excel模板大全1000例\境外办事机构及项目基本情况表.xls","境外办事机构及项目基本情况表.xls")</f>
        <v>境外办事机构及项目基本情况表.xls</v>
      </c>
      <c r="Q512">
        <v>0.02</v>
      </c>
      <c r="R512" s="7" t="str">
        <f t="shared" si="11"/>
        <v>E:\附赠：Excel模板\Excel实战技巧精粹：Excel模板大全1000例</v>
      </c>
      <c r="S512" s="9">
        <v>43600.3821412037</v>
      </c>
      <c r="T512" s="9">
        <v>43390.5141898148</v>
      </c>
    </row>
    <row r="513" spans="14:20">
      <c r="N513" s="7" t="str">
        <f>HYPERLINK("E:\附赠：Excel模板\Excel实战技巧精粹：Excel模板大全1000例\境外外汇借款情况表.xls","境外外汇借款情况表.xls")</f>
        <v>境外外汇借款情况表.xls</v>
      </c>
      <c r="Q513">
        <v>0.01</v>
      </c>
      <c r="R513" s="7" t="str">
        <f t="shared" si="11"/>
        <v>E:\附赠：Excel模板\Excel实战技巧精粹：Excel模板大全1000例</v>
      </c>
      <c r="S513" s="9">
        <v>43600.3821412037</v>
      </c>
      <c r="T513" s="9">
        <v>43390.5141898148</v>
      </c>
    </row>
    <row r="514" spans="14:20">
      <c r="N514" s="7" t="str">
        <f>HYPERLINK("E:\附赠：Excel模板\Excel实战技巧精粹：Excel模板大全1000例\增值税一般纳税人暂认定审批表（商贸型企业）.xls","增值税一般纳税人暂认定审批表（商贸型企业）.xls")</f>
        <v>增值税一般纳税人暂认定审批表（商贸型企业）.xls</v>
      </c>
      <c r="Q514">
        <v>0.02</v>
      </c>
      <c r="R514" s="7" t="str">
        <f t="shared" si="11"/>
        <v>E:\附赠：Excel模板\Excel实战技巧精粹：Excel模板大全1000例</v>
      </c>
      <c r="S514" s="9">
        <v>43600.3821412037</v>
      </c>
      <c r="T514" s="9">
        <v>43390.5134953704</v>
      </c>
    </row>
    <row r="515" spans="14:20">
      <c r="N515" s="7" t="str">
        <f>HYPERLINK("E:\附赠：Excel模板\Excel实战技巧精粹：Excel模板大全1000例\增设的新专业一览表.xls","增设的新专业一览表.xls")</f>
        <v>增设的新专业一览表.xls</v>
      </c>
      <c r="Q515">
        <v>0.02</v>
      </c>
      <c r="R515" s="7" t="str">
        <f t="shared" si="11"/>
        <v>E:\附赠：Excel模板\Excel实战技巧精粹：Excel模板大全1000例</v>
      </c>
      <c r="S515" s="9">
        <v>43600.3821412037</v>
      </c>
      <c r="T515" s="9">
        <v>43390.5134953704</v>
      </c>
    </row>
    <row r="516" spans="14:20">
      <c r="N516" s="7" t="str">
        <f>HYPERLINK("E:\附赠：Excel模板\Excel实战技巧精粹：Excel模板大全1000例\外商投资企业主要财务指标快报.xls","外商投资企业主要财务指标快报.xls")</f>
        <v>外商投资企业主要财务指标快报.xls</v>
      </c>
      <c r="Q516">
        <v>0.02</v>
      </c>
      <c r="R516" s="7" t="str">
        <f t="shared" si="11"/>
        <v>E:\附赠：Excel模板\Excel实战技巧精粹：Excel模板大全1000例</v>
      </c>
      <c r="S516" s="9">
        <v>43600.3821412037</v>
      </c>
      <c r="T516" s="9">
        <v>43390.5137731481</v>
      </c>
    </row>
    <row r="517" spans="14:20">
      <c r="N517" s="7" t="str">
        <f>HYPERLINK("E:\附赠：Excel模板\Excel实战技巧精粹：Excel模板大全1000例\外商投资企业年检申报基本情况表.xls","外商投资企业年检申报基本情况表.xls")</f>
        <v>外商投资企业年检申报基本情况表.xls</v>
      </c>
      <c r="Q517">
        <v>0.02</v>
      </c>
      <c r="R517" s="7" t="str">
        <f t="shared" si="11"/>
        <v>E:\附赠：Excel模板\Excel实战技巧精粹：Excel模板大全1000例</v>
      </c>
      <c r="S517" s="9">
        <v>43600.3821412037</v>
      </c>
      <c r="T517" s="9">
        <v>43390.5137731481</v>
      </c>
    </row>
    <row r="518" spans="14:20">
      <c r="N518" s="7" t="str">
        <f>HYPERLINK("E:\附赠：Excel模板\Excel实战技巧精粹：Excel模板大全1000例\外商投资企业财政登记变动表.xls","外商投资企业财政登记变动表.xls")</f>
        <v>外商投资企业财政登记变动表.xls</v>
      </c>
      <c r="Q518">
        <v>0.02</v>
      </c>
      <c r="R518" s="7" t="str">
        <f t="shared" si="11"/>
        <v>E:\附赠：Excel模板\Excel实战技巧精粹：Excel模板大全1000例</v>
      </c>
      <c r="S518" s="9">
        <v>43600.3821412037</v>
      </c>
      <c r="T518" s="9">
        <v>43390.5137731481</v>
      </c>
    </row>
    <row r="519" spans="14:20">
      <c r="N519" s="7" t="str">
        <f>HYPERLINK("E:\附赠：Excel模板\Excel实战技巧精粹：Excel模板大全1000例\外商投资企业财政登记表1.xls","外商投资企业财政登记表1.xls")</f>
        <v>外商投资企业财政登记表1.xls</v>
      </c>
      <c r="Q519">
        <v>0.02</v>
      </c>
      <c r="R519" s="7" t="str">
        <f t="shared" si="11"/>
        <v>E:\附赠：Excel模板\Excel实战技巧精粹：Excel模板大全1000例</v>
      </c>
      <c r="S519" s="9">
        <v>43600.3821412037</v>
      </c>
      <c r="T519" s="9">
        <v>43390.5137731481</v>
      </c>
    </row>
    <row r="520" spans="14:20">
      <c r="N520" s="7" t="str">
        <f>HYPERLINK("E:\附赠：Excel模板\Excel实战技巧精粹：Excel模板大全1000例\外商投资企业财政登记表2.xls","外商投资企业财政登记表2.xls")</f>
        <v>外商投资企业财政登记表2.xls</v>
      </c>
      <c r="Q520">
        <v>0.02</v>
      </c>
      <c r="R520" s="7" t="str">
        <f t="shared" si="11"/>
        <v>E:\附赠：Excel模板\Excel实战技巧精粹：Excel模板大全1000例</v>
      </c>
      <c r="S520" s="9">
        <v>43600.3821412037</v>
      </c>
      <c r="T520" s="9">
        <v>43390.5137962963</v>
      </c>
    </row>
    <row r="521" spans="14:20">
      <c r="N521" s="7" t="str">
        <f>HYPERLINK("E:\附赠：Excel模板\Excel实战技巧精粹：Excel模板大全1000例\外币贷款明细表.xls","外币贷款明细表.xls")</f>
        <v>外币贷款明细表.xls</v>
      </c>
      <c r="Q521">
        <v>0.02</v>
      </c>
      <c r="R521" s="7" t="str">
        <f t="shared" si="11"/>
        <v>E:\附赠：Excel模板\Excel实战技巧精粹：Excel模板大全1000例</v>
      </c>
      <c r="S521" s="9">
        <v>43600.3821412037</v>
      </c>
      <c r="T521" s="9">
        <v>43390.5137731481</v>
      </c>
    </row>
    <row r="522" spans="14:20">
      <c r="N522" s="7" t="str">
        <f>HYPERLINK("E:\附赠：Excel模板\Excel实战技巧精粹：Excel模板大全1000例\外汇收支情况表.xls","外汇收支情况表.xls")</f>
        <v>外汇收支情况表.xls</v>
      </c>
      <c r="Q522">
        <v>0.03</v>
      </c>
      <c r="R522" s="7" t="str">
        <f t="shared" si="11"/>
        <v>E:\附赠：Excel模板\Excel实战技巧精粹：Excel模板大全1000例</v>
      </c>
      <c r="S522" s="9">
        <v>43600.3821412037</v>
      </c>
      <c r="T522" s="9">
        <v>43390.5137731481</v>
      </c>
    </row>
    <row r="523" spans="14:20">
      <c r="N523" s="7" t="str">
        <f>HYPERLINK("E:\附赠：Excel模板\Excel实战技巧精粹：Excel模板大全1000例\多媒体课件统计表.xls","多媒体课件统计表.xls")</f>
        <v>多媒体课件统计表.xls</v>
      </c>
      <c r="Q523">
        <v>0.02</v>
      </c>
      <c r="R523" s="7" t="str">
        <f t="shared" si="11"/>
        <v>E:\附赠：Excel模板\Excel实战技巧精粹：Excel模板大全1000例</v>
      </c>
      <c r="S523" s="9">
        <v>43600.3821412037</v>
      </c>
      <c r="T523" s="9">
        <v>43390.5144675926</v>
      </c>
    </row>
    <row r="524" spans="14:20">
      <c r="N524" s="7" t="str">
        <f>HYPERLINK("E:\附赠：Excel模板\Excel实战技巧精粹：Excel模板大全1000例\大型水库库区扶贫新建项目表.xls","大型水库库区扶贫新建项目表.xls")</f>
        <v>大型水库库区扶贫新建项目表.xls</v>
      </c>
      <c r="Q524">
        <v>0.02</v>
      </c>
      <c r="R524" s="7" t="str">
        <f t="shared" si="11"/>
        <v>E:\附赠：Excel模板\Excel实战技巧精粹：Excel模板大全1000例</v>
      </c>
      <c r="S524" s="9">
        <v>43600.3821412037</v>
      </c>
      <c r="T524" s="9">
        <v>43390.5145601852</v>
      </c>
    </row>
    <row r="525" spans="14:20">
      <c r="N525" s="7" t="str">
        <f>HYPERLINK("E:\附赠：Excel模板\Excel实战技巧精粹：Excel模板大全1000例\大学“开放教学试点”旅游管理专业（专科）教学计划进度表.xls","大学“开放教学试点”旅游管理专业（专科）教学计划进度表.xls")</f>
        <v>大学“开放教学试点”旅游管理专业（专科）教学计划进度表.xls</v>
      </c>
      <c r="Q525">
        <v>0.03</v>
      </c>
      <c r="R525" s="7" t="str">
        <f t="shared" si="11"/>
        <v>E:\附赠：Excel模板\Excel实战技巧精粹：Excel模板大全1000例</v>
      </c>
      <c r="S525" s="9">
        <v>43600.3821412037</v>
      </c>
      <c r="T525" s="9">
        <v>43390.514537037</v>
      </c>
    </row>
    <row r="526" spans="14:20">
      <c r="N526" s="7" t="str">
        <f>HYPERLINK("E:\附赠：Excel模板\Excel实战技巧精粹：Excel模板大全1000例\大学优秀学生申请校内专业调整拟录取名单公示.xls","大学优秀学生申请校内专业调整拟录取名单公示.xls")</f>
        <v>大学优秀学生申请校内专业调整拟录取名单公示.xls</v>
      </c>
      <c r="Q526">
        <v>0.02</v>
      </c>
      <c r="R526" s="7" t="str">
        <f t="shared" si="11"/>
        <v>E:\附赠：Excel模板\Excel实战技巧精粹：Excel模板大全1000例</v>
      </c>
      <c r="S526" s="9">
        <v>43600.3821412037</v>
      </c>
      <c r="T526" s="9">
        <v>43390.5145138889</v>
      </c>
    </row>
    <row r="527" spans="14:20">
      <c r="N527" s="7" t="str">
        <f>HYPERLINK("E:\附赠：Excel模板\Excel实战技巧精粹：Excel模板大全1000例\大学分解校发汇总表.xls","大学分解校发汇总表.xls")</f>
        <v>大学分解校发汇总表.xls</v>
      </c>
      <c r="Q527">
        <v>0.1</v>
      </c>
      <c r="R527" s="7" t="str">
        <f t="shared" si="11"/>
        <v>E:\附赠：Excel模板\Excel实战技巧精粹：Excel模板大全1000例</v>
      </c>
      <c r="S527" s="9">
        <v>43600.3821412037</v>
      </c>
      <c r="T527" s="9">
        <v>43390.514537037</v>
      </c>
    </row>
    <row r="528" spans="14:20">
      <c r="N528" s="7" t="str">
        <f>HYPERLINK("E:\附赠：Excel模板\Excel实战技巧精粹：Excel模板大全1000例\大学学期教学进程计划.xls","大学学期教学进程计划.xls")</f>
        <v>大学学期教学进程计划.xls</v>
      </c>
      <c r="Q528">
        <v>0.03</v>
      </c>
      <c r="R528" s="7" t="str">
        <f t="shared" si="11"/>
        <v>E:\附赠：Excel模板\Excel实战技巧精粹：Excel模板大全1000例</v>
      </c>
      <c r="S528" s="9">
        <v>43600.3821412037</v>
      </c>
      <c r="T528" s="9">
        <v>43390.5145138889</v>
      </c>
    </row>
    <row r="529" spans="14:20">
      <c r="N529" s="7" t="str">
        <f>HYPERLINK("E:\附赠：Excel模板\Excel实战技巧精粹：Excel模板大全1000例\大学学院承担主要研究项目一览.xls","大学学院承担主要研究项目一览.xls")</f>
        <v>大学学院承担主要研究项目一览.xls</v>
      </c>
      <c r="Q529">
        <v>0.02</v>
      </c>
      <c r="R529" s="7" t="str">
        <f t="shared" si="11"/>
        <v>E:\附赠：Excel模板\Excel实战技巧精粹：Excel模板大全1000例</v>
      </c>
      <c r="S529" s="9">
        <v>43600.3821412037</v>
      </c>
      <c r="T529" s="9">
        <v>43390.5145138889</v>
      </c>
    </row>
    <row r="530" spans="14:20">
      <c r="N530" s="7" t="str">
        <f>HYPERLINK("E:\附赠：Excel模板\Excel实战技巧精粹：Excel模板大全1000例\大学学院科研项目.xls","大学学院科研项目.xls")</f>
        <v>大学学院科研项目.xls</v>
      </c>
      <c r="Q530">
        <v>0.02</v>
      </c>
      <c r="R530" s="7" t="str">
        <f t="shared" si="11"/>
        <v>E:\附赠：Excel模板\Excel实战技巧精粹：Excel模板大全1000例</v>
      </c>
      <c r="S530" s="9">
        <v>43600.3821412037</v>
      </c>
      <c r="T530" s="9">
        <v>43390.5145138889</v>
      </c>
    </row>
    <row r="531" spans="14:20">
      <c r="N531" s="7" t="str">
        <f>HYPERLINK("E:\附赠：Excel模板\Excel实战技巧精粹：Excel模板大全1000例\大学年度期末考试时间表.xls","大学年度期末考试时间表.xls")</f>
        <v>大学年度期末考试时间表.xls</v>
      </c>
      <c r="Q531">
        <v>0.04</v>
      </c>
      <c r="R531" s="7" t="str">
        <f t="shared" si="11"/>
        <v>E:\附赠：Excel模板\Excel实战技巧精粹：Excel模板大全1000例</v>
      </c>
      <c r="S531" s="9">
        <v>43600.3821412037</v>
      </c>
      <c r="T531" s="9">
        <v>43390.514537037</v>
      </c>
    </row>
    <row r="532" spans="14:20">
      <c r="N532" s="7" t="str">
        <f>HYPERLINK("E:\附赠：Excel模板\Excel实战技巧精粹：Excel模板大全1000例\大学年度課程規劃表.xls","大学年度課程規劃表.xls")</f>
        <v>大学年度課程規劃表.xls</v>
      </c>
      <c r="Q532">
        <v>0.03</v>
      </c>
      <c r="R532" s="7" t="str">
        <f t="shared" si="11"/>
        <v>E:\附赠：Excel模板\Excel实战技巧精粹：Excel模板大全1000例</v>
      </c>
      <c r="S532" s="9">
        <v>43600.3821412037</v>
      </c>
      <c r="T532" s="9">
        <v>43390.514537037</v>
      </c>
    </row>
    <row r="533" spans="14:20">
      <c r="N533" s="7" t="str">
        <f>HYPERLINK("E:\附赠：Excel模板\Excel实战技巧精粹：Excel模板大全1000例\大学年度财务收支简要表.xls","大学年度财务收支简要表.xls")</f>
        <v>大学年度财务收支简要表.xls</v>
      </c>
      <c r="Q533">
        <v>0.03</v>
      </c>
      <c r="R533" s="7" t="str">
        <f t="shared" si="11"/>
        <v>E:\附赠：Excel模板\Excel实战技巧精粹：Excel模板大全1000例</v>
      </c>
      <c r="S533" s="9">
        <v>43600.3821412037</v>
      </c>
      <c r="T533" s="9">
        <v>43390.514537037</v>
      </c>
    </row>
    <row r="534" spans="14:20">
      <c r="N534" s="7" t="str">
        <f>HYPERLINK("E:\附赠：Excel模板\Excel实战技巧精粹：Excel模板大全1000例\大学教育教材使用计划.xls","大学教育教材使用计划.xls")</f>
        <v>大学教育教材使用计划.xls</v>
      </c>
      <c r="Q534">
        <v>0.05</v>
      </c>
      <c r="R534" s="7" t="str">
        <f t="shared" si="11"/>
        <v>E:\附赠：Excel模板\Excel实战技巧精粹：Excel模板大全1000例</v>
      </c>
      <c r="S534" s="9">
        <v>43600.3821412037</v>
      </c>
      <c r="T534" s="9">
        <v>43390.514537037</v>
      </c>
    </row>
    <row r="535" spans="14:20">
      <c r="N535" s="7" t="str">
        <f>HYPERLINK("E:\附赠：Excel模板\Excel实战技巧精粹：Excel模板大全1000例\大学普通高等学校专接本招生计划及参考教材.xls","大学普通高等学校专接本招生计划及参考教材.xls")</f>
        <v>大学普通高等学校专接本招生计划及参考教材.xls</v>
      </c>
      <c r="Q535">
        <v>0.05</v>
      </c>
      <c r="R535" s="7" t="str">
        <f t="shared" ref="R535:R598" si="12">HYPERLINK("E:\附赠：Excel模板\Excel实战技巧精粹：Excel模板大全1000例","E:\附赠：Excel模板\Excel实战技巧精粹：Excel模板大全1000例")</f>
        <v>E:\附赠：Excel模板\Excel实战技巧精粹：Excel模板大全1000例</v>
      </c>
      <c r="S535" s="9">
        <v>43600.3821412037</v>
      </c>
      <c r="T535" s="9">
        <v>43390.514537037</v>
      </c>
    </row>
    <row r="536" spans="14:20">
      <c r="N536" s="7" t="str">
        <f>HYPERLINK("E:\附赠：Excel模板\Excel实战技巧精粹：Excel模板大全1000例\大学校部机关处室学生勤工助学酬金公示.xls","大学校部机关处室学生勤工助学酬金公示.xls")</f>
        <v>大学校部机关处室学生勤工助学酬金公示.xls</v>
      </c>
      <c r="Q536">
        <v>0.02</v>
      </c>
      <c r="R536" s="7" t="str">
        <f t="shared" si="12"/>
        <v>E:\附赠：Excel模板\Excel实战技巧精粹：Excel模板大全1000例</v>
      </c>
      <c r="S536" s="9">
        <v>43600.3821412037</v>
      </c>
      <c r="T536" s="9">
        <v>43390.514537037</v>
      </c>
    </row>
    <row r="537" spans="14:20">
      <c r="N537" s="7" t="str">
        <f>HYPERLINK("E:\附赠：Excel模板\Excel实战技巧精粹：Excel模板大全1000例\大学生“三下乡”社会实践活动情况统计.xls","大学生“三下乡”社会实践活动情况统计.xls")</f>
        <v>大学生“三下乡”社会实践活动情况统计.xls</v>
      </c>
      <c r="Q537">
        <v>0.02</v>
      </c>
      <c r="R537" s="7" t="str">
        <f t="shared" si="12"/>
        <v>E:\附赠：Excel模板\Excel实战技巧精粹：Excel模板大全1000例</v>
      </c>
      <c r="S537" s="9">
        <v>43600.3821412037</v>
      </c>
      <c r="T537" s="9">
        <v>43390.5145138889</v>
      </c>
    </row>
    <row r="538" spans="14:20">
      <c r="N538" s="7" t="str">
        <f>HYPERLINK("E:\附赠：Excel模板\Excel实战技巧精粹：Excel模板大全1000例\大学社团建设标准表.xls","大学社团建设标准表.xls")</f>
        <v>大学社团建设标准表.xls</v>
      </c>
      <c r="Q538">
        <v>0.03</v>
      </c>
      <c r="R538" s="7" t="str">
        <f t="shared" si="12"/>
        <v>E:\附赠：Excel模板\Excel实战技巧精粹：Excel模板大全1000例</v>
      </c>
      <c r="S538" s="9">
        <v>43600.3821412037</v>
      </c>
      <c r="T538" s="9">
        <v>43390.514537037</v>
      </c>
    </row>
    <row r="539" spans="14:20">
      <c r="N539" s="7" t="str">
        <f>HYPERLINK("E:\附赠：Excel模板\Excel实战技巧精粹：Excel模板大全1000例\大学社联财务报表.xls","大学社联财务报表.xls")</f>
        <v>大学社联财务报表.xls</v>
      </c>
      <c r="Q539">
        <v>0.03</v>
      </c>
      <c r="R539" s="7" t="str">
        <f t="shared" si="12"/>
        <v>E:\附赠：Excel模板\Excel实战技巧精粹：Excel模板大全1000例</v>
      </c>
      <c r="S539" s="9">
        <v>43600.3821412037</v>
      </c>
      <c r="T539" s="9">
        <v>43390.514537037</v>
      </c>
    </row>
    <row r="540" spans="14:20">
      <c r="N540" s="7" t="str">
        <f>HYPERLINK("E:\附赠：Excel模板\Excel实战技巧精粹：Excel模板大全1000例\大学管理学科工商管理类教学计划.xls","大学管理学科工商管理类教学计划.xls")</f>
        <v>大学管理学科工商管理类教学计划.xls</v>
      </c>
      <c r="Q540">
        <v>0.02</v>
      </c>
      <c r="R540" s="7" t="str">
        <f t="shared" si="12"/>
        <v>E:\附赠：Excel模板\Excel实战技巧精粹：Excel模板大全1000例</v>
      </c>
      <c r="S540" s="9">
        <v>43600.3821412037</v>
      </c>
      <c r="T540" s="9">
        <v>43390.514537037</v>
      </c>
    </row>
    <row r="541" spans="14:20">
      <c r="N541" s="7" t="str">
        <f>HYPERLINK("E:\附赠：Excel模板\Excel实战技巧精粹：Excel模板大全1000例\大学考前辅导表.xls","大学考前辅导表.xls")</f>
        <v>大学考前辅导表.xls</v>
      </c>
      <c r="Q541">
        <v>0.01</v>
      </c>
      <c r="R541" s="7" t="str">
        <f t="shared" si="12"/>
        <v>E:\附赠：Excel模板\Excel实战技巧精粹：Excel模板大全1000例</v>
      </c>
      <c r="S541" s="9">
        <v>43600.3821412037</v>
      </c>
      <c r="T541" s="9">
        <v>43390.514537037</v>
      </c>
    </row>
    <row r="542" spans="14:20">
      <c r="N542" s="7" t="str">
        <f>HYPERLINK("E:\附赠：Excel模板\Excel实战技巧精粹：Excel模板大全1000例\大学考试成绩报告表.xls","大学考试成绩报告表.xls")</f>
        <v>大学考试成绩报告表.xls</v>
      </c>
      <c r="Q542">
        <v>0.03</v>
      </c>
      <c r="R542" s="7" t="str">
        <f t="shared" si="12"/>
        <v>E:\附赠：Excel模板\Excel实战技巧精粹：Excel模板大全1000例</v>
      </c>
      <c r="S542" s="9">
        <v>43600.3821412037</v>
      </c>
      <c r="T542" s="9">
        <v>43390.514537037</v>
      </c>
    </row>
    <row r="543" spans="14:20">
      <c r="N543" s="7" t="str">
        <f>HYPERLINK("E:\附赠：Excel模板\Excel实战技巧精粹：Excel模板大全1000例\大学考试表.xls","大学考试表.xls")</f>
        <v>大学考试表.xls</v>
      </c>
      <c r="Q543">
        <v>0.01</v>
      </c>
      <c r="R543" s="7" t="str">
        <f t="shared" si="12"/>
        <v>E:\附赠：Excel模板\Excel实战技巧精粹：Excel模板大全1000例</v>
      </c>
      <c r="S543" s="9">
        <v>43600.3821412037</v>
      </c>
      <c r="T543" s="9">
        <v>43390.514537037</v>
      </c>
    </row>
    <row r="544" spans="14:20">
      <c r="N544" s="7" t="str">
        <f>HYPERLINK("E:\附赠：Excel模板\Excel实战技巧精粹：Excel模板大全1000例\大学计划财务处考勤情况表.xls","大学计划财务处考勤情况表.xls")</f>
        <v>大学计划财务处考勤情况表.xls</v>
      </c>
      <c r="Q544">
        <v>0.04</v>
      </c>
      <c r="R544" s="7" t="str">
        <f t="shared" si="12"/>
        <v>E:\附赠：Excel模板\Excel实战技巧精粹：Excel模板大全1000例</v>
      </c>
      <c r="S544" s="9">
        <v>43600.3821412037</v>
      </c>
      <c r="T544" s="9">
        <v>43390.514537037</v>
      </c>
    </row>
    <row r="545" spans="14:20">
      <c r="N545" s="7" t="str">
        <f>HYPERLINK("E:\附赠：Excel模板\Excel实战技巧精粹：Excel模板大全1000例\大学设备请购报告.xls","大学设备请购报告.xls")</f>
        <v>大学设备请购报告.xls</v>
      </c>
      <c r="Q545">
        <v>0.02</v>
      </c>
      <c r="R545" s="7" t="str">
        <f t="shared" si="12"/>
        <v>E:\附赠：Excel模板\Excel实战技巧精粹：Excel模板大全1000例</v>
      </c>
      <c r="S545" s="9">
        <v>43600.3821412037</v>
      </c>
      <c r="T545" s="9">
        <v>43390.514537037</v>
      </c>
    </row>
    <row r="546" spans="14:20">
      <c r="N546" s="7" t="str">
        <f>HYPERLINK("E:\附赠：Excel模板\Excel实战技巧精粹：Excel模板大全1000例\大学财务收支表.xls","大学财务收支表.xls")</f>
        <v>大学财务收支表.xls</v>
      </c>
      <c r="Q546">
        <v>0.02</v>
      </c>
      <c r="R546" s="7" t="str">
        <f t="shared" si="12"/>
        <v>E:\附赠：Excel模板\Excel实战技巧精粹：Excel模板大全1000例</v>
      </c>
      <c r="S546" s="9">
        <v>43600.3821412037</v>
      </c>
      <c r="T546" s="9">
        <v>43390.5145601852</v>
      </c>
    </row>
    <row r="547" spans="14:20">
      <c r="N547" s="7" t="str">
        <f>HYPERLINK("E:\附赠：Excel模板\Excel实战技巧精粹：Excel模板大全1000例\大学院系资金财物表.xls","大学院系资金财物表.xls")</f>
        <v>大学院系资金财物表.xls</v>
      </c>
      <c r="Q547">
        <v>0.02</v>
      </c>
      <c r="R547" s="7" t="str">
        <f t="shared" si="12"/>
        <v>E:\附赠：Excel模板\Excel实战技巧精粹：Excel模板大全1000例</v>
      </c>
      <c r="S547" s="9">
        <v>43600.3821412037</v>
      </c>
      <c r="T547" s="9">
        <v>43390.5145138889</v>
      </c>
    </row>
    <row r="548" spans="14:20">
      <c r="N548" s="7" t="str">
        <f>HYPERLINK("E:\附赠：Excel模板\Excel实战技巧精粹：Excel模板大全1000例\大学项目预(结)算单.xls","大学项目预(结)算单.xls")</f>
        <v>大学项目预(结)算单.xls</v>
      </c>
      <c r="Q548">
        <v>0.02</v>
      </c>
      <c r="R548" s="7" t="str">
        <f t="shared" si="12"/>
        <v>E:\附赠：Excel模板\Excel实战技巧精粹：Excel模板大全1000例</v>
      </c>
      <c r="S548" s="9">
        <v>43600.3821412037</v>
      </c>
      <c r="T548" s="9">
        <v>43390.5145138889</v>
      </c>
    </row>
    <row r="549" spans="14:20">
      <c r="N549" s="7" t="str">
        <f>HYPERLINK("E:\附赠：Excel模板\Excel实战技巧精粹：Excel模板大全1000例\大學學度招生考試筆試試場分配表.xls","大學學度招生考試筆試試場分配表.xls")</f>
        <v>大學學度招生考試筆試試場分配表.xls</v>
      </c>
      <c r="Q549">
        <v>0.03</v>
      </c>
      <c r="R549" s="7" t="str">
        <f t="shared" si="12"/>
        <v>E:\附赠：Excel模板\Excel实战技巧精粹：Excel模板大全1000例</v>
      </c>
      <c r="S549" s="9">
        <v>43600.3821412037</v>
      </c>
      <c r="T549" s="9">
        <v>43390.5145601852</v>
      </c>
    </row>
    <row r="550" spans="14:20">
      <c r="N550" s="7" t="str">
        <f>HYPERLINK("E:\附赠：Excel模板\Excel实战技巧精粹：Excel模板大全1000例\大學學會财务表.xls","大學學會财务表.xls")</f>
        <v>大學學會财务表.xls</v>
      </c>
      <c r="Q550">
        <v>0.02</v>
      </c>
      <c r="R550" s="7" t="str">
        <f t="shared" si="12"/>
        <v>E:\附赠：Excel模板\Excel实战技巧精粹：Excel模板大全1000例</v>
      </c>
      <c r="S550" s="9">
        <v>43600.3821412037</v>
      </c>
      <c r="T550" s="9">
        <v>43390.5145601852</v>
      </c>
    </row>
    <row r="551" spans="14:20">
      <c r="N551" s="7" t="str">
        <f>HYPERLINK("E:\附赠：Excel模板\Excel实战技巧精粹：Excel模板大全1000例\大學財務收支簡要說明.xls","大學財務收支簡要說明.xls")</f>
        <v>大學財務收支簡要說明.xls</v>
      </c>
      <c r="Q551">
        <v>0.02</v>
      </c>
      <c r="R551" s="7" t="str">
        <f t="shared" si="12"/>
        <v>E:\附赠：Excel模板\Excel实战技巧精粹：Excel模板大全1000例</v>
      </c>
      <c r="S551" s="9">
        <v>43600.3821412037</v>
      </c>
      <c r="T551" s="9">
        <v>43390.5145601852</v>
      </c>
    </row>
    <row r="552" spans="14:20">
      <c r="N552" s="7" t="str">
        <f>HYPERLINK("E:\附赠：Excel模板\Excel实战技巧精粹：Excel模板大全1000例\夫妻再生育申请审批表.xls","夫妻再生育申请审批表.xls")</f>
        <v>夫妻再生育申请审批表.xls</v>
      </c>
      <c r="Q552">
        <v>0.04</v>
      </c>
      <c r="R552" s="7" t="str">
        <f t="shared" si="12"/>
        <v>E:\附赠：Excel模板\Excel实战技巧精粹：Excel模板大全1000例</v>
      </c>
      <c r="S552" s="9">
        <v>43600.3821412037</v>
      </c>
      <c r="T552" s="9">
        <v>43390.5144444444</v>
      </c>
    </row>
    <row r="553" spans="14:20">
      <c r="N553" s="7" t="str">
        <f>HYPERLINK("E:\附赠：Excel模板\Excel实战技巧精粹：Excel模板大全1000例\契税减免申报表.xls","契税减免申报表.xls")</f>
        <v>契税减免申报表.xls</v>
      </c>
      <c r="Q553">
        <v>0.02</v>
      </c>
      <c r="R553" s="7" t="str">
        <f t="shared" si="12"/>
        <v>E:\附赠：Excel模板\Excel实战技巧精粹：Excel模板大全1000例</v>
      </c>
      <c r="S553" s="9">
        <v>43600.3821412037</v>
      </c>
      <c r="T553" s="9">
        <v>43390.5140046296</v>
      </c>
    </row>
    <row r="554" spans="14:20">
      <c r="N554" s="7" t="str">
        <f>HYPERLINK("E:\附赠：Excel模板\Excel实战技巧精粹：Excel模板大全1000例\奖励有突出贡献人才资金资助申请书.xls","奖励有突出贡献人才资金资助申请书.xls")</f>
        <v>奖励有突出贡献人才资金资助申请书.xls</v>
      </c>
      <c r="Q554">
        <v>0.03</v>
      </c>
      <c r="R554" s="7" t="str">
        <f t="shared" si="12"/>
        <v>E:\附赠：Excel模板\Excel实战技巧精粹：Excel模板大全1000例</v>
      </c>
      <c r="S554" s="9">
        <v>43600.3821412037</v>
      </c>
      <c r="T554" s="9">
        <v>43390.5142592593</v>
      </c>
    </row>
    <row r="555" spans="14:20">
      <c r="N555" s="7" t="str">
        <f>HYPERLINK("E:\附赠：Excel模板\Excel实战技巧精粹：Excel模板大全1000例\委托贷款明细表.xls","委托贷款明细表.xls")</f>
        <v>委托贷款明细表.xls</v>
      </c>
      <c r="Q555">
        <v>0.02</v>
      </c>
      <c r="R555" s="7" t="str">
        <f t="shared" si="12"/>
        <v>E:\附赠：Excel模板\Excel实战技巧精粹：Excel模板大全1000例</v>
      </c>
      <c r="S555" s="9">
        <v>43600.3821412037</v>
      </c>
      <c r="T555" s="9">
        <v>43390.5137731481</v>
      </c>
    </row>
    <row r="556" spans="14:20">
      <c r="N556" s="7" t="str">
        <f>HYPERLINK("E:\附赠：Excel模板\Excel实战技巧精粹：Excel模板大全1000例\娱乐经营情况明细表.xls","娱乐经营情况明细表.xls")</f>
        <v>娱乐经营情况明细表.xls</v>
      </c>
      <c r="Q556">
        <v>0.02</v>
      </c>
      <c r="R556" s="7" t="str">
        <f t="shared" si="12"/>
        <v>E:\附赠：Excel模板\Excel实战技巧精粹：Excel模板大全1000例</v>
      </c>
      <c r="S556" s="9">
        <v>43600.3821412037</v>
      </c>
      <c r="T556" s="9">
        <v>43390.5135185185</v>
      </c>
    </row>
    <row r="557" spans="14:20">
      <c r="N557" s="7" t="str">
        <f>HYPERLINK("E:\附赠：Excel模板\Excel实战技巧精粹：Excel模板大全1000例\学年开放教育（本科）考试科目.xls","学年开放教育（本科）考试科目.xls")</f>
        <v>学年开放教育（本科）考试科目.xls</v>
      </c>
      <c r="Q557">
        <v>0.03</v>
      </c>
      <c r="R557" s="7" t="str">
        <f t="shared" si="12"/>
        <v>E:\附赠：Excel模板\Excel实战技巧精粹：Excel模板大全1000例</v>
      </c>
      <c r="S557" s="9">
        <v>43600.3821412037</v>
      </c>
      <c r="T557" s="9">
        <v>43390.5136574074</v>
      </c>
    </row>
    <row r="558" spans="14:20">
      <c r="N558" s="7" t="str">
        <f>HYPERLINK("E:\附赠：Excel模板\Excel实战技巧精粹：Excel模板大全1000例\学校债权债务年终明细表.xls","学校债权债务年终明细表.xls")</f>
        <v>学校债权债务年终明细表.xls</v>
      </c>
      <c r="Q558">
        <v>0.01</v>
      </c>
      <c r="R558" s="7" t="str">
        <f t="shared" si="12"/>
        <v>E:\附赠：Excel模板\Excel实战技巧精粹：Excel模板大全1000例</v>
      </c>
      <c r="S558" s="9">
        <v>43600.3821412037</v>
      </c>
      <c r="T558" s="9">
        <v>43390.513587963</v>
      </c>
    </row>
    <row r="559" spans="14:20">
      <c r="N559" s="7" t="str">
        <f>HYPERLINK("E:\附赠：Excel模板\Excel实战技巧精粹：Excel模板大全1000例\学校各部门专项经费使用范围.xls","学校各部门专项经费使用范围.xls")</f>
        <v>学校各部门专项经费使用范围.xls</v>
      </c>
      <c r="Q559">
        <v>0.07</v>
      </c>
      <c r="R559" s="7" t="str">
        <f t="shared" si="12"/>
        <v>E:\附赠：Excel模板\Excel实战技巧精粹：Excel模板大全1000例</v>
      </c>
      <c r="S559" s="9">
        <v>43600.3821412037</v>
      </c>
      <c r="T559" s="9">
        <v>43390.5136111111</v>
      </c>
    </row>
    <row r="560" spans="14:20">
      <c r="N560" s="7" t="str">
        <f>HYPERLINK("E:\附赠：Excel模板\Excel实战技巧精粹：Excel模板大全1000例\学校学生“课本费、作业本费”收支明细表.xls","学校学生“课本费、作业本费”收支明细表.xls")</f>
        <v>学校学生“课本费、作业本费”收支明细表.xls</v>
      </c>
      <c r="Q560">
        <v>0.01</v>
      </c>
      <c r="R560" s="7" t="str">
        <f t="shared" si="12"/>
        <v>E:\附赠：Excel模板\Excel实战技巧精粹：Excel模板大全1000例</v>
      </c>
      <c r="S560" s="9">
        <v>43600.3821412037</v>
      </c>
      <c r="T560" s="9">
        <v>43390.513587963</v>
      </c>
    </row>
    <row r="561" spans="14:20">
      <c r="N561" s="7" t="str">
        <f>HYPERLINK("E:\附赠：Excel模板\Excel实战技巧精粹：Excel模板大全1000例\学校家庭贫困学生情况调查表.xls","学校家庭贫困学生情况调查表.xls")</f>
        <v>学校家庭贫困学生情况调查表.xls</v>
      </c>
      <c r="Q561">
        <v>0.05</v>
      </c>
      <c r="R561" s="7" t="str">
        <f t="shared" si="12"/>
        <v>E:\附赠：Excel模板\Excel实战技巧精粹：Excel模板大全1000例</v>
      </c>
      <c r="S561" s="9">
        <v>43600.3821412037</v>
      </c>
      <c r="T561" s="9">
        <v>43390.5136111111</v>
      </c>
    </row>
    <row r="562" spans="14:20">
      <c r="N562" s="7" t="str">
        <f>HYPERLINK("E:\附赠：Excel模板\Excel实战技巧精粹：Excel模板大全1000例\学校寄托班学生“临管费”收支明细表.xls","学校寄托班学生“临管费”收支明细表.xls")</f>
        <v>学校寄托班学生“临管费”收支明细表.xls</v>
      </c>
      <c r="Q562">
        <v>0.01</v>
      </c>
      <c r="R562" s="7" t="str">
        <f t="shared" si="12"/>
        <v>E:\附赠：Excel模板\Excel实战技巧精粹：Excel模板大全1000例</v>
      </c>
      <c r="S562" s="9">
        <v>43600.3821412037</v>
      </c>
      <c r="T562" s="9">
        <v>43390.5136111111</v>
      </c>
    </row>
    <row r="563" spans="14:20">
      <c r="N563" s="7" t="str">
        <f>HYPERLINK("E:\附赠：Excel模板\Excel实战技巧精粹：Excel模板大全1000例\学校年终负债余额情况表.xls","学校年终负债余额情况表.xls")</f>
        <v>学校年终负债余额情况表.xls</v>
      </c>
      <c r="Q563">
        <v>0.02</v>
      </c>
      <c r="R563" s="7" t="str">
        <f t="shared" si="12"/>
        <v>E:\附赠：Excel模板\Excel实战技巧精粹：Excel模板大全1000例</v>
      </c>
      <c r="S563" s="9">
        <v>43600.3821412037</v>
      </c>
      <c r="T563" s="9">
        <v>43390.5136111111</v>
      </c>
    </row>
    <row r="564" spans="14:20">
      <c r="N564" s="7" t="str">
        <f>HYPERLINK("E:\附赠：Excel模板\Excel实战技巧精粹：Excel模板大全1000例\学校建设工程项目概况.xls","学校建设工程项目概况.xls")</f>
        <v>学校建设工程项目概况.xls</v>
      </c>
      <c r="Q564">
        <v>0.03</v>
      </c>
      <c r="R564" s="7" t="str">
        <f t="shared" si="12"/>
        <v>E:\附赠：Excel模板\Excel实战技巧精粹：Excel模板大全1000例</v>
      </c>
      <c r="S564" s="9">
        <v>43600.3821412037</v>
      </c>
      <c r="T564" s="9">
        <v>43390.5136111111</v>
      </c>
    </row>
    <row r="565" spans="14:20">
      <c r="N565" s="7" t="str">
        <f>HYPERLINK("E:\附赠：Excel模板\Excel实战技巧精粹：Excel模板大全1000例\学校开放教育课程开课科目.xls","学校开放教育课程开课科目.xls")</f>
        <v>学校开放教育课程开课科目.xls</v>
      </c>
      <c r="Q565">
        <v>0.04</v>
      </c>
      <c r="R565" s="7" t="str">
        <f t="shared" si="12"/>
        <v>E:\附赠：Excel模板\Excel实战技巧精粹：Excel模板大全1000例</v>
      </c>
      <c r="S565" s="9">
        <v>43600.3821412037</v>
      </c>
      <c r="T565" s="9">
        <v>43390.5136111111</v>
      </c>
    </row>
    <row r="566" spans="14:20">
      <c r="N566" s="7" t="str">
        <f>HYPERLINK("E:\附赠：Excel模板\Excel实战技巧精粹：Excel模板大全1000例\学校开放本科公共事业管理（教育管理）专业课程教材征订表.xls","学校开放本科公共事业管理（教育管理）专业课程教材征订表.xls")</f>
        <v>学校开放本科公共事业管理（教育管理）专业课程教材征订表.xls</v>
      </c>
      <c r="Q566">
        <v>0.02</v>
      </c>
      <c r="R566" s="7" t="str">
        <f t="shared" si="12"/>
        <v>E:\附赠：Excel模板\Excel实战技巧精粹：Excel模板大全1000例</v>
      </c>
      <c r="S566" s="9">
        <v>43600.3821412037</v>
      </c>
      <c r="T566" s="9">
        <v>43390.5136111111</v>
      </c>
    </row>
    <row r="567" spans="14:20">
      <c r="N567" s="7" t="str">
        <f>HYPERLINK("E:\附赠：Excel模板\Excel实战技巧精粹：Excel模板大全1000例\学校开放本科工商管理专业课程教材征订表.xls","学校开放本科工商管理专业课程教材征订表.xls")</f>
        <v>学校开放本科工商管理专业课程教材征订表.xls</v>
      </c>
      <c r="Q567">
        <v>0.02</v>
      </c>
      <c r="R567" s="7" t="str">
        <f t="shared" si="12"/>
        <v>E:\附赠：Excel模板\Excel实战技巧精粹：Excel模板大全1000例</v>
      </c>
      <c r="S567" s="9">
        <v>43600.3821412037</v>
      </c>
      <c r="T567" s="9">
        <v>43390.5136111111</v>
      </c>
    </row>
    <row r="568" spans="14:20">
      <c r="N568" s="7" t="str">
        <f>HYPERLINK("E:\附赠：Excel模板\Excel实战技巧精粹：Excel模板大全1000例\学校开放本科法学专业课程教材征订表.xls","学校开放本科法学专业课程教材征订表.xls")</f>
        <v>学校开放本科法学专业课程教材征订表.xls</v>
      </c>
      <c r="Q568">
        <v>0.02</v>
      </c>
      <c r="R568" s="7" t="str">
        <f t="shared" si="12"/>
        <v>E:\附赠：Excel模板\Excel实战技巧精粹：Excel模板大全1000例</v>
      </c>
      <c r="S568" s="9">
        <v>43600.3821412037</v>
      </c>
      <c r="T568" s="9">
        <v>43390.5136111111</v>
      </c>
    </row>
    <row r="569" spans="14:20">
      <c r="N569" s="7" t="str">
        <f>HYPERLINK("E:\附赠：Excel模板\Excel实战技巧精粹：Excel模板大全1000例\学校投资财务收支情况验收表.xls","学校投资财务收支情况验收表.xls")</f>
        <v>学校投资财务收支情况验收表.xls</v>
      </c>
      <c r="Q569">
        <v>0.02</v>
      </c>
      <c r="R569" s="7" t="str">
        <f t="shared" si="12"/>
        <v>E:\附赠：Excel模板\Excel实战技巧精粹：Excel模板大全1000例</v>
      </c>
      <c r="S569" s="9">
        <v>43600.3821412037</v>
      </c>
      <c r="T569" s="9">
        <v>43390.5136111111</v>
      </c>
    </row>
    <row r="570" spans="14:20">
      <c r="N570" s="7" t="str">
        <f>HYPERLINK("E:\附赠：Excel模板\Excel实战技巧精粹：Excel模板大全1000例\学校招生计划表.xls","学校招生计划表.xls")</f>
        <v>学校招生计划表.xls</v>
      </c>
      <c r="Q570">
        <v>0.03</v>
      </c>
      <c r="R570" s="7" t="str">
        <f t="shared" si="12"/>
        <v>E:\附赠：Excel模板\Excel实战技巧精粹：Excel模板大全1000例</v>
      </c>
      <c r="S570" s="9">
        <v>43600.3821412037</v>
      </c>
      <c r="T570" s="9">
        <v>43390.513587963</v>
      </c>
    </row>
    <row r="571" spans="14:20">
      <c r="N571" s="7" t="str">
        <f>HYPERLINK("E:\附赠：Excel模板\Excel实战技巧精粹：Excel模板大全1000例\学校支出明细表.xls","学校支出明细表.xls")</f>
        <v>学校支出明细表.xls</v>
      </c>
      <c r="Q571">
        <v>0.02</v>
      </c>
      <c r="R571" s="7" t="str">
        <f t="shared" si="12"/>
        <v>E:\附赠：Excel模板\Excel实战技巧精粹：Excel模板大全1000例</v>
      </c>
      <c r="S571" s="9">
        <v>43600.3821412037</v>
      </c>
      <c r="T571" s="9">
        <v>43390.513587963</v>
      </c>
    </row>
    <row r="572" spans="14:20">
      <c r="N572" s="7" t="str">
        <f>HYPERLINK("E:\附赠：Excel模板\Excel实战技巧精粹：Excel模板大全1000例\学校收入明细表.xls","学校收入明细表.xls")</f>
        <v>学校收入明细表.xls</v>
      </c>
      <c r="Q572">
        <v>0.02</v>
      </c>
      <c r="R572" s="7" t="str">
        <f t="shared" si="12"/>
        <v>E:\附赠：Excel模板\Excel实战技巧精粹：Excel模板大全1000例</v>
      </c>
      <c r="S572" s="9">
        <v>43600.3821412037</v>
      </c>
      <c r="T572" s="9">
        <v>43390.5136111111</v>
      </c>
    </row>
    <row r="573" spans="14:20">
      <c r="N573" s="7" t="str">
        <f>HYPERLINK("E:\附赠：Excel模板\Excel实战技巧精粹：Excel模板大全1000例\学校现金收支概況表.xls","学校现金收支概況表.xls")</f>
        <v>学校现金收支概況表.xls</v>
      </c>
      <c r="Q573">
        <v>0.02</v>
      </c>
      <c r="R573" s="7" t="str">
        <f t="shared" si="12"/>
        <v>E:\附赠：Excel模板\Excel实战技巧精粹：Excel模板大全1000例</v>
      </c>
      <c r="S573" s="9">
        <v>43600.3821412037</v>
      </c>
      <c r="T573" s="9">
        <v>43390.513587963</v>
      </c>
    </row>
    <row r="574" spans="14:20">
      <c r="N574" s="7" t="str">
        <f>HYPERLINK("E:\附赠：Excel模板\Excel实战技巧精粹：Excel模板大全1000例\学校现金流量决算表.xls","学校现金流量决算表.xls")</f>
        <v>学校现金流量决算表.xls</v>
      </c>
      <c r="Q574">
        <v>0.02</v>
      </c>
      <c r="R574" s="7" t="str">
        <f t="shared" si="12"/>
        <v>E:\附赠：Excel模板\Excel实战技巧精粹：Excel模板大全1000例</v>
      </c>
      <c r="S574" s="9">
        <v>43600.3821412037</v>
      </c>
      <c r="T574" s="9">
        <v>43390.513587963</v>
      </c>
    </row>
    <row r="575" spans="14:20">
      <c r="N575" s="7" t="str">
        <f>HYPERLINK("E:\附赠：Excel模板\Excel实战技巧精粹：Excel模板大全1000例\学校现金流量表.xls","学校现金流量表.xls")</f>
        <v>学校现金流量表.xls</v>
      </c>
      <c r="Q575">
        <v>0.02</v>
      </c>
      <c r="R575" s="7" t="str">
        <f t="shared" si="12"/>
        <v>E:\附赠：Excel模板\Excel实战技巧精粹：Excel模板大全1000例</v>
      </c>
      <c r="S575" s="9">
        <v>43600.3821412037</v>
      </c>
      <c r="T575" s="9">
        <v>43390.5136111111</v>
      </c>
    </row>
    <row r="576" spans="14:20">
      <c r="N576" s="7" t="str">
        <f>HYPERLINK("E:\附赠：Excel模板\Excel实战技巧精粹：Excel模板大全1000例\学校現金收支概況表.xls","学校現金收支概況表.xls")</f>
        <v>学校現金收支概況表.xls</v>
      </c>
      <c r="Q576">
        <v>0.02</v>
      </c>
      <c r="R576" s="7" t="str">
        <f t="shared" si="12"/>
        <v>E:\附赠：Excel模板\Excel实战技巧精粹：Excel模板大全1000例</v>
      </c>
      <c r="S576" s="9">
        <v>43600.3821412037</v>
      </c>
      <c r="T576" s="9">
        <v>43390.5136111111</v>
      </c>
    </row>
    <row r="577" spans="14:20">
      <c r="N577" s="7" t="str">
        <f>HYPERLINK("E:\附赠：Excel模板\Excel实战技巧精粹：Excel模板大全1000例\学校管理高级研讨班报名回执.xls","学校管理高级研讨班报名回执.xls")</f>
        <v>学校管理高级研讨班报名回执.xls</v>
      </c>
      <c r="Q577">
        <v>0.02</v>
      </c>
      <c r="R577" s="7" t="str">
        <f t="shared" si="12"/>
        <v>E:\附赠：Excel模板\Excel实战技巧精粹：Excel模板大全1000例</v>
      </c>
      <c r="S577" s="9">
        <v>43600.3821412037</v>
      </c>
      <c r="T577" s="9">
        <v>43390.5136111111</v>
      </c>
    </row>
    <row r="578" spans="14:20">
      <c r="N578" s="7" t="str">
        <f>HYPERLINK("E:\附赠：Excel模板\Excel实战技巧精粹：Excel模板大全1000例\学校综合投资效益验收统计表.xls","学校综合投资效益验收统计表.xls")</f>
        <v>学校综合投资效益验收统计表.xls</v>
      </c>
      <c r="Q578">
        <v>0.02</v>
      </c>
      <c r="R578" s="7" t="str">
        <f t="shared" si="12"/>
        <v>E:\附赠：Excel模板\Excel实战技巧精粹：Excel模板大全1000例</v>
      </c>
      <c r="S578" s="9">
        <v>43600.3821412037</v>
      </c>
      <c r="T578" s="9">
        <v>43390.513587963</v>
      </c>
    </row>
    <row r="579" spans="14:20">
      <c r="N579" s="7" t="str">
        <f>HYPERLINK("E:\附赠：Excel模板\Excel实战技巧精粹：Excel模板大全1000例\学校考试安排.xls","学校考试安排.xls")</f>
        <v>学校考试安排.xls</v>
      </c>
      <c r="Q579">
        <v>0.02</v>
      </c>
      <c r="R579" s="7" t="str">
        <f t="shared" si="12"/>
        <v>E:\附赠：Excel模板\Excel实战技巧精粹：Excel模板大全1000例</v>
      </c>
      <c r="S579" s="9">
        <v>43600.3821412037</v>
      </c>
      <c r="T579" s="9">
        <v>43390.5136111111</v>
      </c>
    </row>
    <row r="580" spans="14:20">
      <c r="N580" s="7" t="str">
        <f>HYPERLINK("E:\附赠：Excel模板\Excel实战技巧精粹：Excel模板大全1000例\学校财务工作考核条例.xls","学校财务工作考核条例.xls")</f>
        <v>学校财务工作考核条例.xls</v>
      </c>
      <c r="Q580">
        <v>0.02</v>
      </c>
      <c r="R580" s="7" t="str">
        <f t="shared" si="12"/>
        <v>E:\附赠：Excel模板\Excel实战技巧精粹：Excel模板大全1000例</v>
      </c>
      <c r="S580" s="9">
        <v>43600.3821412037</v>
      </c>
      <c r="T580" s="9">
        <v>43390.5136111111</v>
      </c>
    </row>
    <row r="581" spans="14:20">
      <c r="N581" s="7" t="str">
        <f>HYPERLINK("E:\附赠：Excel模板\Excel实战技巧精粹：Excel模板大全1000例\学校财务自查表.xls","学校财务自查表.xls")</f>
        <v>学校财务自查表.xls</v>
      </c>
      <c r="Q581">
        <v>0.02</v>
      </c>
      <c r="R581" s="7" t="str">
        <f t="shared" si="12"/>
        <v>E:\附赠：Excel模板\Excel实战技巧精粹：Excel模板大全1000例</v>
      </c>
      <c r="S581" s="9">
        <v>43600.3821412037</v>
      </c>
      <c r="T581" s="9">
        <v>43390.5136111111</v>
      </c>
    </row>
    <row r="582" spans="14:20">
      <c r="N582" s="7" t="str">
        <f>HYPERLINK("E:\附赠：Excel模板\Excel实战技巧精粹：Excel模板大全1000例\学校资金投入与执行情况验收表.xls","学校资金投入与执行情况验收表.xls")</f>
        <v>学校资金投入与执行情况验收表.xls</v>
      </c>
      <c r="Q582">
        <v>0.02</v>
      </c>
      <c r="R582" s="7" t="str">
        <f t="shared" si="12"/>
        <v>E:\附赠：Excel模板\Excel实战技巧精粹：Excel模板大全1000例</v>
      </c>
      <c r="S582" s="9">
        <v>43600.3821412037</v>
      </c>
      <c r="T582" s="9">
        <v>43390.513587963</v>
      </c>
    </row>
    <row r="583" spans="14:20">
      <c r="N583" s="7" t="str">
        <f>HYPERLINK("E:\附赠：Excel模板\Excel实战技巧精粹：Excel模板大全1000例\学生参加活动情况统计表.xls","学生参加活动情况统计表.xls")</f>
        <v>学生参加活动情况统计表.xls</v>
      </c>
      <c r="Q583">
        <v>0.02</v>
      </c>
      <c r="R583" s="7" t="str">
        <f t="shared" si="12"/>
        <v>E:\附赠：Excel模板\Excel实战技巧精粹：Excel模板大全1000例</v>
      </c>
      <c r="S583" s="9">
        <v>43600.3821412037</v>
      </c>
      <c r="T583" s="9">
        <v>43390.5136342593</v>
      </c>
    </row>
    <row r="584" spans="14:20">
      <c r="N584" s="7" t="str">
        <f>HYPERLINK("E:\附赠：Excel模板\Excel实战技巧精粹：Excel模板大全1000例\学生参加科技活动情况统计表.xls","学生参加科技活动情况统计表.xls")</f>
        <v>学生参加科技活动情况统计表.xls</v>
      </c>
      <c r="Q584">
        <v>0.02</v>
      </c>
      <c r="R584" s="7" t="str">
        <f t="shared" si="12"/>
        <v>E:\附赠：Excel模板\Excel实战技巧精粹：Excel模板大全1000例</v>
      </c>
      <c r="S584" s="9">
        <v>43600.3821412037</v>
      </c>
      <c r="T584" s="9">
        <v>43390.5136342593</v>
      </c>
    </row>
    <row r="585" spans="14:20">
      <c r="N585" s="7" t="str">
        <f>HYPERLINK("E:\附赠：Excel模板\Excel实战技巧精粹：Excel模板大全1000例\学生参加科研活动情况统计表（含发表的论文）.xls","学生参加科研活动情况统计表（含发表的论文）.xls")</f>
        <v>学生参加科研活动情况统计表（含发表的论文）.xls</v>
      </c>
      <c r="Q585">
        <v>0.02</v>
      </c>
      <c r="R585" s="7" t="str">
        <f t="shared" si="12"/>
        <v>E:\附赠：Excel模板\Excel实战技巧精粹：Excel模板大全1000例</v>
      </c>
      <c r="S585" s="9">
        <v>43600.3821412037</v>
      </c>
      <c r="T585" s="9">
        <v>43390.5136342593</v>
      </c>
    </row>
    <row r="586" spans="14:20">
      <c r="N586" s="7" t="str">
        <f>HYPERLINK("E:\附赠：Excel模板\Excel实战技巧精粹：Excel模板大全1000例\学生变动情况登记表.xls","学生变动情况登记表.xls")</f>
        <v>学生变动情况登记表.xls</v>
      </c>
      <c r="Q586">
        <v>0.02</v>
      </c>
      <c r="R586" s="7" t="str">
        <f t="shared" si="12"/>
        <v>E:\附赠：Excel模板\Excel实战技巧精粹：Excel模板大全1000例</v>
      </c>
      <c r="S586" s="9">
        <v>43600.3821412037</v>
      </c>
      <c r="T586" s="9">
        <v>43390.5136574074</v>
      </c>
    </row>
    <row r="587" spans="14:20">
      <c r="N587" s="7" t="str">
        <f>HYPERLINK("E:\附赠：Excel模板\Excel实战技巧精粹：Excel模板大全1000例\学生各类获奖及受表彰情况统计.xls","学生各类获奖及受表彰情况统计.xls")</f>
        <v>学生各类获奖及受表彰情况统计.xls</v>
      </c>
      <c r="Q587">
        <v>0.02</v>
      </c>
      <c r="R587" s="7" t="str">
        <f t="shared" si="12"/>
        <v>E:\附赠：Excel模板\Excel实战技巧精粹：Excel模板大全1000例</v>
      </c>
      <c r="S587" s="9">
        <v>43600.3821412037</v>
      </c>
      <c r="T587" s="9">
        <v>43390.5136342593</v>
      </c>
    </row>
    <row r="588" spans="14:20">
      <c r="N588" s="7" t="str">
        <f>HYPERLINK("E:\附赠：Excel模板\Excel实战技巧精粹：Excel模板大全1000例\学生家庭住址情况统计.xls","学生家庭住址情况统计.xls")</f>
        <v>学生家庭住址情况统计.xls</v>
      </c>
      <c r="Q588">
        <v>0.02</v>
      </c>
      <c r="R588" s="7" t="str">
        <f t="shared" si="12"/>
        <v>E:\附赠：Excel模板\Excel实战技巧精粹：Excel模板大全1000例</v>
      </c>
      <c r="S588" s="9">
        <v>43600.3821412037</v>
      </c>
      <c r="T588" s="9">
        <v>43390.5136342593</v>
      </c>
    </row>
    <row r="589" spans="14:20">
      <c r="N589" s="7" t="str">
        <f>HYPERLINK("E:\附赠：Excel模板\Excel实战技巧精粹：Excel模板大全1000例\学生成绩报告单.xls","学生成绩报告单.xls")</f>
        <v>学生成绩报告单.xls</v>
      </c>
      <c r="Q589">
        <v>0.02</v>
      </c>
      <c r="R589" s="7" t="str">
        <f t="shared" si="12"/>
        <v>E:\附赠：Excel模板\Excel实战技巧精粹：Excel模板大全1000例</v>
      </c>
      <c r="S589" s="9">
        <v>43600.3821412037</v>
      </c>
      <c r="T589" s="9">
        <v>43390.5136574074</v>
      </c>
    </row>
    <row r="590" spans="14:20">
      <c r="N590" s="7" t="str">
        <f>HYPERLINK("E:\附赠：Excel模板\Excel实战技巧精粹：Excel模板大全1000例\学生成绩表.xls","学生成绩表.xls")</f>
        <v>学生成绩表.xls</v>
      </c>
      <c r="Q590">
        <v>0.03</v>
      </c>
      <c r="R590" s="7" t="str">
        <f t="shared" si="12"/>
        <v>E:\附赠：Excel模板\Excel实战技巧精粹：Excel模板大全1000例</v>
      </c>
      <c r="S590" s="9">
        <v>43600.3821412037</v>
      </c>
      <c r="T590" s="9">
        <v>43390.5136342593</v>
      </c>
    </row>
    <row r="591" spans="14:20">
      <c r="N591" s="7" t="str">
        <f>HYPERLINK("E:\附赠：Excel模板\Excel实战技巧精粹：Excel模板大全1000例\学生成绩表2.xls","学生成绩表2.xls")</f>
        <v>学生成绩表2.xls</v>
      </c>
      <c r="Q591">
        <v>0.03</v>
      </c>
      <c r="R591" s="7" t="str">
        <f t="shared" si="12"/>
        <v>E:\附赠：Excel模板\Excel实战技巧精粹：Excel模板大全1000例</v>
      </c>
      <c r="S591" s="9">
        <v>43600.3821412037</v>
      </c>
      <c r="T591" s="9">
        <v>43390.5136342593</v>
      </c>
    </row>
    <row r="592" spans="14:20">
      <c r="N592" s="7" t="str">
        <f>HYPERLINK("E:\附赠：Excel模板\Excel实战技巧精粹：Excel模板大全1000例\学生成绩表（分析表）.xls","学生成绩表（分析表）.xls")</f>
        <v>学生成绩表（分析表）.xls</v>
      </c>
      <c r="Q592">
        <v>0.03</v>
      </c>
      <c r="R592" s="7" t="str">
        <f t="shared" si="12"/>
        <v>E:\附赠：Excel模板\Excel实战技巧精粹：Excel模板大全1000例</v>
      </c>
      <c r="S592" s="9">
        <v>43600.3821412037</v>
      </c>
      <c r="T592" s="9">
        <v>43390.5136342593</v>
      </c>
    </row>
    <row r="593" spans="14:20">
      <c r="N593" s="7" t="str">
        <f>HYPERLINK("E:\附赠：Excel模板\Excel实战技巧精粹：Excel模板大全1000例\学生毕业率学位比例考研率.xls","学生毕业率学位比例考研率.xls")</f>
        <v>学生毕业率学位比例考研率.xls</v>
      </c>
      <c r="Q593">
        <v>0.02</v>
      </c>
      <c r="R593" s="7" t="str">
        <f t="shared" si="12"/>
        <v>E:\附赠：Excel模板\Excel实战技巧精粹：Excel模板大全1000例</v>
      </c>
      <c r="S593" s="9">
        <v>43600.3821412037</v>
      </c>
      <c r="T593" s="9">
        <v>43390.5136574074</v>
      </c>
    </row>
    <row r="594" spans="14:20">
      <c r="N594" s="7" t="str">
        <f>HYPERLINK("E:\附赠：Excel模板\Excel实战技巧精粹：Excel模板大全1000例\学生物理学习情况问卷表.xls","学生物理学习情况问卷表.xls")</f>
        <v>学生物理学习情况问卷表.xls</v>
      </c>
      <c r="Q594">
        <v>0.05</v>
      </c>
      <c r="R594" s="7" t="str">
        <f t="shared" si="12"/>
        <v>E:\附赠：Excel模板\Excel实战技巧精粹：Excel模板大全1000例</v>
      </c>
      <c r="S594" s="9">
        <v>43600.3821412037</v>
      </c>
      <c r="T594" s="9">
        <v>43390.5136342593</v>
      </c>
    </row>
    <row r="595" spans="14:20">
      <c r="N595" s="7" t="str">
        <f>HYPERLINK("E:\附赠：Excel模板\Excel实战技巧精粹：Excel模板大全1000例\学生社团情况统计表.xls","学生社团情况统计表.xls")</f>
        <v>学生社团情况统计表.xls</v>
      </c>
      <c r="Q595">
        <v>0.02</v>
      </c>
      <c r="R595" s="7" t="str">
        <f t="shared" si="12"/>
        <v>E:\附赠：Excel模板\Excel实战技巧精粹：Excel模板大全1000例</v>
      </c>
      <c r="S595" s="9">
        <v>43600.3821412037</v>
      </c>
      <c r="T595" s="9">
        <v>43390.5136342593</v>
      </c>
    </row>
    <row r="596" spans="14:20">
      <c r="N596" s="7" t="str">
        <f>HYPERLINK("E:\附赠：Excel模板\Excel实战技巧精粹：Excel模板大全1000例\学生缺课情况统计表.xls","学生缺课情况统计表.xls")</f>
        <v>学生缺课情况统计表.xls</v>
      </c>
      <c r="Q596">
        <v>0.02</v>
      </c>
      <c r="R596" s="7" t="str">
        <f t="shared" si="12"/>
        <v>E:\附赠：Excel模板\Excel实战技巧精粹：Excel模板大全1000例</v>
      </c>
      <c r="S596" s="9">
        <v>43600.3821412037</v>
      </c>
      <c r="T596" s="9">
        <v>43390.5136342593</v>
      </c>
    </row>
    <row r="597" spans="14:20">
      <c r="N597" s="7" t="str">
        <f>HYPERLINK("E:\附赠：Excel模板\Excel实战技巧精粹：Excel模板大全1000例\学生记分册.xls","学生记分册.xls")</f>
        <v>学生记分册.xls</v>
      </c>
      <c r="Q597">
        <v>0.02</v>
      </c>
      <c r="R597" s="7" t="str">
        <f t="shared" si="12"/>
        <v>E:\附赠：Excel模板\Excel实战技巧精粹：Excel模板大全1000例</v>
      </c>
      <c r="S597" s="9">
        <v>43600.3821412037</v>
      </c>
      <c r="T597" s="9">
        <v>43390.5136342593</v>
      </c>
    </row>
    <row r="598" spans="14:20">
      <c r="N598" s="7" t="str">
        <f>HYPERLINK("E:\附赠：Excel模板\Excel实战技巧精粹：Excel模板大全1000例\学生贷款统计表.xls","学生贷款统计表.xls")</f>
        <v>学生贷款统计表.xls</v>
      </c>
      <c r="Q598">
        <v>0.02</v>
      </c>
      <c r="R598" s="7" t="str">
        <f t="shared" si="12"/>
        <v>E:\附赠：Excel模板\Excel实战技巧精粹：Excel模板大全1000例</v>
      </c>
      <c r="S598" s="9">
        <v>43600.3821412037</v>
      </c>
      <c r="T598" s="9">
        <v>43390.5136342593</v>
      </c>
    </row>
    <row r="599" spans="14:20">
      <c r="N599" s="7" t="str">
        <f>HYPERLINK("E:\附赠：Excel模板\Excel实战技巧精粹：Excel模板大全1000例\学生违纪情况统计表.xls","学生违纪情况统计表.xls")</f>
        <v>学生违纪情况统计表.xls</v>
      </c>
      <c r="Q599">
        <v>0.02</v>
      </c>
      <c r="R599" s="7" t="str">
        <f t="shared" ref="R599:R662" si="13">HYPERLINK("E:\附赠：Excel模板\Excel实战技巧精粹：Excel模板大全1000例","E:\附赠：Excel模板\Excel实战技巧精粹：Excel模板大全1000例")</f>
        <v>E:\附赠：Excel模板\Excel实战技巧精粹：Excel模板大全1000例</v>
      </c>
      <c r="S599" s="9">
        <v>43600.3821412037</v>
      </c>
      <c r="T599" s="9">
        <v>43390.5136342593</v>
      </c>
    </row>
    <row r="600" spans="14:20">
      <c r="N600" s="7" t="str">
        <f>HYPERLINK("E:\附赠：Excel模板\Excel实战技巧精粹：Excel模板大全1000例\学费结算单.xls","学费结算单.xls")</f>
        <v>学费结算单.xls</v>
      </c>
      <c r="Q600">
        <v>0.02</v>
      </c>
      <c r="R600" s="7" t="str">
        <f t="shared" si="13"/>
        <v>E:\附赠：Excel模板\Excel实战技巧精粹：Excel模板大全1000例</v>
      </c>
      <c r="S600" s="9">
        <v>43600.3821412037</v>
      </c>
      <c r="T600" s="9">
        <v>43390.5136574074</v>
      </c>
    </row>
    <row r="601" spans="14:20">
      <c r="N601" s="7" t="str">
        <f>HYPERLINK("E:\附赠：Excel模板\Excel实战技巧精粹：Excel模板大全1000例\学费结算单2.xls","学费结算单2.xls")</f>
        <v>学费结算单2.xls</v>
      </c>
      <c r="Q601">
        <v>0.02</v>
      </c>
      <c r="R601" s="7" t="str">
        <f t="shared" si="13"/>
        <v>E:\附赠：Excel模板\Excel实战技巧精粹：Excel模板大全1000例</v>
      </c>
      <c r="S601" s="9">
        <v>43600.3821412037</v>
      </c>
      <c r="T601" s="9">
        <v>43390.5136574074</v>
      </c>
    </row>
    <row r="602" spans="14:20">
      <c r="N602" s="7" t="str">
        <f>HYPERLINK("E:\附赠：Excel模板\Excel实战技巧精粹：Excel模板大全1000例\学院会计学专业（本）学生成绩册.xls","学院会计学专业（本）学生成绩册.xls")</f>
        <v>学院会计学专业（本）学生成绩册.xls</v>
      </c>
      <c r="Q602">
        <v>0.02</v>
      </c>
      <c r="R602" s="7" t="str">
        <f t="shared" si="13"/>
        <v>E:\附赠：Excel模板\Excel实战技巧精粹：Excel模板大全1000例</v>
      </c>
      <c r="S602" s="9">
        <v>43600.3821412037</v>
      </c>
      <c r="T602" s="9">
        <v>43390.513587963</v>
      </c>
    </row>
    <row r="603" spans="14:20">
      <c r="N603" s="7" t="str">
        <f>HYPERLINK("E:\附赠：Excel模板\Excel实战技巧精粹：Excel模板大全1000例\学院党建迎考材料目录.xls","学院党建迎考材料目录.xls")</f>
        <v>学院党建迎考材料目录.xls</v>
      </c>
      <c r="Q603">
        <v>0.03</v>
      </c>
      <c r="R603" s="7" t="str">
        <f t="shared" si="13"/>
        <v>E:\附赠：Excel模板\Excel实战技巧精粹：Excel模板大全1000例</v>
      </c>
      <c r="S603" s="9">
        <v>43600.3821412037</v>
      </c>
      <c r="T603" s="9">
        <v>43390.513587963</v>
      </c>
    </row>
    <row r="604" spans="14:20">
      <c r="N604" s="7" t="str">
        <f>HYPERLINK("E:\附赠：Excel模板\Excel实战技巧精粹：Excel模板大全1000例\学院党校学员登记表.xls","学院党校学员登记表.xls")</f>
        <v>学院党校学员登记表.xls</v>
      </c>
      <c r="Q604">
        <v>0.04</v>
      </c>
      <c r="R604" s="7" t="str">
        <f t="shared" si="13"/>
        <v>E:\附赠：Excel模板\Excel实战技巧精粹：Excel模板大全1000例</v>
      </c>
      <c r="S604" s="9">
        <v>43600.3821412037</v>
      </c>
      <c r="T604" s="9">
        <v>43390.513587963</v>
      </c>
    </row>
    <row r="605" spans="14:20">
      <c r="N605" s="7" t="str">
        <f>HYPERLINK("E:\附赠：Excel模板\Excel实战技巧精粹：Excel模板大全1000例\学院具体承办的国内和国家学术研讨会情况统计表.xls","学院具体承办的国内和国家学术研讨会情况统计表.xls")</f>
        <v>学院具体承办的国内和国家学术研讨会情况统计表.xls</v>
      </c>
      <c r="Q605">
        <v>0.02</v>
      </c>
      <c r="R605" s="7" t="str">
        <f t="shared" si="13"/>
        <v>E:\附赠：Excel模板\Excel实战技巧精粹：Excel模板大全1000例</v>
      </c>
      <c r="S605" s="9">
        <v>43600.3821412037</v>
      </c>
      <c r="T605" s="9">
        <v>43390.5135648148</v>
      </c>
    </row>
    <row r="606" spans="14:20">
      <c r="N606" s="7" t="str">
        <f>HYPERLINK("E:\附赠：Excel模板\Excel实战技巧精粹：Excel模板大全1000例\学院博士生导师统计表.xls","学院博士生导师统计表.xls")</f>
        <v>学院博士生导师统计表.xls</v>
      </c>
      <c r="Q606">
        <v>0.02</v>
      </c>
      <c r="R606" s="7" t="str">
        <f t="shared" si="13"/>
        <v>E:\附赠：Excel模板\Excel实战技巧精粹：Excel模板大全1000例</v>
      </c>
      <c r="S606" s="9">
        <v>43600.3821412037</v>
      </c>
      <c r="T606" s="9">
        <v>43390.513587963</v>
      </c>
    </row>
    <row r="607" spans="14:20">
      <c r="N607" s="7" t="str">
        <f>HYPERLINK("E:\附赠：Excel模板\Excel实战技巧精粹：Excel模板大全1000例\学院图书室（分馆）及资料--览表.xls","学院图书室（分馆）及资料--览表.xls")</f>
        <v>学院图书室（分馆）及资料--览表.xls</v>
      </c>
      <c r="Q607">
        <v>0.02</v>
      </c>
      <c r="R607" s="7" t="str">
        <f t="shared" si="13"/>
        <v>E:\附赠：Excel模板\Excel实战技巧精粹：Excel模板大全1000例</v>
      </c>
      <c r="S607" s="9">
        <v>43600.3821412037</v>
      </c>
      <c r="T607" s="9">
        <v>43390.5135648148</v>
      </c>
    </row>
    <row r="608" spans="14:20">
      <c r="N608" s="7" t="str">
        <f>HYPERLINK("E:\附赠：Excel模板\Excel实战技巧精粹：Excel模板大全1000例\学院图书室（分馆）资料管理及使用情况.xls","学院图书室（分馆）资料管理及使用情况.xls")</f>
        <v>学院图书室（分馆）资料管理及使用情况.xls</v>
      </c>
      <c r="Q608">
        <v>0.02</v>
      </c>
      <c r="R608" s="7" t="str">
        <f t="shared" si="13"/>
        <v>E:\附赠：Excel模板\Excel实战技巧精粹：Excel模板大全1000例</v>
      </c>
      <c r="S608" s="9">
        <v>43600.3821412037</v>
      </c>
      <c r="T608" s="9">
        <v>43390.5135648148</v>
      </c>
    </row>
    <row r="609" spans="14:20">
      <c r="N609" s="7" t="str">
        <f>HYPERLINK("E:\附赠：Excel模板\Excel实战技巧精粹：Excel模板大全1000例\学院在国内外各类进修人员情况一览表及分析.xls","学院在国内外各类进修人员情况一览表及分析.xls")</f>
        <v>学院在国内外各类进修人员情况一览表及分析.xls</v>
      </c>
      <c r="Q609">
        <v>0.02</v>
      </c>
      <c r="R609" s="7" t="str">
        <f t="shared" si="13"/>
        <v>E:\附赠：Excel模板\Excel实战技巧精粹：Excel模板大全1000例</v>
      </c>
      <c r="S609" s="9">
        <v>43600.3821412037</v>
      </c>
      <c r="T609" s="9">
        <v>43390.5135648148</v>
      </c>
    </row>
    <row r="610" spans="14:20">
      <c r="N610" s="7" t="str">
        <f>HYPERLINK("E:\附赠：Excel模板\Excel实战技巧精粹：Excel模板大全1000例\学院外聘专家情况统计表.xls","学院外聘专家情况统计表.xls")</f>
        <v>学院外聘专家情况统计表.xls</v>
      </c>
      <c r="Q610">
        <v>0.02</v>
      </c>
      <c r="R610" s="7" t="str">
        <f t="shared" si="13"/>
        <v>E:\附赠：Excel模板\Excel实战技巧精粹：Excel模板大全1000例</v>
      </c>
      <c r="S610" s="9">
        <v>43600.3821412037</v>
      </c>
      <c r="T610" s="9">
        <v>43390.5135648148</v>
      </c>
    </row>
    <row r="611" spans="14:20">
      <c r="N611" s="7" t="str">
        <f>HYPERLINK("E:\附赠：Excel模板\Excel实战技巧精粹：Excel模板大全1000例\学院学术梯队情况统计表.xls","学院学术梯队情况统计表.xls")</f>
        <v>学院学术梯队情况统计表.xls</v>
      </c>
      <c r="Q611">
        <v>0.02</v>
      </c>
      <c r="R611" s="7" t="str">
        <f t="shared" si="13"/>
        <v>E:\附赠：Excel模板\Excel实战技巧精粹：Excel模板大全1000例</v>
      </c>
      <c r="S611" s="9">
        <v>43600.3821412037</v>
      </c>
      <c r="T611" s="9">
        <v>43390.5135648148</v>
      </c>
    </row>
    <row r="612" spans="14:20">
      <c r="N612" s="7" t="str">
        <f>HYPERLINK("E:\附赠：Excel模板\Excel实战技巧精粹：Excel模板大全1000例\学院学科带头人统计表.xls","学院学科带头人统计表.xls")</f>
        <v>学院学科带头人统计表.xls</v>
      </c>
      <c r="Q612">
        <v>0.02</v>
      </c>
      <c r="R612" s="7" t="str">
        <f t="shared" si="13"/>
        <v>E:\附赠：Excel模板\Excel实战技巧精粹：Excel模板大全1000例</v>
      </c>
      <c r="S612" s="9">
        <v>43600.3821412037</v>
      </c>
      <c r="T612" s="9">
        <v>43390.5135648148</v>
      </c>
    </row>
    <row r="613" spans="14:20">
      <c r="N613" s="7" t="str">
        <f>HYPERLINK("E:\附赠：Excel模板\Excel实战技巧精粹：Excel模板大全1000例\学院导师学生名单.xls","学院导师学生名单.xls")</f>
        <v>学院导师学生名单.xls</v>
      </c>
      <c r="Q613">
        <v>0.01</v>
      </c>
      <c r="R613" s="7" t="str">
        <f t="shared" si="13"/>
        <v>E:\附赠：Excel模板\Excel实战技巧精粹：Excel模板大全1000例</v>
      </c>
      <c r="S613" s="9">
        <v>43600.3821412037</v>
      </c>
      <c r="T613" s="9">
        <v>43390.513587963</v>
      </c>
    </row>
    <row r="614" spans="14:20">
      <c r="N614" s="7" t="str">
        <f>HYPERLINK("E:\附赠：Excel模板\Excel实战技巧精粹：Excel模板大全1000例\学院干训班学员登记表.xls","学院干训班学员登记表.xls")</f>
        <v>学院干训班学员登记表.xls</v>
      </c>
      <c r="Q614">
        <v>0.02</v>
      </c>
      <c r="R614" s="7" t="str">
        <f t="shared" si="13"/>
        <v>E:\附赠：Excel模板\Excel实战技巧精粹：Excel模板大全1000例</v>
      </c>
      <c r="S614" s="9">
        <v>43600.3821412037</v>
      </c>
      <c r="T614" s="9">
        <v>43390.513587963</v>
      </c>
    </row>
    <row r="615" spans="14:20">
      <c r="N615" s="7" t="str">
        <f>HYPERLINK("E:\附赠：Excel模板\Excel实战技巧精粹：Excel模板大全1000例\学院年度财务决算.xls","学院年度财务决算.xls")</f>
        <v>学院年度财务决算.xls</v>
      </c>
      <c r="Q615">
        <v>0.02</v>
      </c>
      <c r="R615" s="7" t="str">
        <f t="shared" si="13"/>
        <v>E:\附赠：Excel模板\Excel实战技巧精粹：Excel模板大全1000例</v>
      </c>
      <c r="S615" s="9">
        <v>43600.3821412037</v>
      </c>
      <c r="T615" s="9">
        <v>43390.5135648148</v>
      </c>
    </row>
    <row r="616" spans="14:20">
      <c r="N616" s="7" t="str">
        <f>HYPERLINK("E:\附赠：Excel模板\Excel实战技巧精粹：Excel模板大全1000例\学院开展思想道德与文化素质讲座情况一览表.xls","学院开展思想道德与文化素质讲座情况一览表.xls")</f>
        <v>学院开展思想道德与文化素质讲座情况一览表.xls</v>
      </c>
      <c r="Q616">
        <v>0.02</v>
      </c>
      <c r="R616" s="7" t="str">
        <f t="shared" si="13"/>
        <v>E:\附赠：Excel模板\Excel实战技巧精粹：Excel模板大全1000例</v>
      </c>
      <c r="S616" s="9">
        <v>43600.3821412037</v>
      </c>
      <c r="T616" s="9">
        <v>43390.5135648148</v>
      </c>
    </row>
    <row r="617" spans="14:20">
      <c r="N617" s="7" t="str">
        <f>HYPERLINK("E:\附赠：Excel模板\Excel实战技巧精粹：Excel模板大全1000例\学院教师在职攻读硕士、博士情况统计表.xls","学院教师在职攻读硕士、博士情况统计表.xls")</f>
        <v>学院教师在职攻读硕士、博士情况统计表.xls</v>
      </c>
      <c r="Q617">
        <v>0.02</v>
      </c>
      <c r="R617" s="7" t="str">
        <f t="shared" si="13"/>
        <v>E:\附赠：Excel模板\Excel实战技巧精粹：Excel模板大全1000例</v>
      </c>
      <c r="S617" s="9">
        <v>43600.3821412037</v>
      </c>
      <c r="T617" s="9">
        <v>43390.5135648148</v>
      </c>
    </row>
    <row r="618" spans="14:20">
      <c r="N618" s="7" t="str">
        <f>HYPERLINK("E:\附赠：Excel模板\Excel实战技巧精粹：Excel模板大全1000例\学院教师年龄结构情况统计表.xls","学院教师年龄结构情况统计表.xls")</f>
        <v>学院教师年龄结构情况统计表.xls</v>
      </c>
      <c r="Q618">
        <v>0.02</v>
      </c>
      <c r="R618" s="7" t="str">
        <f t="shared" si="13"/>
        <v>E:\附赠：Excel模板\Excel实战技巧精粹：Excel模板大全1000例</v>
      </c>
      <c r="S618" s="9">
        <v>43600.3821412037</v>
      </c>
      <c r="T618" s="9">
        <v>43390.513587963</v>
      </c>
    </row>
    <row r="619" spans="14:20">
      <c r="N619" s="7" t="str">
        <f>HYPERLINK("E:\附赠：Excel模板\Excel实战技巧精粹：Excel模板大全1000例\学院本科毕业设计（论文）成绩、获奖情况一览表.xls","学院本科毕业设计（论文）成绩、获奖情况一览表.xls")</f>
        <v>学院本科毕业设计（论文）成绩、获奖情况一览表.xls</v>
      </c>
      <c r="Q619">
        <v>0.02</v>
      </c>
      <c r="R619" s="7" t="str">
        <f t="shared" si="13"/>
        <v>E:\附赠：Excel模板\Excel实战技巧精粹：Excel模板大全1000例</v>
      </c>
      <c r="S619" s="9">
        <v>43600.3821412037</v>
      </c>
      <c r="T619" s="9">
        <v>43390.513587963</v>
      </c>
    </row>
    <row r="620" spans="14:20">
      <c r="N620" s="7" t="str">
        <f>HYPERLINK("E:\附赠：Excel模板\Excel实战技巧精粹：Excel模板大全1000例\学院本科毕业设计（论文）题目一览表.xls","学院本科毕业设计（论文）题目一览表.xls")</f>
        <v>学院本科毕业设计（论文）题目一览表.xls</v>
      </c>
      <c r="Q620">
        <v>0.02</v>
      </c>
      <c r="R620" s="7" t="str">
        <f t="shared" si="13"/>
        <v>E:\附赠：Excel模板\Excel实战技巧精粹：Excel模板大全1000例</v>
      </c>
      <c r="S620" s="9">
        <v>43600.3821412037</v>
      </c>
      <c r="T620" s="9">
        <v>43390.513587963</v>
      </c>
    </row>
    <row r="621" spans="14:20">
      <c r="N621" s="7" t="str">
        <f>HYPERLINK("E:\附赠：Excel模板\Excel实战技巧精粹：Excel模板大全1000例\学院课程报名申请表.xls","学院课程报名申请表.xls")</f>
        <v>学院课程报名申请表.xls</v>
      </c>
      <c r="Q621">
        <v>0.02</v>
      </c>
      <c r="R621" s="7" t="str">
        <f t="shared" si="13"/>
        <v>E:\附赠：Excel模板\Excel实战技巧精粹：Excel模板大全1000例</v>
      </c>
      <c r="S621" s="9">
        <v>43600.3821412037</v>
      </c>
      <c r="T621" s="9">
        <v>43390.5135648148</v>
      </c>
    </row>
    <row r="622" spans="14:20">
      <c r="N622" s="7" t="str">
        <f>HYPERLINK("E:\附赠：Excel模板\Excel实战技巧精粹：Excel模板大全1000例\学院财务收支简要说明.xls","学院财务收支简要说明.xls")</f>
        <v>学院财务收支简要说明.xls</v>
      </c>
      <c r="Q622">
        <v>0.02</v>
      </c>
      <c r="R622" s="7" t="str">
        <f t="shared" si="13"/>
        <v>E:\附赠：Excel模板\Excel实战技巧精粹：Excel模板大全1000例</v>
      </c>
      <c r="S622" s="9">
        <v>43600.3821412037</v>
      </c>
      <c r="T622" s="9">
        <v>43390.513587963</v>
      </c>
    </row>
    <row r="623" spans="14:20">
      <c r="N623" s="7" t="str">
        <f>HYPERLINK("E:\附赠：Excel模板\Excel实战技巧精粹：Excel模板大全1000例\学院院务公开一览表.xls","学院院务公开一览表.xls")</f>
        <v>学院院务公开一览表.xls</v>
      </c>
      <c r="Q623">
        <v>0.02</v>
      </c>
      <c r="R623" s="7" t="str">
        <f t="shared" si="13"/>
        <v>E:\附赠：Excel模板\Excel实战技巧精粹：Excel模板大全1000例</v>
      </c>
      <c r="S623" s="9">
        <v>43600.3821412037</v>
      </c>
      <c r="T623" s="9">
        <v>43390.5135648148</v>
      </c>
    </row>
    <row r="624" spans="14:20">
      <c r="N624" s="7" t="str">
        <f>HYPERLINK("E:\附赠：Excel模板\Excel实战技巧精粹：Excel模板大全1000例\學校年學生輔導紀錄表.xls","學校年學生輔導紀錄表.xls")</f>
        <v>學校年學生輔導紀錄表.xls</v>
      </c>
      <c r="Q624">
        <v>0.02</v>
      </c>
      <c r="R624" s="7" t="str">
        <f t="shared" si="13"/>
        <v>E:\附赠：Excel模板\Excel实战技巧精粹：Excel模板大全1000例</v>
      </c>
      <c r="S624" s="9">
        <v>43600.3821412037</v>
      </c>
      <c r="T624" s="9">
        <v>43390.5147222222</v>
      </c>
    </row>
    <row r="625" spans="14:20">
      <c r="N625" s="7" t="str">
        <f>HYPERLINK("E:\附赠：Excel模板\Excel实战技巧精粹：Excel模板大全1000例\學校財務收支.xls","學校財務收支.xls")</f>
        <v>學校財務收支.xls</v>
      </c>
      <c r="Q625">
        <v>0.02</v>
      </c>
      <c r="R625" s="7" t="str">
        <f t="shared" si="13"/>
        <v>E:\附赠：Excel模板\Excel实战技巧精粹：Excel模板大全1000例</v>
      </c>
      <c r="S625" s="9">
        <v>43600.3821412037</v>
      </c>
      <c r="T625" s="9">
        <v>43390.5147222222</v>
      </c>
    </row>
    <row r="626" spans="14:20">
      <c r="N626" s="7" t="str">
        <f>HYPERLINK("E:\附赠：Excel模板\Excel实战技巧精粹：Excel模板大全1000例\學生家庭通訊錄.xls","學生家庭通訊錄.xls")</f>
        <v>學生家庭通訊錄.xls</v>
      </c>
      <c r="Q626">
        <v>0.02</v>
      </c>
      <c r="R626" s="7" t="str">
        <f t="shared" si="13"/>
        <v>E:\附赠：Excel模板\Excel实战技巧精粹：Excel模板大全1000例</v>
      </c>
      <c r="S626" s="9">
        <v>43600.3821412037</v>
      </c>
      <c r="T626" s="9">
        <v>43390.5147222222</v>
      </c>
    </row>
    <row r="627" spans="14:20">
      <c r="N627" s="7" t="str">
        <f>HYPERLINK("E:\附赠：Excel模板\Excel实战技巧精粹：Excel模板大全1000例\學生會收支報告表.xls","學生會收支報告表.xls")</f>
        <v>學生會收支報告表.xls</v>
      </c>
      <c r="Q627">
        <v>0.02</v>
      </c>
      <c r="R627" s="7" t="str">
        <f t="shared" si="13"/>
        <v>E:\附赠：Excel模板\Excel实战技巧精粹：Excel模板大全1000例</v>
      </c>
      <c r="S627" s="9">
        <v>43600.3821412037</v>
      </c>
      <c r="T627" s="9">
        <v>43390.5147222222</v>
      </c>
    </row>
    <row r="628" spans="14:20">
      <c r="N628" s="7" t="str">
        <f>HYPERLINK("E:\附赠：Excel模板\Excel实战技巧精粹：Excel模板大全1000例\學院失業家庭學生補助金申請表.xls","學院失業家庭學生補助金申請表.xls")</f>
        <v>學院失業家庭學生補助金申請表.xls</v>
      </c>
      <c r="Q628">
        <v>0.02</v>
      </c>
      <c r="R628" s="7" t="str">
        <f t="shared" si="13"/>
        <v>E:\附赠：Excel模板\Excel实战技巧精粹：Excel模板大全1000例</v>
      </c>
      <c r="S628" s="9">
        <v>43600.3821412037</v>
      </c>
      <c r="T628" s="9">
        <v>43390.5147222222</v>
      </c>
    </row>
    <row r="629" spans="14:20">
      <c r="N629" s="7" t="str">
        <f>HYPERLINK("E:\附赠：Excel模板\Excel实战技巧精粹：Excel模板大全1000例\宏观月度库.xls","宏观月度库.xls")</f>
        <v>宏观月度库.xls</v>
      </c>
      <c r="Q629">
        <v>0.05</v>
      </c>
      <c r="R629" s="7" t="str">
        <f t="shared" si="13"/>
        <v>E:\附赠：Excel模板\Excel实战技巧精粹：Excel模板大全1000例</v>
      </c>
      <c r="S629" s="9">
        <v>43600.3821412037</v>
      </c>
      <c r="T629" s="9">
        <v>43390.5143518519</v>
      </c>
    </row>
    <row r="630" spans="14:20">
      <c r="N630" s="7" t="str">
        <f>HYPERLINK("E:\附赠：Excel模板\Excel实战技巧精粹：Excel模板大全1000例\定期存款情况明细表.xls","定期存款情况明细表.xls")</f>
        <v>定期存款情况明细表.xls</v>
      </c>
      <c r="Q630">
        <v>0.01</v>
      </c>
      <c r="R630" s="7" t="str">
        <f t="shared" si="13"/>
        <v>E:\附赠：Excel模板\Excel实战技巧精粹：Excel模板大全1000例</v>
      </c>
      <c r="S630" s="9">
        <v>43600.3821412037</v>
      </c>
      <c r="T630" s="9">
        <v>43390.5144907407</v>
      </c>
    </row>
    <row r="631" spans="14:20">
      <c r="N631" s="7" t="str">
        <f>HYPERLINK("E:\附赠：Excel模板\Excel实战技巧精粹：Excel模板大全1000例\定点扶贫情况统计表.xls","定点扶贫情况统计表.xls")</f>
        <v>定点扶贫情况统计表.xls</v>
      </c>
      <c r="Q631">
        <v>0.03</v>
      </c>
      <c r="R631" s="7" t="str">
        <f t="shared" si="13"/>
        <v>E:\附赠：Excel模板\Excel实战技巧精粹：Excel模板大全1000例</v>
      </c>
      <c r="S631" s="9">
        <v>43600.3821412037</v>
      </c>
      <c r="T631" s="9">
        <v>43390.5144907407</v>
      </c>
    </row>
    <row r="632" spans="14:20">
      <c r="N632" s="7" t="str">
        <f>HYPERLINK("E:\附赠：Excel模板\Excel实战技巧精粹：Excel模板大全1000例\实收资本明细表.xls","实收资本明细表.xls")</f>
        <v>实收资本明细表.xls</v>
      </c>
      <c r="Q632">
        <v>0.02</v>
      </c>
      <c r="R632" s="7" t="str">
        <f t="shared" si="13"/>
        <v>E:\附赠：Excel模板\Excel实战技巧精粹：Excel模板大全1000例</v>
      </c>
      <c r="S632" s="9">
        <v>43600.3821412037</v>
      </c>
      <c r="T632" s="9">
        <v>43390.5138888889</v>
      </c>
    </row>
    <row r="633" spans="14:20">
      <c r="N633" s="7" t="str">
        <f>HYPERLINK("E:\附赠：Excel模板\Excel实战技巧精粹：Excel模板大全1000例\实验室人员结构情况统计表.xls","实验室人员结构情况统计表.xls")</f>
        <v>实验室人员结构情况统计表.xls</v>
      </c>
      <c r="Q633">
        <v>0.02</v>
      </c>
      <c r="R633" s="7" t="str">
        <f t="shared" si="13"/>
        <v>E:\附赠：Excel模板\Excel实战技巧精粹：Excel模板大全1000例</v>
      </c>
      <c r="S633" s="9">
        <v>43600.3821412037</v>
      </c>
      <c r="T633" s="9">
        <v>43390.5138888889</v>
      </c>
    </row>
    <row r="634" spans="14:20">
      <c r="N634" s="7" t="str">
        <f>HYPERLINK("E:\附赠：Excel模板\Excel实战技巧精粹：Excel模板大全1000例\实验室状况一览表.xls","实验室状况一览表.xls")</f>
        <v>实验室状况一览表.xls</v>
      </c>
      <c r="Q634">
        <v>0.02</v>
      </c>
      <c r="R634" s="7" t="str">
        <f t="shared" si="13"/>
        <v>E:\附赠：Excel模板\Excel实战技巧精粹：Excel模板大全1000例</v>
      </c>
      <c r="S634" s="9">
        <v>43600.3821412037</v>
      </c>
      <c r="T634" s="9">
        <v>43390.5138888889</v>
      </c>
    </row>
    <row r="635" spans="14:20">
      <c r="N635" s="7" t="str">
        <f>HYPERLINK("E:\附赠：Excel模板\Excel实战技巧精粹：Excel模板大全1000例\宠物年历.xls","宠物年历.xls")</f>
        <v>宠物年历.xls</v>
      </c>
      <c r="Q635">
        <v>0.53</v>
      </c>
      <c r="R635" s="7" t="str">
        <f t="shared" si="13"/>
        <v>E:\附赠：Excel模板\Excel实战技巧精粹：Excel模板大全1000例</v>
      </c>
      <c r="S635" s="9">
        <v>43600.3821412037</v>
      </c>
      <c r="T635" s="9">
        <v>43390.5145833333</v>
      </c>
    </row>
    <row r="636" spans="14:20">
      <c r="N636" s="7" t="str">
        <f>HYPERLINK("E:\附赠：Excel模板\Excel实战技巧精粹：Excel模板大全1000例\审计署审计干部培训中心××年度培训班教学.xls","审计署审计干部培训中心××年度培训班教学.xls")</f>
        <v>审计署审计干部培训中心××年度培训班教学.xls</v>
      </c>
      <c r="Q636">
        <v>0.02</v>
      </c>
      <c r="R636" s="7" t="str">
        <f t="shared" si="13"/>
        <v>E:\附赠：Excel模板\Excel实战技巧精粹：Excel模板大全1000例</v>
      </c>
      <c r="S636" s="9">
        <v>43600.3821412037</v>
      </c>
      <c r="T636" s="9">
        <v>43390.513912037</v>
      </c>
    </row>
    <row r="637" spans="14:20">
      <c r="N637" s="7" t="str">
        <f>HYPERLINK("E:\附赠：Excel模板\Excel实战技巧精粹：Excel模板大全1000例\客户信用额度申表.xls","客户信用额度申表.xls")</f>
        <v>客户信用额度申表.xls</v>
      </c>
      <c r="Q637">
        <v>0.02</v>
      </c>
      <c r="R637" s="7" t="str">
        <f t="shared" si="13"/>
        <v>E:\附赠：Excel模板\Excel实战技巧精粹：Excel模板大全1000例</v>
      </c>
      <c r="S637" s="9">
        <v>43600.3821412037</v>
      </c>
      <c r="T637" s="9">
        <v>43390.5141666667</v>
      </c>
    </row>
    <row r="638" spans="14:20">
      <c r="N638" s="7" t="str">
        <f>HYPERLINK("E:\附赠：Excel模板\Excel实战技巧精粹：Excel模板大全1000例\客户满意程度调查表.xls","客户满意程度调查表.xls")</f>
        <v>客户满意程度调查表.xls</v>
      </c>
      <c r="Q638">
        <v>0.02</v>
      </c>
      <c r="R638" s="7" t="str">
        <f t="shared" si="13"/>
        <v>E:\附赠：Excel模板\Excel实战技巧精粹：Excel模板大全1000例</v>
      </c>
      <c r="S638" s="9">
        <v>43600.3821412037</v>
      </c>
      <c r="T638" s="9">
        <v>43390.5141666667</v>
      </c>
    </row>
    <row r="639" spans="14:20">
      <c r="N639" s="7" t="str">
        <f>HYPERLINK("E:\附赠：Excel模板\Excel实战技巧精粹：Excel模板大全1000例\客房经营情况明细表.xls","客房经营情况明细表.xls")</f>
        <v>客房经营情况明细表.xls</v>
      </c>
      <c r="Q639">
        <v>0.02</v>
      </c>
      <c r="R639" s="7" t="str">
        <f t="shared" si="13"/>
        <v>E:\附赠：Excel模板\Excel实战技巧精粹：Excel模板大全1000例</v>
      </c>
      <c r="S639" s="9">
        <v>43600.3821412037</v>
      </c>
      <c r="T639" s="9">
        <v>43390.5141666667</v>
      </c>
    </row>
    <row r="640" spans="14:20">
      <c r="N640" s="7" t="str">
        <f>HYPERLINK("E:\附赠：Excel模板\Excel实战技巧精粹：Excel模板大全1000例\客运站（班次时刻表）.xls","客运站（班次时刻表）.xls")</f>
        <v>客运站（班次时刻表）.xls</v>
      </c>
      <c r="Q640">
        <v>0.02</v>
      </c>
      <c r="R640" s="7" t="str">
        <f t="shared" si="13"/>
        <v>E:\附赠：Excel模板\Excel实战技巧精粹：Excel模板大全1000例</v>
      </c>
      <c r="S640" s="9">
        <v>43600.3821412037</v>
      </c>
      <c r="T640" s="9">
        <v>43390.5141666667</v>
      </c>
    </row>
    <row r="641" spans="14:20">
      <c r="N641" s="7" t="str">
        <f>HYPERLINK("E:\附赠：Excel模板\Excel实战技巧精粹：Excel模板大全1000例\家庭居室装饰工程人工费参考价目表.xls","家庭居室装饰工程人工费参考价目表.xls")</f>
        <v>家庭居室装饰工程人工费参考价目表.xls</v>
      </c>
      <c r="Q641">
        <v>0.03</v>
      </c>
      <c r="R641" s="7" t="str">
        <f t="shared" si="13"/>
        <v>E:\附赠：Excel模板\Excel实战技巧精粹：Excel模板大全1000例</v>
      </c>
      <c r="S641" s="9">
        <v>43600.3821412037</v>
      </c>
      <c r="T641" s="9">
        <v>43390.5142824074</v>
      </c>
    </row>
    <row r="642" spans="14:20">
      <c r="N642" s="7" t="str">
        <f>HYPERLINK("E:\附赠：Excel模板\Excel实战技巧精粹：Excel模板大全1000例\家庭居室装饰装修工程施工合同协议条款.xls","家庭居室装饰装修工程施工合同协议条款.xls")</f>
        <v>家庭居室装饰装修工程施工合同协议条款.xls</v>
      </c>
      <c r="Q642">
        <v>0.03</v>
      </c>
      <c r="R642" s="7" t="str">
        <f t="shared" si="13"/>
        <v>E:\附赠：Excel模板\Excel实战技巧精粹：Excel模板大全1000例</v>
      </c>
      <c r="S642" s="9">
        <v>43600.3821412037</v>
      </c>
      <c r="T642" s="9">
        <v>43390.5142824074</v>
      </c>
    </row>
    <row r="643" spans="14:20">
      <c r="N643" s="7" t="str">
        <f>HYPERLINK("E:\附赠：Excel模板\Excel实战技巧精粹：Excel模板大全1000例\家庭暴力防治受理通报及保护令统计表.xls","家庭暴力防治受理通报及保护令统计表.xls")</f>
        <v>家庭暴力防治受理通报及保护令统计表.xls</v>
      </c>
      <c r="Q643">
        <v>0.02</v>
      </c>
      <c r="R643" s="7" t="str">
        <f t="shared" si="13"/>
        <v>E:\附赠：Excel模板\Excel实战技巧精粹：Excel模板大全1000例</v>
      </c>
      <c r="S643" s="9">
        <v>43600.3821412037</v>
      </c>
      <c r="T643" s="9">
        <v>43390.5142824074</v>
      </c>
    </row>
    <row r="644" spans="14:20">
      <c r="N644" s="7" t="str">
        <f>HYPERLINK("E:\附赠：Excel模板\Excel实战技巧精粹：Excel模板大全1000例\家庭经济困难大学新生公示名单.xls","家庭经济困难大学新生公示名单.xls")</f>
        <v>家庭经济困难大学新生公示名单.xls</v>
      </c>
      <c r="Q644">
        <v>0.04</v>
      </c>
      <c r="R644" s="7" t="str">
        <f t="shared" si="13"/>
        <v>E:\附赠：Excel模板\Excel实战技巧精粹：Excel模板大全1000例</v>
      </c>
      <c r="S644" s="9">
        <v>43600.3821412037</v>
      </c>
      <c r="T644" s="9">
        <v>43390.5142824074</v>
      </c>
    </row>
    <row r="645" spans="14:20">
      <c r="N645" s="7" t="str">
        <f>HYPERLINK("E:\附赠：Excel模板\Excel实战技巧精粹：Excel模板大全1000例\家庭经济困难学生免费申请汇总表.xls","家庭经济困难学生免费申请汇总表.xls")</f>
        <v>家庭经济困难学生免费申请汇总表.xls</v>
      </c>
      <c r="Q645">
        <v>0.02</v>
      </c>
      <c r="R645" s="7" t="str">
        <f t="shared" si="13"/>
        <v>E:\附赠：Excel模板\Excel实战技巧精粹：Excel模板大全1000例</v>
      </c>
      <c r="S645" s="9">
        <v>43600.3821412037</v>
      </c>
      <c r="T645" s="9">
        <v>43390.5142824074</v>
      </c>
    </row>
    <row r="646" spans="14:20">
      <c r="N646" s="7" t="str">
        <f>HYPERLINK("E:\附赠：Excel模板\Excel实战技巧精粹：Excel模板大全1000例\家庭经济困难学生资助申请表.xls","家庭经济困难学生资助申请表.xls")</f>
        <v>家庭经济困难学生资助申请表.xls</v>
      </c>
      <c r="Q646">
        <v>0.02</v>
      </c>
      <c r="R646" s="7" t="str">
        <f t="shared" si="13"/>
        <v>E:\附赠：Excel模板\Excel实战技巧精粹：Excel模板大全1000例</v>
      </c>
      <c r="S646" s="9">
        <v>43600.3821412037</v>
      </c>
      <c r="T646" s="9">
        <v>43390.5142824074</v>
      </c>
    </row>
    <row r="647" spans="14:20">
      <c r="N647" s="7" t="str">
        <f>HYPERLINK("E:\附赠：Excel模板\Excel实战技巧精粹：Excel模板大全1000例\家庭装修环境污染情况调查检测.xls","家庭装修环境污染情况调查检测.xls")</f>
        <v>家庭装修环境污染情况调查检测.xls</v>
      </c>
      <c r="Q647">
        <v>0.07</v>
      </c>
      <c r="R647" s="7" t="str">
        <f t="shared" si="13"/>
        <v>E:\附赠：Excel模板\Excel实战技巧精粹：Excel模板大全1000例</v>
      </c>
      <c r="S647" s="9">
        <v>43600.3821412037</v>
      </c>
      <c r="T647" s="9">
        <v>43390.5142592593</v>
      </c>
    </row>
    <row r="648" spans="14:20">
      <c r="N648" s="7" t="str">
        <f>HYPERLINK("E:\附赠：Excel模板\Excel实战技巧精粹：Excel模板大全1000例\家庭装璜情况明细报告表.xls","家庭装璜情况明细报告表.xls")</f>
        <v>家庭装璜情况明细报告表.xls</v>
      </c>
      <c r="Q648">
        <v>0.04</v>
      </c>
      <c r="R648" s="7" t="str">
        <f t="shared" si="13"/>
        <v>E:\附赠：Excel模板\Excel实战技巧精粹：Excel模板大全1000例</v>
      </c>
      <c r="S648" s="9">
        <v>43600.3821412037</v>
      </c>
      <c r="T648" s="9">
        <v>43390.5142592593</v>
      </c>
    </row>
    <row r="649" spans="14:20">
      <c r="N649" s="7" t="str">
        <f>HYPERLINK("E:\附赠：Excel模板\Excel实战技巧精粹：Excel模板大全1000例\寝室分配情况表.xls","寝室分配情况表.xls")</f>
        <v>寝室分配情况表.xls</v>
      </c>
      <c r="Q649">
        <v>0.02</v>
      </c>
      <c r="R649" s="7" t="str">
        <f t="shared" si="13"/>
        <v>E:\附赠：Excel模板\Excel实战技巧精粹：Excel模板大全1000例</v>
      </c>
      <c r="S649" s="9">
        <v>43600.3821412037</v>
      </c>
      <c r="T649" s="9">
        <v>43390.5139814815</v>
      </c>
    </row>
    <row r="650" spans="14:20">
      <c r="N650" s="7" t="str">
        <f>HYPERLINK("E:\附赠：Excel模板\Excel实战技巧精粹：Excel模板大全1000例\对外承包工程项目及银行贷款付息一览表.xls","对外承包工程项目及银行贷款付息一览表.xls")</f>
        <v>对外承包工程项目及银行贷款付息一览表.xls</v>
      </c>
      <c r="Q650">
        <v>0.02</v>
      </c>
      <c r="R650" s="7" t="str">
        <f t="shared" si="13"/>
        <v>E:\附赠：Excel模板\Excel实战技巧精粹：Excel模板大全1000例</v>
      </c>
      <c r="S650" s="9">
        <v>43600.3821412037</v>
      </c>
      <c r="T650" s="9">
        <v>43390.5144675926</v>
      </c>
    </row>
    <row r="651" spans="14:20">
      <c r="N651" s="7" t="str">
        <f>HYPERLINK("E:\附赠：Excel模板\Excel实战技巧精粹：Excel模板大全1000例\对外承包工程项目贷款贴息初审汇总表.xls","对外承包工程项目贷款贴息初审汇总表.xls")</f>
        <v>对外承包工程项目贷款贴息初审汇总表.xls</v>
      </c>
      <c r="Q651">
        <v>0.02</v>
      </c>
      <c r="R651" s="7" t="str">
        <f t="shared" si="13"/>
        <v>E:\附赠：Excel模板\Excel实战技巧精粹：Excel模板大全1000例</v>
      </c>
      <c r="S651" s="9">
        <v>43600.3821412037</v>
      </c>
      <c r="T651" s="9">
        <v>43390.5144675926</v>
      </c>
    </row>
    <row r="652" spans="14:20">
      <c r="N652" s="7" t="str">
        <f>HYPERLINK("E:\附赠：Excel模板\Excel实战技巧精粹：Excel模板大全1000例\对外投资调查表.xls","对外投资调查表.xls")</f>
        <v>对外投资调查表.xls</v>
      </c>
      <c r="Q652">
        <v>0.02</v>
      </c>
      <c r="R652" s="7" t="str">
        <f t="shared" si="13"/>
        <v>E:\附赠：Excel模板\Excel实战技巧精粹：Excel模板大全1000例</v>
      </c>
      <c r="S652" s="9">
        <v>43600.3821412037</v>
      </c>
      <c r="T652" s="9">
        <v>43390.5144675926</v>
      </c>
    </row>
    <row r="653" spans="14:20">
      <c r="N653" s="7" t="str">
        <f>HYPERLINK("E:\附赠：Excel模板\Excel实战技巧精粹：Excel模板大全1000例\对外经济合作企业补充指标表.xls","对外经济合作企业补充指标表.xls")</f>
        <v>对外经济合作企业补充指标表.xls</v>
      </c>
      <c r="Q653">
        <v>0.02</v>
      </c>
      <c r="R653" s="7" t="str">
        <f t="shared" si="13"/>
        <v>E:\附赠：Excel模板\Excel实战技巧精粹：Excel模板大全1000例</v>
      </c>
      <c r="S653" s="9">
        <v>43600.3821412037</v>
      </c>
      <c r="T653" s="9">
        <v>43390.5144675926</v>
      </c>
    </row>
    <row r="654" spans="14:20">
      <c r="N654" s="7" t="str">
        <f>HYPERLINK("E:\附赠：Excel模板\Excel实战技巧精粹：Excel模板大全1000例\小区IP地址分配表.xls","小区IP地址分配表.xls")</f>
        <v>小区IP地址分配表.xls</v>
      </c>
      <c r="Q654">
        <v>0.02</v>
      </c>
      <c r="R654" s="7" t="str">
        <f t="shared" si="13"/>
        <v>E:\附赠：Excel模板\Excel实战技巧精粹：Excel模板大全1000例</v>
      </c>
      <c r="S654" s="9">
        <v>43600.3821412037</v>
      </c>
      <c r="T654" s="9">
        <v>43390.5136805556</v>
      </c>
    </row>
    <row r="655" spans="14:20">
      <c r="N655" s="7" t="str">
        <f>HYPERLINK("E:\附赠：Excel模板\Excel实战技巧精粹：Excel模板大全1000例\小型水利体制改革完成情况统计表.xls","小型水利体制改革完成情况统计表.xls")</f>
        <v>小型水利体制改革完成情况统计表.xls</v>
      </c>
      <c r="Q655">
        <v>0.02</v>
      </c>
      <c r="R655" s="7" t="str">
        <f t="shared" si="13"/>
        <v>E:\附赠：Excel模板\Excel实战技巧精粹：Excel模板大全1000例</v>
      </c>
      <c r="S655" s="9">
        <v>43600.3821412037</v>
      </c>
      <c r="T655" s="9">
        <v>43390.5136805556</v>
      </c>
    </row>
    <row r="656" spans="14:20">
      <c r="N656" s="7" t="str">
        <f>HYPERLINK("E:\附赠：Excel模板\Excel实战技巧精粹：Excel模板大全1000例\局年度录用计划表.xls","局年度录用计划表.xls")</f>
        <v>局年度录用计划表.xls</v>
      </c>
      <c r="Q656">
        <v>0.02</v>
      </c>
      <c r="R656" s="7" t="str">
        <f t="shared" si="13"/>
        <v>E:\附赠：Excel模板\Excel实战技巧精粹：Excel模板大全1000例</v>
      </c>
      <c r="S656" s="9">
        <v>43600.3821412037</v>
      </c>
      <c r="T656" s="9">
        <v>43390.5141898148</v>
      </c>
    </row>
    <row r="657" spans="14:20">
      <c r="N657" s="7" t="str">
        <f>HYPERLINK("E:\附赠：Excel模板\Excel实战技巧精粹：Excel模板大全1000例\履歷表.xls","履歷表.xls")</f>
        <v>履歷表.xls</v>
      </c>
      <c r="Q657">
        <v>0.02</v>
      </c>
      <c r="R657" s="7" t="str">
        <f t="shared" si="13"/>
        <v>E:\附赠：Excel模板\Excel实战技巧精粹：Excel模板大全1000例</v>
      </c>
      <c r="S657" s="9">
        <v>43600.3821412037</v>
      </c>
      <c r="T657" s="9">
        <v>43390.5140972222</v>
      </c>
    </row>
    <row r="658" spans="14:20">
      <c r="N658" s="7" t="str">
        <f>HYPERLINK("E:\附赠：Excel模板\Excel实战技巧精粹：Excel模板大全1000例\工业企业技改项目调查表（财务会计情况）.xls","工业企业技改项目调查表（财务会计情况）.xls")</f>
        <v>工业企业技改项目调查表（财务会计情况）.xls</v>
      </c>
      <c r="Q658">
        <v>0.02</v>
      </c>
      <c r="R658" s="7" t="str">
        <f t="shared" si="13"/>
        <v>E:\附赠：Excel模板\Excel实战技巧精粹：Excel模板大全1000例</v>
      </c>
      <c r="S658" s="9">
        <v>43600.3821412037</v>
      </c>
      <c r="T658" s="9">
        <v>43390.5144212963</v>
      </c>
    </row>
    <row r="659" spans="14:20">
      <c r="N659" s="7" t="str">
        <f>HYPERLINK("E:\附赠：Excel模板\Excel实战技巧精粹：Excel模板大全1000例\工业企业技术改造财政奖励资助资金申请表.xls","工业企业技术改造财政奖励资助资金申请表.xls")</f>
        <v>工业企业技术改造财政奖励资助资金申请表.xls</v>
      </c>
      <c r="Q659">
        <v>0.02</v>
      </c>
      <c r="R659" s="7" t="str">
        <f t="shared" si="13"/>
        <v>E:\附赠：Excel模板\Excel实战技巧精粹：Excel模板大全1000例</v>
      </c>
      <c r="S659" s="9">
        <v>43600.3821412037</v>
      </c>
      <c r="T659" s="9">
        <v>43390.5144212963</v>
      </c>
    </row>
    <row r="660" spans="14:20">
      <c r="N660" s="7" t="str">
        <f>HYPERLINK("E:\附赠：Excel模板\Excel实战技巧精粹：Excel模板大全1000例\工业企业技术改造财政资助资金申请表.xls","工业企业技术改造财政资助资金申请表.xls")</f>
        <v>工业企业技术改造财政资助资金申请表.xls</v>
      </c>
      <c r="Q660">
        <v>0.02</v>
      </c>
      <c r="R660" s="7" t="str">
        <f t="shared" si="13"/>
        <v>E:\附赠：Excel模板\Excel实战技巧精粹：Excel模板大全1000例</v>
      </c>
      <c r="S660" s="9">
        <v>43600.3821412037</v>
      </c>
      <c r="T660" s="9">
        <v>43390.5144212963</v>
      </c>
    </row>
    <row r="661" spans="14:20">
      <c r="N661" s="7" t="str">
        <f>HYPERLINK("E:\附赠：Excel模板\Excel实战技巧精粹：Excel模板大全1000例\工作人员基本情况登记表.xls","工作人员基本情况登记表.xls")</f>
        <v>工作人员基本情况登记表.xls</v>
      </c>
      <c r="Q661">
        <v>0.02</v>
      </c>
      <c r="R661" s="7" t="str">
        <f t="shared" si="13"/>
        <v>E:\附赠：Excel模板\Excel实战技巧精粹：Excel模板大全1000例</v>
      </c>
      <c r="S661" s="9">
        <v>43600.3821412037</v>
      </c>
      <c r="T661" s="9">
        <v>43390.5143981481</v>
      </c>
    </row>
    <row r="662" spans="14:20">
      <c r="N662" s="7" t="str">
        <f>HYPERLINK("E:\附赠：Excel模板\Excel实战技巧精粹：Excel模板大全1000例\工作計劃財務報表(樣本).xls","工作計劃財務報表(樣本).xls")</f>
        <v>工作計劃財務報表(樣本).xls</v>
      </c>
      <c r="Q662">
        <v>0.03</v>
      </c>
      <c r="R662" s="7" t="str">
        <f t="shared" si="13"/>
        <v>E:\附赠：Excel模板\Excel实战技巧精粹：Excel模板大全1000例</v>
      </c>
      <c r="S662" s="9">
        <v>43600.3821412037</v>
      </c>
      <c r="T662" s="9">
        <v>43390.5143981481</v>
      </c>
    </row>
    <row r="663" spans="14:20">
      <c r="N663" s="7" t="str">
        <f>HYPERLINK("E:\附赠：Excel模板\Excel实战技巧精粹：Excel模板大全1000例\工商司会计报表.xls","工商司会计报表.xls")</f>
        <v>工商司会计报表.xls</v>
      </c>
      <c r="Q663">
        <v>0.08</v>
      </c>
      <c r="R663" s="7" t="str">
        <f t="shared" ref="R663:R726" si="14">HYPERLINK("E:\附赠：Excel模板\Excel实战技巧精粹：Excel模板大全1000例","E:\附赠：Excel模板\Excel实战技巧精粹：Excel模板大全1000例")</f>
        <v>E:\附赠：Excel模板\Excel实战技巧精粹：Excel模板大全1000例</v>
      </c>
      <c r="S663" s="9">
        <v>43600.3821412037</v>
      </c>
      <c r="T663" s="9">
        <v>43390.5144212963</v>
      </c>
    </row>
    <row r="664" spans="14:20">
      <c r="N664" s="7" t="str">
        <f>HYPERLINK("E:\附赠：Excel模板\Excel实战技巧精粹：Excel模板大全1000例\工商管理双学位专业毕业论文选题.xls","工商管理双学位专业毕业论文选题.xls")</f>
        <v>工商管理双学位专业毕业论文选题.xls</v>
      </c>
      <c r="Q664">
        <v>0.03</v>
      </c>
      <c r="R664" s="7" t="str">
        <f t="shared" si="14"/>
        <v>E:\附赠：Excel模板\Excel实战技巧精粹：Excel模板大全1000例</v>
      </c>
      <c r="S664" s="9">
        <v>43600.3821412037</v>
      </c>
      <c r="T664" s="9">
        <v>43390.5144212963</v>
      </c>
    </row>
    <row r="665" spans="14:20">
      <c r="N665" s="7" t="str">
        <f>HYPERLINK("E:\附赠：Excel模板\Excel实战技巧精粹：Excel模板大全1000例\工商管理硕士（MBA）课程表.xls","工商管理硕士（MBA）课程表.xls")</f>
        <v>工商管理硕士（MBA）课程表.xls</v>
      </c>
      <c r="Q665">
        <v>0.06</v>
      </c>
      <c r="R665" s="7" t="str">
        <f t="shared" si="14"/>
        <v>E:\附赠：Excel模板\Excel实战技巧精粹：Excel模板大全1000例</v>
      </c>
      <c r="S665" s="9">
        <v>43600.3821412037</v>
      </c>
      <c r="T665" s="9">
        <v>43390.5144212963</v>
      </c>
    </row>
    <row r="666" spans="14:20">
      <c r="N666" s="7" t="str">
        <f>HYPERLINK("E:\附赠：Excel模板\Excel实战技巧精粹：Excel模板大全1000例\工程立项情况表.xls","工程立项情况表.xls")</f>
        <v>工程立项情况表.xls</v>
      </c>
      <c r="Q666">
        <v>0.02</v>
      </c>
      <c r="R666" s="7" t="str">
        <f t="shared" si="14"/>
        <v>E:\附赠：Excel模板\Excel实战技巧精粹：Excel模板大全1000例</v>
      </c>
      <c r="S666" s="9">
        <v>43600.3821412037</v>
      </c>
      <c r="T666" s="9">
        <v>43390.5144212963</v>
      </c>
    </row>
    <row r="667" spans="14:20">
      <c r="N667" s="7" t="str">
        <f>HYPERLINK("E:\附赠：Excel模板\Excel实战技巧精粹：Excel模板大全1000例\工艺卡.xls","工艺卡.xls")</f>
        <v>工艺卡.xls</v>
      </c>
      <c r="Q667">
        <v>0.08</v>
      </c>
      <c r="R667" s="7" t="str">
        <f t="shared" si="14"/>
        <v>E:\附赠：Excel模板\Excel实战技巧精粹：Excel模板大全1000例</v>
      </c>
      <c r="S667" s="9">
        <v>43600.3821412037</v>
      </c>
      <c r="T667" s="9">
        <v>43390.5143981481</v>
      </c>
    </row>
    <row r="668" spans="14:20">
      <c r="N668" s="7" t="str">
        <f>HYPERLINK("E:\附赠：Excel模板\Excel实战技巧精粹：Excel模板大全1000例\工资.xls","工资.xls")</f>
        <v>工资.xls</v>
      </c>
      <c r="Q668">
        <v>0.02</v>
      </c>
      <c r="R668" s="7" t="str">
        <f t="shared" si="14"/>
        <v>E:\附赠：Excel模板\Excel实战技巧精粹：Excel模板大全1000例</v>
      </c>
      <c r="S668" s="9">
        <v>43600.3821412037</v>
      </c>
      <c r="T668" s="9">
        <v>43390.5143981481</v>
      </c>
    </row>
    <row r="669" spans="14:20">
      <c r="N669" s="7" t="str">
        <f>HYPERLINK("E:\附赠：Excel模板\Excel实战技巧精粹：Excel模板大全1000例\工资晋档.xls","工资晋档.xls")</f>
        <v>工资晋档.xls</v>
      </c>
      <c r="Q669">
        <v>0.09</v>
      </c>
      <c r="R669" s="7" t="str">
        <f t="shared" si="14"/>
        <v>E:\附赠：Excel模板\Excel实战技巧精粹：Excel模板大全1000例</v>
      </c>
      <c r="S669" s="9">
        <v>43600.3821412037</v>
      </c>
      <c r="T669" s="9">
        <v>43390.5143981481</v>
      </c>
    </row>
    <row r="670" spans="14:20">
      <c r="N670" s="7" t="str">
        <f>HYPERLINK("E:\附赠：Excel模板\Excel实战技巧精粹：Excel模板大全1000例\差旅费预支申请.xls","差旅费预支申请.xls")</f>
        <v>差旅费预支申请.xls</v>
      </c>
      <c r="Q670">
        <v>0.02</v>
      </c>
      <c r="R670" s="7" t="str">
        <f t="shared" si="14"/>
        <v>E:\附赠：Excel模板\Excel实战技巧精粹：Excel模板大全1000例</v>
      </c>
      <c r="S670" s="9">
        <v>43600.3821412037</v>
      </c>
      <c r="T670" s="9">
        <v>43390.5146064815</v>
      </c>
    </row>
    <row r="671" spans="14:20">
      <c r="N671" s="7" t="str">
        <f>HYPERLINK("E:\附赠：Excel模板\Excel实战技巧精粹：Excel模板大全1000例\已出版本科教材及教学参考书一览表.xls","已出版本科教材及教学参考书一览表.xls")</f>
        <v>已出版本科教材及教学参考书一览表.xls</v>
      </c>
      <c r="Q671">
        <v>0.02</v>
      </c>
      <c r="R671" s="7" t="str">
        <f t="shared" si="14"/>
        <v>E:\附赠：Excel模板\Excel实战技巧精粹：Excel模板大全1000例</v>
      </c>
      <c r="S671" s="9">
        <v>43600.3821412037</v>
      </c>
      <c r="T671" s="9">
        <v>43390.5135416667</v>
      </c>
    </row>
    <row r="672" spans="14:20">
      <c r="N672" s="7" t="str">
        <f>HYPERLINK("E:\附赠：Excel模板\Excel实战技巧精粹：Excel模板大全1000例\已批项目一览表.xls","已批项目一览表.xls")</f>
        <v>已批项目一览表.xls</v>
      </c>
      <c r="Q672">
        <v>0.43</v>
      </c>
      <c r="R672" s="7" t="str">
        <f t="shared" si="14"/>
        <v>E:\附赠：Excel模板\Excel实战技巧精粹：Excel模板大全1000例</v>
      </c>
      <c r="S672" s="9">
        <v>43600.3821412037</v>
      </c>
      <c r="T672" s="9">
        <v>43390.5135416667</v>
      </c>
    </row>
    <row r="673" spans="14:20">
      <c r="N673" s="7" t="str">
        <f>HYPERLINK("E:\附赠：Excel模板\Excel实战技巧精粹：Excel模板大全1000例\市(县)中小学校规范管理工作检查指标.xls","市(县)中小学校规范管理工作检查指标.xls")</f>
        <v>市(县)中小学校规范管理工作检查指标.xls</v>
      </c>
      <c r="Q673">
        <v>0.03</v>
      </c>
      <c r="R673" s="7" t="str">
        <f t="shared" si="14"/>
        <v>E:\附赠：Excel模板\Excel实战技巧精粹：Excel模板大全1000例</v>
      </c>
      <c r="S673" s="9">
        <v>43600.3821412037</v>
      </c>
      <c r="T673" s="9">
        <v>43390.5138657407</v>
      </c>
    </row>
    <row r="674" spans="14:20">
      <c r="N674" s="7" t="str">
        <f>HYPERLINK("E:\附赠：Excel模板\Excel实战技巧精粹：Excel模板大全1000例\市(县)免费入学申报表.xls","市(县)免费入学申报表.xls")</f>
        <v>市(县)免费入学申报表.xls</v>
      </c>
      <c r="Q674">
        <v>0.02</v>
      </c>
      <c r="R674" s="7" t="str">
        <f t="shared" si="14"/>
        <v>E:\附赠：Excel模板\Excel实战技巧精粹：Excel模板大全1000例</v>
      </c>
      <c r="S674" s="9">
        <v>43600.3821412037</v>
      </c>
      <c r="T674" s="9">
        <v>43390.5138657407</v>
      </c>
    </row>
    <row r="675" spans="14:20">
      <c r="N675" s="7" t="str">
        <f>HYPERLINK("E:\附赠：Excel模板\Excel实战技巧精粹：Excel模板大全1000例\市(县)贫困生享受免费教育学生汇总表.xls","市(县)贫困生享受免费教育学生汇总表.xls")</f>
        <v>市(县)贫困生享受免费教育学生汇总表.xls</v>
      </c>
      <c r="Q675">
        <v>0.02</v>
      </c>
      <c r="R675" s="7" t="str">
        <f t="shared" si="14"/>
        <v>E:\附赠：Excel模板\Excel实战技巧精粹：Excel模板大全1000例</v>
      </c>
      <c r="S675" s="9">
        <v>43600.3821412037</v>
      </c>
      <c r="T675" s="9">
        <v>43390.5138657407</v>
      </c>
    </row>
    <row r="676" spans="14:20">
      <c r="N676" s="7" t="str">
        <f>HYPERLINK("E:\附赠：Excel模板\Excel实战技巧精粹：Excel模板大全1000例\市公共車船管理處財務狀況.xls","市公共車船管理處財務狀況.xls")</f>
        <v>市公共車船管理處財務狀況.xls</v>
      </c>
      <c r="Q676">
        <v>0.06</v>
      </c>
      <c r="R676" s="7" t="str">
        <f t="shared" si="14"/>
        <v>E:\附赠：Excel模板\Excel实战技巧精粹：Excel模板大全1000例</v>
      </c>
      <c r="S676" s="9">
        <v>43600.3821412037</v>
      </c>
      <c r="T676" s="9">
        <v>43390.5138425926</v>
      </c>
    </row>
    <row r="677" spans="14:20">
      <c r="N677" s="7" t="str">
        <f>HYPERLINK("E:\附赠：Excel模板\Excel实战技巧精粹：Excel模板大全1000例\市公安局面向应届毕业生招考人民警察报名表.xls","市公安局面向应届毕业生招考人民警察报名表.xls")</f>
        <v>市公安局面向应届毕业生招考人民警察报名表.xls</v>
      </c>
      <c r="Q677">
        <v>0.02</v>
      </c>
      <c r="R677" s="7" t="str">
        <f t="shared" si="14"/>
        <v>E:\附赠：Excel模板\Excel实战技巧精粹：Excel模板大全1000例</v>
      </c>
      <c r="S677" s="9">
        <v>43600.3821412037</v>
      </c>
      <c r="T677" s="9">
        <v>43390.5138657407</v>
      </c>
    </row>
    <row r="678" spans="14:20">
      <c r="N678" s="7" t="str">
        <f>HYPERLINK("E:\附赠：Excel模板\Excel实战技巧精粹：Excel模板大全1000例\市区获准运营客车号牌.xls","市区获准运营客车号牌.xls")</f>
        <v>市区获准运营客车号牌.xls</v>
      </c>
      <c r="Q678">
        <v>0.02</v>
      </c>
      <c r="R678" s="7" t="str">
        <f t="shared" si="14"/>
        <v>E:\附赠：Excel模板\Excel实战技巧精粹：Excel模板大全1000例</v>
      </c>
      <c r="S678" s="9">
        <v>43600.3821412037</v>
      </c>
      <c r="T678" s="9">
        <v>43390.5138425926</v>
      </c>
    </row>
    <row r="679" spans="14:20">
      <c r="N679" s="7" t="str">
        <f>HYPERLINK("E:\附赠：Excel模板\Excel实战技巧精粹：Excel模板大全1000例\市国税局目标管理考核内容及标准.xls","市国税局目标管理考核内容及标准.xls")</f>
        <v>市国税局目标管理考核内容及标准.xls</v>
      </c>
      <c r="Q679">
        <v>0.02</v>
      </c>
      <c r="R679" s="7" t="str">
        <f t="shared" si="14"/>
        <v>E:\附赠：Excel模板\Excel实战技巧精粹：Excel模板大全1000例</v>
      </c>
      <c r="S679" s="9">
        <v>43600.3821412037</v>
      </c>
      <c r="T679" s="9">
        <v>43390.5138425926</v>
      </c>
    </row>
    <row r="680" spans="14:20">
      <c r="N680" s="7" t="str">
        <f>HYPERLINK("E:\附赠：Excel模板\Excel实战技巧精粹：Excel模板大全1000例\市场信息.xls","市场信息.xls")</f>
        <v>市场信息.xls</v>
      </c>
      <c r="Q680">
        <v>0.01</v>
      </c>
      <c r="R680" s="7" t="str">
        <f t="shared" si="14"/>
        <v>E:\附赠：Excel模板\Excel实战技巧精粹：Excel模板大全1000例</v>
      </c>
      <c r="S680" s="9">
        <v>43600.3821412037</v>
      </c>
      <c r="T680" s="9">
        <v>43390.5138657407</v>
      </c>
    </row>
    <row r="681" spans="14:20">
      <c r="N681" s="7" t="str">
        <f>HYPERLINK("E:\附赠：Excel模板\Excel实战技巧精粹：Excel模板大全1000例\市场推广费用明细表.xls","市场推广费用明细表.xls")</f>
        <v>市场推广费用明细表.xls</v>
      </c>
      <c r="Q681">
        <v>0.02</v>
      </c>
      <c r="R681" s="7" t="str">
        <f t="shared" si="14"/>
        <v>E:\附赠：Excel模板\Excel实战技巧精粹：Excel模板大全1000例</v>
      </c>
      <c r="S681" s="9">
        <v>43600.3821412037</v>
      </c>
      <c r="T681" s="9">
        <v>43390.5138657407</v>
      </c>
    </row>
    <row r="682" spans="14:20">
      <c r="N682" s="7" t="str">
        <f>HYPERLINK("E:\附赠：Excel模板\Excel实战技巧精粹：Excel模板大全1000例\市基本建设项目申报表.xls","市基本建设项目申报表.xls")</f>
        <v>市基本建设项目申报表.xls</v>
      </c>
      <c r="Q682">
        <v>0.02</v>
      </c>
      <c r="R682" s="7" t="str">
        <f t="shared" si="14"/>
        <v>E:\附赠：Excel模板\Excel实战技巧精粹：Excel模板大全1000例</v>
      </c>
      <c r="S682" s="9">
        <v>43600.3821412037</v>
      </c>
      <c r="T682" s="9">
        <v>43390.5138425926</v>
      </c>
    </row>
    <row r="683" spans="14:20">
      <c r="N683" s="7" t="str">
        <f>HYPERLINK("E:\附赠：Excel模板\Excel实战技巧精粹：Excel模板大全1000例\市容环境卫生情况统计表.xls","市容环境卫生情况统计表.xls")</f>
        <v>市容环境卫生情况统计表.xls</v>
      </c>
      <c r="Q683">
        <v>0.03</v>
      </c>
      <c r="R683" s="7" t="str">
        <f t="shared" si="14"/>
        <v>E:\附赠：Excel模板\Excel实战技巧精粹：Excel模板大全1000例</v>
      </c>
      <c r="S683" s="9">
        <v>43600.3821412037</v>
      </c>
      <c r="T683" s="9">
        <v>43390.5138425926</v>
      </c>
    </row>
    <row r="684" spans="14:20">
      <c r="N684" s="7" t="str">
        <f>HYPERLINK("E:\附赠：Excel模板\Excel实战技巧精粹：Excel模板大全1000例\市工业重点技术创新项目指导性计划.xls","市工业重点技术创新项目指导性计划.xls")</f>
        <v>市工业重点技术创新项目指导性计划.xls</v>
      </c>
      <c r="Q684">
        <v>0.02</v>
      </c>
      <c r="R684" s="7" t="str">
        <f t="shared" si="14"/>
        <v>E:\附赠：Excel模板\Excel实战技巧精粹：Excel模板大全1000例</v>
      </c>
      <c r="S684" s="9">
        <v>43600.3821412037</v>
      </c>
      <c r="T684" s="9">
        <v>43390.5138657407</v>
      </c>
    </row>
    <row r="685" spans="14:20">
      <c r="N685" s="7" t="str">
        <f>HYPERLINK("E:\附赠：Excel模板\Excel实战技巧精粹：Excel模板大全1000例\市政工程监督公示授牌单位.xls","市政工程监督公示授牌单位.xls")</f>
        <v>市政工程监督公示授牌单位.xls</v>
      </c>
      <c r="Q685">
        <v>0.03</v>
      </c>
      <c r="R685" s="7" t="str">
        <f t="shared" si="14"/>
        <v>E:\附赠：Excel模板\Excel实战技巧精粹：Excel模板大全1000例</v>
      </c>
      <c r="S685" s="9">
        <v>43600.3821412037</v>
      </c>
      <c r="T685" s="9">
        <v>43390.5138425926</v>
      </c>
    </row>
    <row r="686" spans="14:20">
      <c r="N686" s="7" t="str">
        <f>HYPERLINK("E:\附赠：Excel模板\Excel实战技巧精粹：Excel模板大全1000例\市政府集中采购执行计划审批表.xls","市政府集中采购执行计划审批表.xls")</f>
        <v>市政府集中采购执行计划审批表.xls</v>
      </c>
      <c r="Q686">
        <v>0.02</v>
      </c>
      <c r="R686" s="7" t="str">
        <f t="shared" si="14"/>
        <v>E:\附赠：Excel模板\Excel实战技巧精粹：Excel模板大全1000例</v>
      </c>
      <c r="S686" s="9">
        <v>43600.3821412037</v>
      </c>
      <c r="T686" s="9">
        <v>43390.5138425926</v>
      </c>
    </row>
    <row r="687" spans="14:20">
      <c r="N687" s="7" t="str">
        <f>HYPERLINK("E:\附赠：Excel模板\Excel实战技巧精粹：Excel模板大全1000例\市政府集中采购计划表.xls","市政府集中采购计划表.xls")</f>
        <v>市政府集中采购计划表.xls</v>
      </c>
      <c r="Q687">
        <v>0.02</v>
      </c>
      <c r="R687" s="7" t="str">
        <f t="shared" si="14"/>
        <v>E:\附赠：Excel模板\Excel实战技巧精粹：Excel模板大全1000例</v>
      </c>
      <c r="S687" s="9">
        <v>43600.3821412037</v>
      </c>
      <c r="T687" s="9">
        <v>43390.5138425926</v>
      </c>
    </row>
    <row r="688" spans="14:20">
      <c r="N688" s="7" t="str">
        <f>HYPERLINK("E:\附赠：Excel模板\Excel实战技巧精粹：Excel模板大全1000例\市旅游业重点项目一览表.xls","市旅游业重点项目一览表.xls")</f>
        <v>市旅游业重点项目一览表.xls</v>
      </c>
      <c r="Q688">
        <v>0.03</v>
      </c>
      <c r="R688" s="7" t="str">
        <f t="shared" si="14"/>
        <v>E:\附赠：Excel模板\Excel实战技巧精粹：Excel模板大全1000例</v>
      </c>
      <c r="S688" s="9">
        <v>43600.3821412037</v>
      </c>
      <c r="T688" s="9">
        <v>43390.5138425926</v>
      </c>
    </row>
    <row r="689" spans="14:20">
      <c r="N689" s="7" t="str">
        <f>HYPERLINK("E:\附赠：Excel模板\Excel实战技巧精粹：Excel模板大全1000例\市本级基本建设支出预算表.xls","市本级基本建设支出预算表.xls")</f>
        <v>市本级基本建设支出预算表.xls</v>
      </c>
      <c r="Q689">
        <v>0.02</v>
      </c>
      <c r="R689" s="7" t="str">
        <f t="shared" si="14"/>
        <v>E:\附赠：Excel模板\Excel实战技巧精粹：Excel模板大全1000例</v>
      </c>
      <c r="S689" s="9">
        <v>43600.3821412037</v>
      </c>
      <c r="T689" s="9">
        <v>43390.5138657407</v>
      </c>
    </row>
    <row r="690" spans="14:20">
      <c r="N690" s="7" t="str">
        <f>HYPERLINK("E:\附赠：Excel模板\Excel实战技巧精粹：Excel模板大全1000例\市机关事业单位车辆保险申请表.xls","市机关事业单位车辆保险申请表.xls")</f>
        <v>市机关事业单位车辆保险申请表.xls</v>
      </c>
      <c r="Q690">
        <v>0.02</v>
      </c>
      <c r="R690" s="7" t="str">
        <f t="shared" si="14"/>
        <v>E:\附赠：Excel模板\Excel实战技巧精粹：Excel模板大全1000例</v>
      </c>
      <c r="S690" s="9">
        <v>43600.3821412037</v>
      </c>
      <c r="T690" s="9">
        <v>43390.5138425926</v>
      </c>
    </row>
    <row r="691" spans="14:20">
      <c r="N691" s="7" t="str">
        <f>HYPERLINK("E:\附赠：Excel模板\Excel实战技巧精粹：Excel模板大全1000例\市直行政事业单位基本信息表.xls","市直行政事业单位基本信息表.xls")</f>
        <v>市直行政事业单位基本信息表.xls</v>
      </c>
      <c r="Q691">
        <v>0.02</v>
      </c>
      <c r="R691" s="7" t="str">
        <f t="shared" si="14"/>
        <v>E:\附赠：Excel模板\Excel实战技巧精粹：Excel模板大全1000例</v>
      </c>
      <c r="S691" s="9">
        <v>43600.3821412037</v>
      </c>
      <c r="T691" s="9">
        <v>43390.5138425926</v>
      </c>
    </row>
    <row r="692" spans="14:20">
      <c r="N692" s="7" t="str">
        <f>HYPERLINK("E:\附赠：Excel模板\Excel实战技巧精粹：Excel模板大全1000例\市直财政基金预算收支决算总表.xls","市直财政基金预算收支决算总表.xls")</f>
        <v>市直财政基金预算收支决算总表.xls</v>
      </c>
      <c r="Q692">
        <v>0.02</v>
      </c>
      <c r="R692" s="7" t="str">
        <f t="shared" si="14"/>
        <v>E:\附赠：Excel模板\Excel实战技巧精粹：Excel模板大全1000例</v>
      </c>
      <c r="S692" s="9">
        <v>43600.3821412037</v>
      </c>
      <c r="T692" s="9">
        <v>43390.5138425926</v>
      </c>
    </row>
    <row r="693" spans="14:20">
      <c r="N693" s="7" t="str">
        <f>HYPERLINK("E:\附赠：Excel模板\Excel实战技巧精粹：Excel模板大全1000例\市级基本建设投资项目预算表.xls","市级基本建设投资项目预算表.xls")</f>
        <v>市级基本建设投资项目预算表.xls</v>
      </c>
      <c r="Q693">
        <v>0.02</v>
      </c>
      <c r="R693" s="7" t="str">
        <f t="shared" si="14"/>
        <v>E:\附赠：Excel模板\Excel实战技巧精粹：Excel模板大全1000例</v>
      </c>
      <c r="S693" s="9">
        <v>43600.3821412037</v>
      </c>
      <c r="T693" s="9">
        <v>43390.5138425926</v>
      </c>
    </row>
    <row r="694" spans="14:20">
      <c r="N694" s="7" t="str">
        <f>HYPERLINK("E:\附赠：Excel模板\Excel实战技巧精粹：Excel模板大全1000例\市级机关目标管理奖金审批单.xls","市级机关目标管理奖金审批单.xls")</f>
        <v>市级机关目标管理奖金审批单.xls</v>
      </c>
      <c r="Q694">
        <v>0.02</v>
      </c>
      <c r="R694" s="7" t="str">
        <f t="shared" si="14"/>
        <v>E:\附赠：Excel模板\Excel实战技巧精粹：Excel模板大全1000例</v>
      </c>
      <c r="S694" s="9">
        <v>43600.3821412037</v>
      </c>
      <c r="T694" s="9">
        <v>43390.5138425926</v>
      </c>
    </row>
    <row r="695" spans="14:20">
      <c r="N695" s="7" t="str">
        <f>HYPERLINK("E:\附赠：Excel模板\Excel实战技巧精粹：Excel模板大全1000例\市节水灌溉发展情况统计表.xls","市节水灌溉发展情况统计表.xls")</f>
        <v>市节水灌溉发展情况统计表.xls</v>
      </c>
      <c r="Q695">
        <v>0.02</v>
      </c>
      <c r="R695" s="7" t="str">
        <f t="shared" si="14"/>
        <v>E:\附赠：Excel模板\Excel实战技巧精粹：Excel模板大全1000例</v>
      </c>
      <c r="S695" s="9">
        <v>43600.3821412037</v>
      </c>
      <c r="T695" s="9">
        <v>43390.5138425926</v>
      </c>
    </row>
    <row r="696" spans="14:20">
      <c r="N696" s="7" t="str">
        <f>HYPERLINK("E:\附赠：Excel模板\Excel实战技巧精粹：Excel模板大全1000例\平时作业抽查上报名单.xls","平时作业抽查上报名单.xls")</f>
        <v>平时作业抽查上报名单.xls</v>
      </c>
      <c r="Q696">
        <v>0.02</v>
      </c>
      <c r="R696" s="7" t="str">
        <f t="shared" si="14"/>
        <v>E:\附赠：Excel模板\Excel实战技巧精粹：Excel模板大全1000例</v>
      </c>
      <c r="S696" s="9">
        <v>43600.3821412037</v>
      </c>
      <c r="T696" s="9">
        <v>43390.5140277778</v>
      </c>
    </row>
    <row r="697" spans="14:20">
      <c r="N697" s="7" t="str">
        <f>HYPERLINK("E:\附赠：Excel模板\Excel实战技巧精粹：Excel模板大全1000例\平衡计分卡项目总结表.xls","平衡计分卡项目总结表.xls")</f>
        <v>平衡计分卡项目总结表.xls</v>
      </c>
      <c r="Q697">
        <v>0.02</v>
      </c>
      <c r="R697" s="7" t="str">
        <f t="shared" si="14"/>
        <v>E:\附赠：Excel模板\Excel实战技巧精粹：Excel模板大全1000例</v>
      </c>
      <c r="S697" s="9">
        <v>43600.3821412037</v>
      </c>
      <c r="T697" s="9">
        <v>43390.5140277778</v>
      </c>
    </row>
    <row r="698" spans="14:20">
      <c r="N698" s="7" t="str">
        <f>HYPERLINK("E:\附赠：Excel模板\Excel实战技巧精粹：Excel模板大全1000例\平衡计分卡项目指标滞后领先比较.xls","平衡计分卡项目指标滞后领先比较.xls")</f>
        <v>平衡计分卡项目指标滞后领先比较.xls</v>
      </c>
      <c r="Q698">
        <v>0.02</v>
      </c>
      <c r="R698" s="7" t="str">
        <f t="shared" si="14"/>
        <v>E:\附赠：Excel模板\Excel实战技巧精粹：Excel模板大全1000例</v>
      </c>
      <c r="S698" s="9">
        <v>43600.3821412037</v>
      </c>
      <c r="T698" s="9">
        <v>43390.5140277778</v>
      </c>
    </row>
    <row r="699" spans="14:20">
      <c r="N699" s="7" t="str">
        <f>HYPERLINK("E:\附赠：Excel模板\Excel实战技巧精粹：Excel模板大全1000例\平衡计分卡项目绩效指标概要.xls","平衡计分卡项目绩效指标概要.xls")</f>
        <v>平衡计分卡项目绩效指标概要.xls</v>
      </c>
      <c r="Q699">
        <v>0.02</v>
      </c>
      <c r="R699" s="7" t="str">
        <f t="shared" si="14"/>
        <v>E:\附赠：Excel模板\Excel实战技巧精粹：Excel模板大全1000例</v>
      </c>
      <c r="S699" s="9">
        <v>43600.3821412037</v>
      </c>
      <c r="T699" s="9">
        <v>43390.5140277778</v>
      </c>
    </row>
    <row r="700" spans="14:20">
      <c r="N700" s="7" t="str">
        <f>HYPERLINK("E:\附赠：Excel模板\Excel实战技巧精粹：Excel模板大全1000例\年全省部门财支出表.xls","年全省部门财支出表.xls")</f>
        <v>年全省部门财支出表.xls</v>
      </c>
      <c r="Q700">
        <v>0.02</v>
      </c>
      <c r="R700" s="7" t="str">
        <f t="shared" si="14"/>
        <v>E:\附赠：Excel模板\Excel实战技巧精粹：Excel模板大全1000例</v>
      </c>
      <c r="S700" s="9">
        <v>43600.3821412037</v>
      </c>
      <c r="T700" s="9">
        <v>43390.5140509259</v>
      </c>
    </row>
    <row r="701" spans="14:20">
      <c r="N701" s="7" t="str">
        <f>HYPERLINK("E:\附赠：Excel模板\Excel实战技巧精粹：Excel模板大全1000例\年度国民经济主要指标.xls","年度国民经济主要指标.xls")</f>
        <v>年度国民经济主要指标.xls</v>
      </c>
      <c r="Q701">
        <v>0.02</v>
      </c>
      <c r="R701" s="7" t="str">
        <f t="shared" si="14"/>
        <v>E:\附赠：Excel模板\Excel实战技巧精粹：Excel模板大全1000例</v>
      </c>
      <c r="S701" s="9">
        <v>43600.3821412037</v>
      </c>
      <c r="T701" s="9">
        <v>43390.5140740741</v>
      </c>
    </row>
    <row r="702" spans="14:20">
      <c r="N702" s="7" t="str">
        <f>HYPERLINK("E:\附赠：Excel模板\Excel实战技巧精粹：Excel模板大全1000例\年度国民经济发展情况.xls","年度国民经济发展情况.xls")</f>
        <v>年度国民经济发展情况.xls</v>
      </c>
      <c r="Q702">
        <v>0.02</v>
      </c>
      <c r="R702" s="7" t="str">
        <f t="shared" si="14"/>
        <v>E:\附赠：Excel模板\Excel实战技巧精粹：Excel模板大全1000例</v>
      </c>
      <c r="S702" s="9">
        <v>43600.3821412037</v>
      </c>
      <c r="T702" s="9">
        <v>43390.5140740741</v>
      </c>
    </row>
    <row r="703" spans="14:20">
      <c r="N703" s="7" t="str">
        <f>HYPERLINK("E:\附赠：Excel模板\Excel实战技巧精粹：Excel模板大全1000例\年度培训计划及实施统计表.xls","年度培训计划及实施统计表.xls")</f>
        <v>年度培训计划及实施统计表.xls</v>
      </c>
      <c r="Q703">
        <v>0.02</v>
      </c>
      <c r="R703" s="7" t="str">
        <f t="shared" si="14"/>
        <v>E:\附赠：Excel模板\Excel实战技巧精粹：Excel模板大全1000例</v>
      </c>
      <c r="S703" s="9">
        <v>43600.3821412037</v>
      </c>
      <c r="T703" s="9">
        <v>43390.5140740741</v>
      </c>
    </row>
    <row r="704" spans="14:20">
      <c r="N704" s="7" t="str">
        <f>HYPERLINK("E:\附赠：Excel模板\Excel实战技巧精粹：Excel模板大全1000例\年度水利系统财务表.xls","年度水利系统财务表.xls")</f>
        <v>年度水利系统财务表.xls</v>
      </c>
      <c r="Q704">
        <v>0.06</v>
      </c>
      <c r="R704" s="7" t="str">
        <f t="shared" si="14"/>
        <v>E:\附赠：Excel模板\Excel实战技巧精粹：Excel模板大全1000例</v>
      </c>
      <c r="S704" s="9">
        <v>43600.3821412037</v>
      </c>
      <c r="T704" s="9">
        <v>43390.5140740741</v>
      </c>
    </row>
    <row r="705" spans="14:20">
      <c r="N705" s="7" t="str">
        <f>HYPERLINK("E:\附赠：Excel模板\Excel实战技巧精粹：Excel模板大全1000例\年度財務收入比例圖.xls","年度財務收入比例圖.xls")</f>
        <v>年度財務收入比例圖.xls</v>
      </c>
      <c r="Q705">
        <v>0.03</v>
      </c>
      <c r="R705" s="7" t="str">
        <f t="shared" si="14"/>
        <v>E:\附赠：Excel模板\Excel实战技巧精粹：Excel模板大全1000例</v>
      </c>
      <c r="S705" s="9">
        <v>43600.3821412037</v>
      </c>
      <c r="T705" s="9">
        <v>43390.5140740741</v>
      </c>
    </row>
    <row r="706" spans="14:20">
      <c r="N706" s="7" t="str">
        <f>HYPERLINK("E:\附赠：Excel模板\Excel实战技巧精粹：Excel模板大全1000例\年度财务决算预测表.xls","年度财务决算预测表.xls")</f>
        <v>年度财务决算预测表.xls</v>
      </c>
      <c r="Q706">
        <v>0.02</v>
      </c>
      <c r="R706" s="7" t="str">
        <f t="shared" si="14"/>
        <v>E:\附赠：Excel模板\Excel实战技巧精粹：Excel模板大全1000例</v>
      </c>
      <c r="S706" s="9">
        <v>43600.3821412037</v>
      </c>
      <c r="T706" s="9">
        <v>43390.5140740741</v>
      </c>
    </row>
    <row r="707" spans="14:20">
      <c r="N707" s="7" t="str">
        <f>HYPERLINK("E:\附赠：Excel模板\Excel实战技巧精粹：Excel模板大全1000例\年度财务决算预测表2.xls","年度财务决算预测表2.xls")</f>
        <v>年度财务决算预测表2.xls</v>
      </c>
      <c r="Q707">
        <v>0.02</v>
      </c>
      <c r="R707" s="7" t="str">
        <f t="shared" si="14"/>
        <v>E:\附赠：Excel模板\Excel实战技巧精粹：Excel模板大全1000例</v>
      </c>
      <c r="S707" s="9">
        <v>43600.3821412037</v>
      </c>
      <c r="T707" s="9">
        <v>43390.5140740741</v>
      </c>
    </row>
    <row r="708" spans="14:20">
      <c r="N708" s="7" t="str">
        <f>HYPERLINK("E:\附赠：Excel模板\Excel实战技巧精粹：Excel模板大全1000例\年度财务收支情况自查表.xls","年度财务收支情况自查表.xls")</f>
        <v>年度财务收支情况自查表.xls</v>
      </c>
      <c r="Q708">
        <v>0.02</v>
      </c>
      <c r="R708" s="7" t="str">
        <f t="shared" si="14"/>
        <v>E:\附赠：Excel模板\Excel实战技巧精粹：Excel模板大全1000例</v>
      </c>
      <c r="S708" s="9">
        <v>43600.3821412037</v>
      </c>
      <c r="T708" s="9">
        <v>43390.5140740741</v>
      </c>
    </row>
    <row r="709" spans="14:20">
      <c r="N709" s="7" t="str">
        <f>HYPERLINK("E:\附赠：Excel模板\Excel实战技巧精粹：Excel模板大全1000例\年考核合格获省种子检验员证人员名单.xls","年考核合格获省种子检验员证人员名单.xls")</f>
        <v>年考核合格获省种子检验员证人员名单.xls</v>
      </c>
      <c r="Q709">
        <v>0.04</v>
      </c>
      <c r="R709" s="7" t="str">
        <f t="shared" si="14"/>
        <v>E:\附赠：Excel模板\Excel实战技巧精粹：Excel模板大全1000例</v>
      </c>
      <c r="S709" s="9">
        <v>43600.3821412037</v>
      </c>
      <c r="T709" s="9">
        <v>43390.5140509259</v>
      </c>
    </row>
    <row r="710" spans="14:20">
      <c r="N710" s="7" t="str">
        <f>HYPERLINK("E:\附赠：Excel模板\Excel实战技巧精粹：Excel模板大全1000例\年获国家奖学金学生名单备案表.xls","年获国家奖学金学生名单备案表.xls")</f>
        <v>年获国家奖学金学生名单备案表.xls</v>
      </c>
      <c r="Q710">
        <v>0.02</v>
      </c>
      <c r="R710" s="7" t="str">
        <f t="shared" si="14"/>
        <v>E:\附赠：Excel模板\Excel实战技巧精粹：Excel模板大全1000例</v>
      </c>
      <c r="S710" s="9">
        <v>43600.3821412037</v>
      </c>
      <c r="T710" s="9">
        <v>43390.5140740741</v>
      </c>
    </row>
    <row r="711" spans="14:20">
      <c r="N711" s="7" t="str">
        <f>HYPERLINK("E:\附赠：Excel模板\Excel实战技巧精粹：Excel模板大全1000例\年财政教育经费投入情况调查表.xls","年财政教育经费投入情况调查表.xls")</f>
        <v>年财政教育经费投入情况调查表.xls</v>
      </c>
      <c r="Q711">
        <v>0.02</v>
      </c>
      <c r="R711" s="7" t="str">
        <f t="shared" si="14"/>
        <v>E:\附赠：Excel模板\Excel实战技巧精粹：Excel模板大全1000例</v>
      </c>
      <c r="S711" s="9">
        <v>43600.3821412037</v>
      </c>
      <c r="T711" s="9">
        <v>43390.5140740741</v>
      </c>
    </row>
    <row r="712" spans="14:20">
      <c r="N712" s="7" t="str">
        <f>HYPERLINK("E:\附赠：Excel模板\Excel实战技巧精粹：Excel模板大全1000例\库存报表.xls","库存报表.xls")</f>
        <v>库存报表.xls</v>
      </c>
      <c r="Q712">
        <v>0.02</v>
      </c>
      <c r="R712" s="7" t="str">
        <f t="shared" si="14"/>
        <v>E:\附赠：Excel模板\Excel实战技巧精粹：Excel模板大全1000例</v>
      </c>
      <c r="S712" s="9">
        <v>43600.3821412037</v>
      </c>
      <c r="T712" s="9">
        <v>43390.5141666667</v>
      </c>
    </row>
    <row r="713" spans="14:20">
      <c r="N713" s="7" t="str">
        <f>HYPERLINK("E:\附赠：Excel模板\Excel实战技巧精粹：Excel模板大全1000例\应交财政收益明细表.xls","应交财政收益明细表.xls")</f>
        <v>应交财政收益明细表.xls</v>
      </c>
      <c r="Q713">
        <v>0.02</v>
      </c>
      <c r="R713" s="7" t="str">
        <f t="shared" si="14"/>
        <v>E:\附赠：Excel模板\Excel实战技巧精粹：Excel模板大全1000例</v>
      </c>
      <c r="S713" s="9">
        <v>43600.3821412037</v>
      </c>
      <c r="T713" s="9">
        <v>43390.5135416667</v>
      </c>
    </row>
    <row r="714" spans="14:20">
      <c r="N714" s="7" t="str">
        <f>HYPERLINK("E:\附赠：Excel模板\Excel实战技巧精粹：Excel模板大全1000例\应收帐款明细及帐龄分析表.xls","应收帐款明细及帐龄分析表.xls")</f>
        <v>应收帐款明细及帐龄分析表.xls</v>
      </c>
      <c r="Q714">
        <v>0.02</v>
      </c>
      <c r="R714" s="7" t="str">
        <f t="shared" si="14"/>
        <v>E:\附赠：Excel模板\Excel实战技巧精粹：Excel模板大全1000例</v>
      </c>
      <c r="S714" s="9">
        <v>43600.3821412037</v>
      </c>
      <c r="T714" s="9">
        <v>43390.5135185185</v>
      </c>
    </row>
    <row r="715" spans="14:20">
      <c r="N715" s="7" t="str">
        <f>HYPERLINK("E:\附赠：Excel模板\Excel实战技巧精粹：Excel模板大全1000例\应收应付统计表.xls","应收应付统计表.xls")</f>
        <v>应收应付统计表.xls</v>
      </c>
      <c r="Q715">
        <v>0.02</v>
      </c>
      <c r="R715" s="7" t="str">
        <f t="shared" si="14"/>
        <v>E:\附赠：Excel模板\Excel实战技巧精粹：Excel模板大全1000例</v>
      </c>
      <c r="S715" s="9">
        <v>43600.3821412037</v>
      </c>
      <c r="T715" s="9">
        <v>43390.5135185185</v>
      </c>
    </row>
    <row r="716" spans="14:20">
      <c r="N716" s="7" t="str">
        <f>HYPERLINK("E:\附赠：Excel模板\Excel实战技巧精粹：Excel模板大全1000例\应收款统计.xls","应收款统计.xls")</f>
        <v>应收款统计.xls</v>
      </c>
      <c r="Q716">
        <v>0.02</v>
      </c>
      <c r="R716" s="7" t="str">
        <f t="shared" si="14"/>
        <v>E:\附赠：Excel模板\Excel实战技巧精粹：Excel模板大全1000例</v>
      </c>
      <c r="S716" s="9">
        <v>43600.3821412037</v>
      </c>
      <c r="T716" s="9">
        <v>43390.5135185185</v>
      </c>
    </row>
    <row r="717" spans="14:20">
      <c r="N717" s="7" t="str">
        <f>HYPERLINK("E:\附赠：Excel模板\Excel实战技巧精粹：Excel模板大全1000例\店内训练课程一览表.xls","店内训练课程一览表.xls")</f>
        <v>店内训练课程一览表.xls</v>
      </c>
      <c r="Q717">
        <v>0.2</v>
      </c>
      <c r="R717" s="7" t="str">
        <f t="shared" si="14"/>
        <v>E:\附赠：Excel模板\Excel实战技巧精粹：Excel模板大全1000例</v>
      </c>
      <c r="S717" s="9">
        <v>43600.3821412037</v>
      </c>
      <c r="T717" s="9">
        <v>43390.5144907407</v>
      </c>
    </row>
    <row r="718" spans="14:20">
      <c r="N718" s="7" t="str">
        <f>HYPERLINK("E:\附赠：Excel模板\Excel实战技巧精粹：Excel模板大全1000例\度科研成果统计表.xls","度科研成果统计表.xls")</f>
        <v>度科研成果统计表.xls</v>
      </c>
      <c r="Q718">
        <v>0.01</v>
      </c>
      <c r="R718" s="7" t="str">
        <f t="shared" si="14"/>
        <v>E:\附赠：Excel模板\Excel实战技巧精粹：Excel模板大全1000例</v>
      </c>
      <c r="S718" s="9">
        <v>43600.3821412037</v>
      </c>
      <c r="T718" s="9">
        <v>43390.5144675926</v>
      </c>
    </row>
    <row r="719" spans="14:20">
      <c r="N719" s="7" t="str">
        <f>HYPERLINK("E:\附赠：Excel模板\Excel实战技巧精粹：Excel模板大全1000例\建筑业企业主要财务状况.xls","建筑业企业主要财务状况.xls")</f>
        <v>建筑业企业主要财务状况.xls</v>
      </c>
      <c r="Q719">
        <v>0.02</v>
      </c>
      <c r="R719" s="7" t="str">
        <f t="shared" si="14"/>
        <v>E:\附赠：Excel模板\Excel实战技巧精粹：Excel模板大全1000例</v>
      </c>
      <c r="S719" s="9">
        <v>43600.3821412037</v>
      </c>
      <c r="T719" s="9">
        <v>43390.5142592593</v>
      </c>
    </row>
    <row r="720" spans="14:20">
      <c r="N720" s="7" t="str">
        <f>HYPERLINK("E:\附赠：Excel模板\Excel实战技巧精粹：Excel模板大全1000例\建设项目基本情况表.xls","建设项目基本情况表.xls")</f>
        <v>建设项目基本情况表.xls</v>
      </c>
      <c r="Q720">
        <v>0.02</v>
      </c>
      <c r="R720" s="7" t="str">
        <f t="shared" si="14"/>
        <v>E:\附赠：Excel模板\Excel实战技巧精粹：Excel模板大全1000例</v>
      </c>
      <c r="S720" s="9">
        <v>43600.3821412037</v>
      </c>
      <c r="T720" s="9">
        <v>43390.5142592593</v>
      </c>
    </row>
    <row r="721" spans="14:20">
      <c r="N721" s="7" t="str">
        <f>HYPERLINK("E:\附赠：Excel模板\Excel实战技巧精粹：Excel模板大全1000例\建设项目资金拨付申请书.xls","建设项目资金拨付申请书.xls")</f>
        <v>建设项目资金拨付申请书.xls</v>
      </c>
      <c r="Q721">
        <v>0.02</v>
      </c>
      <c r="R721" s="7" t="str">
        <f t="shared" si="14"/>
        <v>E:\附赠：Excel模板\Excel实战技巧精粹：Excel模板大全1000例</v>
      </c>
      <c r="S721" s="9">
        <v>43600.3821412037</v>
      </c>
      <c r="T721" s="9">
        <v>43390.5142592593</v>
      </c>
    </row>
    <row r="722" spans="14:20">
      <c r="N722" s="7" t="str">
        <f>HYPERLINK("E:\附赠：Excel模板\Excel实战技巧精粹：Excel模板大全1000例\开发高层次人才资金资助申请书.xls","开发高层次人才资金资助申请书.xls")</f>
        <v>开发高层次人才资金资助申请书.xls</v>
      </c>
      <c r="Q722">
        <v>0.04</v>
      </c>
      <c r="R722" s="7" t="str">
        <f t="shared" si="14"/>
        <v>E:\附赠：Excel模板\Excel实战技巧精粹：Excel模板大全1000例</v>
      </c>
      <c r="S722" s="9">
        <v>43600.3821412037</v>
      </c>
      <c r="T722" s="9">
        <v>43390.5141898148</v>
      </c>
    </row>
    <row r="723" spans="14:20">
      <c r="N723" s="7" t="str">
        <f>HYPERLINK("E:\附赠：Excel模板\Excel实战技巧精粹：Excel模板大全1000例\开拓资金项目资金计划申报评审表.xls","开拓资金项目资金计划申报评审表.xls")</f>
        <v>开拓资金项目资金计划申报评审表.xls</v>
      </c>
      <c r="Q723">
        <v>0.02</v>
      </c>
      <c r="R723" s="7" t="str">
        <f t="shared" si="14"/>
        <v>E:\附赠：Excel模板\Excel实战技巧精粹：Excel模板大全1000例</v>
      </c>
      <c r="S723" s="9">
        <v>43600.3821412037</v>
      </c>
      <c r="T723" s="9">
        <v>43390.5141666667</v>
      </c>
    </row>
    <row r="724" spans="14:20">
      <c r="N724" s="7" t="str">
        <f>HYPERLINK("E:\附赠：Excel模板\Excel实战技巧精粹：Excel模板大全1000例\开放本科会计学专业课程教材征订表.xls","开放本科会计学专业课程教材征订表.xls")</f>
        <v>开放本科会计学专业课程教材征订表.xls</v>
      </c>
      <c r="Q724">
        <v>0.02</v>
      </c>
      <c r="R724" s="7" t="str">
        <f t="shared" si="14"/>
        <v>E:\附赠：Excel模板\Excel实战技巧精粹：Excel模板大全1000例</v>
      </c>
      <c r="S724" s="9">
        <v>43600.3821412037</v>
      </c>
      <c r="T724" s="9">
        <v>43390.5141898148</v>
      </c>
    </row>
    <row r="725" spans="14:20">
      <c r="N725" s="7" t="str">
        <f>HYPERLINK("E:\附赠：Excel模板\Excel实战技巧精粹：Excel模板大全1000例\开放本科英语专业课程教材征订表.xls","开放本科英语专业课程教材征订表.xls")</f>
        <v>开放本科英语专业课程教材征订表.xls</v>
      </c>
      <c r="Q725">
        <v>0.02</v>
      </c>
      <c r="R725" s="7" t="str">
        <f t="shared" si="14"/>
        <v>E:\附赠：Excel模板\Excel实战技巧精粹：Excel模板大全1000例</v>
      </c>
      <c r="S725" s="9">
        <v>43600.3821412037</v>
      </c>
      <c r="T725" s="9">
        <v>43390.5141898148</v>
      </c>
    </row>
    <row r="726" spans="14:20">
      <c r="N726" s="7" t="str">
        <f>HYPERLINK("E:\附赠：Excel模板\Excel实战技巧精粹：Excel模板大全1000例\强制承运人责任保险承保情况统计表.xls","强制承运人责任保险承保情况统计表.xls")</f>
        <v>强制承运人责任保险承保情况统计表.xls</v>
      </c>
      <c r="Q726">
        <v>0.02</v>
      </c>
      <c r="R726" s="7" t="str">
        <f t="shared" si="14"/>
        <v>E:\附赠：Excel模板\Excel实战技巧精粹：Excel模板大全1000例</v>
      </c>
      <c r="S726" s="9">
        <v>43600.3821412037</v>
      </c>
      <c r="T726" s="9">
        <v>43390.5140046296</v>
      </c>
    </row>
    <row r="727" spans="14:20">
      <c r="N727" s="7" t="str">
        <f>HYPERLINK("E:\附赠：Excel模板\Excel实战技巧精粹：Excel模板大全1000例\往来款项明细表.xls","往来款项明细表.xls")</f>
        <v>往来款项明细表.xls</v>
      </c>
      <c r="Q727">
        <v>0.02</v>
      </c>
      <c r="R727" s="7" t="str">
        <f t="shared" ref="R727:R790" si="15">HYPERLINK("E:\附赠：Excel模板\Excel实战技巧精粹：Excel模板大全1000例","E:\附赠：Excel模板\Excel实战技巧精粹：Excel模板大全1000例")</f>
        <v>E:\附赠：Excel模板\Excel实战技巧精粹：Excel模板大全1000例</v>
      </c>
      <c r="S727" s="9">
        <v>43600.3821412037</v>
      </c>
      <c r="T727" s="9">
        <v>43390.5137731481</v>
      </c>
    </row>
    <row r="728" spans="14:20">
      <c r="N728" s="7" t="str">
        <f>HYPERLINK("E:\附赠：Excel模板\Excel实战技巧精粹：Excel模板大全1000例\征收计划表.xls","征收计划表.xls")</f>
        <v>征收计划表.xls</v>
      </c>
      <c r="Q728">
        <v>0.02</v>
      </c>
      <c r="R728" s="7" t="str">
        <f t="shared" si="15"/>
        <v>E:\附赠：Excel模板\Excel实战技巧精粹：Excel模板大全1000例</v>
      </c>
      <c r="S728" s="9">
        <v>43600.3821412037</v>
      </c>
      <c r="T728" s="9">
        <v>43390.5134953704</v>
      </c>
    </row>
    <row r="729" spans="14:20">
      <c r="N729" s="7" t="str">
        <f>HYPERLINK("E:\附赠：Excel模板\Excel实战技巧精粹：Excel模板大全1000例\总决算表.xls","总决算表.xls")</f>
        <v>总决算表.xls</v>
      </c>
      <c r="Q729">
        <v>0.02</v>
      </c>
      <c r="R729" s="7" t="str">
        <f t="shared" si="15"/>
        <v>E:\附赠：Excel模板\Excel实战技巧精粹：Excel模板大全1000例</v>
      </c>
      <c r="S729" s="9">
        <v>43600.3821412037</v>
      </c>
      <c r="T729" s="9">
        <v>43390.5133796296</v>
      </c>
    </row>
    <row r="730" spans="14:20">
      <c r="N730" s="7" t="str">
        <f>HYPERLINK("E:\附赠：Excel模板\Excel实战技巧精粹：Excel模板大全1000例\总成本费用估算表.xls","总成本费用估算表.xls")</f>
        <v>总成本费用估算表.xls</v>
      </c>
      <c r="Q730">
        <v>0.01</v>
      </c>
      <c r="R730" s="7" t="str">
        <f t="shared" si="15"/>
        <v>E:\附赠：Excel模板\Excel实战技巧精粹：Excel模板大全1000例</v>
      </c>
      <c r="S730" s="9">
        <v>43600.3821412037</v>
      </c>
      <c r="T730" s="9">
        <v>43390.5133564815</v>
      </c>
    </row>
    <row r="731" spans="14:20">
      <c r="N731" s="7" t="str">
        <f>HYPERLINK("E:\附赠：Excel模板\Excel实战技巧精粹：Excel模板大全1000例\成本费用预算表.xls","成本费用预算表.xls")</f>
        <v>成本费用预算表.xls</v>
      </c>
      <c r="Q731">
        <v>0.02</v>
      </c>
      <c r="R731" s="7" t="str">
        <f t="shared" si="15"/>
        <v>E:\附赠：Excel模板\Excel实战技巧精粹：Excel模板大全1000例</v>
      </c>
      <c r="S731" s="9">
        <v>43600.3821412037</v>
      </c>
      <c r="T731" s="9">
        <v>43390.5145833333</v>
      </c>
    </row>
    <row r="732" spans="14:20">
      <c r="N732" s="7" t="str">
        <f>HYPERLINK("E:\附赠：Excel模板\Excel实战技巧精粹：Excel模板大全1000例\成果统计表.xls","成果统计表.xls")</f>
        <v>成果统计表.xls</v>
      </c>
      <c r="Q732">
        <v>0.02</v>
      </c>
      <c r="R732" s="7" t="str">
        <f t="shared" si="15"/>
        <v>E:\附赠：Excel模板\Excel实战技巧精粹：Excel模板大全1000例</v>
      </c>
      <c r="S732" s="9">
        <v>43600.3821412037</v>
      </c>
      <c r="T732" s="9">
        <v>43390.5145833333</v>
      </c>
    </row>
    <row r="733" spans="14:20">
      <c r="N733" s="7" t="str">
        <f>HYPERLINK("E:\附赠：Excel模板\Excel实战技巧精粹：Excel模板大全1000例\成绩单.xls","成绩单.xls")</f>
        <v>成绩单.xls</v>
      </c>
      <c r="Q733">
        <v>0.02</v>
      </c>
      <c r="R733" s="7" t="str">
        <f t="shared" si="15"/>
        <v>E:\附赠：Excel模板\Excel实战技巧精粹：Excel模板大全1000例</v>
      </c>
      <c r="S733" s="9">
        <v>43600.3821412037</v>
      </c>
      <c r="T733" s="9">
        <v>43390.5145833333</v>
      </c>
    </row>
    <row r="734" spans="14:20">
      <c r="N734" s="7" t="str">
        <f>HYPERLINK("E:\附赠：Excel模板\Excel实战技巧精粹：Excel模板大全1000例\成绩考核方式表.xls","成绩考核方式表.xls")</f>
        <v>成绩考核方式表.xls</v>
      </c>
      <c r="Q734">
        <v>0.01</v>
      </c>
      <c r="R734" s="7" t="str">
        <f t="shared" si="15"/>
        <v>E:\附赠：Excel模板\Excel实战技巧精粹：Excel模板大全1000例</v>
      </c>
      <c r="S734" s="9">
        <v>43600.3821412037</v>
      </c>
      <c r="T734" s="9">
        <v>43390.5145833333</v>
      </c>
    </row>
    <row r="735" spans="14:20">
      <c r="N735" s="7" t="str">
        <f>HYPERLINK("E:\附赠：Excel模板\Excel实战技巧精粹：Excel模板大全1000例\成绩考核登记表.xls","成绩考核登记表.xls")</f>
        <v>成绩考核登记表.xls</v>
      </c>
      <c r="Q735">
        <v>0.02</v>
      </c>
      <c r="R735" s="7" t="str">
        <f t="shared" si="15"/>
        <v>E:\附赠：Excel模板\Excel实战技巧精粹：Excel模板大全1000例</v>
      </c>
      <c r="S735" s="9">
        <v>43600.3821412037</v>
      </c>
      <c r="T735" s="9">
        <v>43390.5145833333</v>
      </c>
    </row>
    <row r="736" spans="14:20">
      <c r="N736" s="7" t="str">
        <f>HYPERLINK("E:\附赠：Excel模板\Excel实战技巧精粹：Excel模板大全1000例\成绩表.xls","成绩表.xls")</f>
        <v>成绩表.xls</v>
      </c>
      <c r="Q736">
        <v>0.08</v>
      </c>
      <c r="R736" s="7" t="str">
        <f t="shared" si="15"/>
        <v>E:\附赠：Excel模板\Excel实战技巧精粹：Excel模板大全1000例</v>
      </c>
      <c r="S736" s="9">
        <v>43600.3821412037</v>
      </c>
      <c r="T736" s="9">
        <v>43390.5145833333</v>
      </c>
    </row>
    <row r="737" spans="14:20">
      <c r="N737" s="7" t="str">
        <f>HYPERLINK("E:\附赠：Excel模板\Excel实战技巧精粹：Excel模板大全1000例\截至××年底财政拨款资金结余情况表.xls","截至××年底财政拨款资金结余情况表.xls")</f>
        <v>截至××年底财政拨款资金结余情况表.xls</v>
      </c>
      <c r="Q737">
        <v>0.02</v>
      </c>
      <c r="R737" s="7" t="str">
        <f t="shared" si="15"/>
        <v>E:\附赠：Excel模板\Excel实战技巧精粹：Excel模板大全1000例</v>
      </c>
      <c r="S737" s="9">
        <v>43600.3821412037</v>
      </c>
      <c r="T737" s="9">
        <v>43390.514212963</v>
      </c>
    </row>
    <row r="738" spans="14:20">
      <c r="N738" s="7" t="str">
        <f>HYPERLINK("E:\附赠：Excel模板\Excel实战技巧精粹：Excel模板大全1000例\房产登记.xls","房产登记.xls")</f>
        <v>房产登记.xls</v>
      </c>
      <c r="Q738">
        <v>0.02</v>
      </c>
      <c r="R738" s="7" t="str">
        <f t="shared" si="15"/>
        <v>E:\附赠：Excel模板\Excel实战技巧精粹：Excel模板大全1000例</v>
      </c>
      <c r="S738" s="9">
        <v>43600.3821412037</v>
      </c>
      <c r="T738" s="9">
        <v>43390.5144675926</v>
      </c>
    </row>
    <row r="739" spans="14:20">
      <c r="N739" s="7" t="str">
        <f>HYPERLINK("E:\附赠：Excel模板\Excel实战技巧精粹：Excel模板大全1000例\房地产中介服务统计基层表.xls","房地产中介服务统计基层表.xls")</f>
        <v>房地产中介服务统计基层表.xls</v>
      </c>
      <c r="Q739">
        <v>0.02</v>
      </c>
      <c r="R739" s="7" t="str">
        <f t="shared" si="15"/>
        <v>E:\附赠：Excel模板\Excel实战技巧精粹：Excel模板大全1000例</v>
      </c>
      <c r="S739" s="9">
        <v>43600.3821412037</v>
      </c>
      <c r="T739" s="9">
        <v>43390.5144675926</v>
      </c>
    </row>
    <row r="740" spans="14:20">
      <c r="N740" s="7" t="str">
        <f>HYPERLINK("E:\附赠：Excel模板\Excel实战技巧精粹：Excel模板大全1000例\房地产开发企业财务状况.xls","房地产开发企业财务状况.xls")</f>
        <v>房地产开发企业财务状况.xls</v>
      </c>
      <c r="Q740">
        <v>0.02</v>
      </c>
      <c r="R740" s="7" t="str">
        <f t="shared" si="15"/>
        <v>E:\附赠：Excel模板\Excel实战技巧精粹：Excel模板大全1000例</v>
      </c>
      <c r="S740" s="9">
        <v>43600.3821412037</v>
      </c>
      <c r="T740" s="9">
        <v>43390.5144675926</v>
      </c>
    </row>
    <row r="741" spans="14:20">
      <c r="N741" s="7" t="str">
        <f>HYPERLINK("E:\附赠：Excel模板\Excel实战技巧精粹：Excel模板大全1000例\房屋占用费预算明细表.xls","房屋占用费预算明细表.xls")</f>
        <v>房屋占用费预算明细表.xls</v>
      </c>
      <c r="Q741">
        <v>0.02</v>
      </c>
      <c r="R741" s="7" t="str">
        <f t="shared" si="15"/>
        <v>E:\附赠：Excel模板\Excel实战技巧精粹：Excel模板大全1000例</v>
      </c>
      <c r="S741" s="9">
        <v>43600.3821412037</v>
      </c>
      <c r="T741" s="9">
        <v>43390.5144675926</v>
      </c>
    </row>
    <row r="742" spans="14:20">
      <c r="N742" s="7" t="str">
        <f>HYPERLINK("E:\附赠：Excel模板\Excel实战技巧精粹：Excel模板大全1000例\房屋建筑物明细表.xls","房屋建筑物明细表.xls")</f>
        <v>房屋建筑物明细表.xls</v>
      </c>
      <c r="Q742">
        <v>0.02</v>
      </c>
      <c r="R742" s="7" t="str">
        <f t="shared" si="15"/>
        <v>E:\附赠：Excel模板\Excel实战技巧精粹：Excel模板大全1000例</v>
      </c>
      <c r="S742" s="9">
        <v>43600.3821412037</v>
      </c>
      <c r="T742" s="9">
        <v>43390.5144444444</v>
      </c>
    </row>
    <row r="743" spans="14:20">
      <c r="N743" s="7" t="str">
        <f>HYPERLINK("E:\附赠：Excel模板\Excel实战技巧精粹：Excel模板大全1000例\房屋建筑物类固定资产调查表.xls","房屋建筑物类固定资产调查表.xls")</f>
        <v>房屋建筑物类固定资产调查表.xls</v>
      </c>
      <c r="Q743">
        <v>0.02</v>
      </c>
      <c r="R743" s="7" t="str">
        <f t="shared" si="15"/>
        <v>E:\附赠：Excel模板\Excel实战技巧精粹：Excel模板大全1000例</v>
      </c>
      <c r="S743" s="9">
        <v>43600.3821412037</v>
      </c>
      <c r="T743" s="9">
        <v>43390.5144675926</v>
      </c>
    </row>
    <row r="744" spans="14:20">
      <c r="N744" s="7" t="str">
        <f>HYPERLINK("E:\附赠：Excel模板\Excel实战技巧精粹：Excel模板大全1000例\房屋权属登记情况.xls","房屋权属登记情况.xls")</f>
        <v>房屋权属登记情况.xls</v>
      </c>
      <c r="Q744">
        <v>0.02</v>
      </c>
      <c r="R744" s="7" t="str">
        <f t="shared" si="15"/>
        <v>E:\附赠：Excel模板\Excel实战技巧精粹：Excel模板大全1000例</v>
      </c>
      <c r="S744" s="9">
        <v>43600.3821412037</v>
      </c>
      <c r="T744" s="9">
        <v>43390.5144675926</v>
      </c>
    </row>
    <row r="745" spans="14:20">
      <c r="N745" s="7" t="str">
        <f>HYPERLINK("E:\附赠：Excel模板\Excel实战技巧精粹：Excel模板大全1000例\房屋类资产情况明细表.xls","房屋类资产情况明细表.xls")</f>
        <v>房屋类资产情况明细表.xls</v>
      </c>
      <c r="Q745">
        <v>0.02</v>
      </c>
      <c r="R745" s="7" t="str">
        <f t="shared" si="15"/>
        <v>E:\附赠：Excel模板\Excel实战技巧精粹：Excel模板大全1000例</v>
      </c>
      <c r="S745" s="9">
        <v>43600.3821412037</v>
      </c>
      <c r="T745" s="9">
        <v>43390.5144444444</v>
      </c>
    </row>
    <row r="746" spans="14:20">
      <c r="N746" s="7" t="str">
        <f>HYPERLINK("E:\附赠：Excel模板\Excel实战技巧精粹：Excel模板大全1000例\技改贷款财政贴息资金项目申请表.xls","技改贷款财政贴息资金项目申请表.xls")</f>
        <v>技改贷款财政贴息资金项目申请表.xls</v>
      </c>
      <c r="Q746">
        <v>0.01</v>
      </c>
      <c r="R746" s="7" t="str">
        <f t="shared" si="15"/>
        <v>E:\附赠：Excel模板\Excel实战技巧精粹：Excel模板大全1000例</v>
      </c>
      <c r="S746" s="9">
        <v>43600.3821412037</v>
      </c>
      <c r="T746" s="9">
        <v>43390.5142824074</v>
      </c>
    </row>
    <row r="747" spans="14:20">
      <c r="N747" s="7" t="str">
        <f>HYPERLINK("E:\附赠：Excel模板\Excel实战技巧精粹：Excel模板大全1000例\技改项目完成投资财务清单.xls","技改项目完成投资财务清单.xls")</f>
        <v>技改项目完成投资财务清单.xls</v>
      </c>
      <c r="Q747">
        <v>0.02</v>
      </c>
      <c r="R747" s="7" t="str">
        <f t="shared" si="15"/>
        <v>E:\附赠：Excel模板\Excel实战技巧精粹：Excel模板大全1000例</v>
      </c>
      <c r="S747" s="9">
        <v>43600.3821412037</v>
      </c>
      <c r="T747" s="9">
        <v>43390.5142824074</v>
      </c>
    </row>
    <row r="748" spans="14:20">
      <c r="N748" s="7" t="str">
        <f>HYPERLINK("E:\附赠：Excel模板\Excel实战技巧精粹：Excel模板大全1000例\技改项目财政挖潜资金申请表.xls","技改项目财政挖潜资金申请表.xls")</f>
        <v>技改项目财政挖潜资金申请表.xls</v>
      </c>
      <c r="Q748">
        <v>0.02</v>
      </c>
      <c r="R748" s="7" t="str">
        <f t="shared" si="15"/>
        <v>E:\附赠：Excel模板\Excel实战技巧精粹：Excel模板大全1000例</v>
      </c>
      <c r="S748" s="9">
        <v>43600.3821412037</v>
      </c>
      <c r="T748" s="9">
        <v>43390.5143055556</v>
      </c>
    </row>
    <row r="749" spans="14:20">
      <c r="N749" s="7" t="str">
        <f>HYPERLINK("E:\附赠：Excel模板\Excel实战技巧精粹：Excel模板大全1000例\技术骨干工作经历及主要业绩简介.xls","技术骨干工作经历及主要业绩简介.xls")</f>
        <v>技术骨干工作经历及主要业绩简介.xls</v>
      </c>
      <c r="Q749">
        <v>0.02</v>
      </c>
      <c r="R749" s="7" t="str">
        <f t="shared" si="15"/>
        <v>E:\附赠：Excel模板\Excel实战技巧精粹：Excel模板大全1000例</v>
      </c>
      <c r="S749" s="9">
        <v>43600.3821412037</v>
      </c>
      <c r="T749" s="9">
        <v>43390.5142824074</v>
      </c>
    </row>
    <row r="750" spans="14:20">
      <c r="N750" s="7" t="str">
        <f>HYPERLINK("E:\附赠：Excel模板\Excel实战技巧精粹：Excel模板大全1000例\投资储蓄型保险业务统计表.xls","投资储蓄型保险业务统计表.xls")</f>
        <v>投资储蓄型保险业务统计表.xls</v>
      </c>
      <c r="Q750">
        <v>0.02</v>
      </c>
      <c r="R750" s="7" t="str">
        <f t="shared" si="15"/>
        <v>E:\附赠：Excel模板\Excel实战技巧精粹：Excel模板大全1000例</v>
      </c>
      <c r="S750" s="9">
        <v>43600.3821412037</v>
      </c>
      <c r="T750" s="9">
        <v>43390.5137962963</v>
      </c>
    </row>
    <row r="751" spans="14:20">
      <c r="N751" s="7" t="str">
        <f>HYPERLINK("E:\附赠：Excel模板\Excel实战技巧精粹：Excel模板大全1000例\投资报表.xls","投资报表.xls")</f>
        <v>投资报表.xls</v>
      </c>
      <c r="Q751">
        <v>0.02</v>
      </c>
      <c r="R751" s="7" t="str">
        <f t="shared" si="15"/>
        <v>E:\附赠：Excel模板\Excel实战技巧精粹：Excel模板大全1000例</v>
      </c>
      <c r="S751" s="9">
        <v>43600.3821412037</v>
      </c>
      <c r="T751" s="9">
        <v>43390.5137962963</v>
      </c>
    </row>
    <row r="752" spans="14:20">
      <c r="N752" s="7" t="str">
        <f>HYPERLINK("E:\附赠：Excel模板\Excel实战技巧精粹：Excel模板大全1000例\投资收益分析表.xls","投资收益分析表.xls")</f>
        <v>投资收益分析表.xls</v>
      </c>
      <c r="Q752">
        <v>0.02</v>
      </c>
      <c r="R752" s="7" t="str">
        <f t="shared" si="15"/>
        <v>E:\附赠：Excel模板\Excel实战技巧精粹：Excel模板大全1000例</v>
      </c>
      <c r="S752" s="9">
        <v>43600.3821412037</v>
      </c>
      <c r="T752" s="9">
        <v>43390.5137962963</v>
      </c>
    </row>
    <row r="753" spans="14:20">
      <c r="N753" s="7" t="str">
        <f>HYPERLINK("E:\附赠：Excel模板\Excel实战技巧精粹：Excel模板大全1000例\投资收益明细表.xls","投资收益明细表.xls")</f>
        <v>投资收益明细表.xls</v>
      </c>
      <c r="Q753">
        <v>0.02</v>
      </c>
      <c r="R753" s="7" t="str">
        <f t="shared" si="15"/>
        <v>E:\附赠：Excel模板\Excel实战技巧精粹：Excel模板大全1000例</v>
      </c>
      <c r="S753" s="9">
        <v>43600.3821412037</v>
      </c>
      <c r="T753" s="9">
        <v>43390.5137962963</v>
      </c>
    </row>
    <row r="754" spans="14:20">
      <c r="N754" s="7" t="str">
        <f>HYPERLINK("E:\附赠：Excel模板\Excel实战技巧精粹：Excel模板大全1000例\投资收益预算表.xls","投资收益预算表.xls")</f>
        <v>投资收益预算表.xls</v>
      </c>
      <c r="Q754">
        <v>0.02</v>
      </c>
      <c r="R754" s="7" t="str">
        <f t="shared" si="15"/>
        <v>E:\附赠：Excel模板\Excel实战技巧精粹：Excel模板大全1000例</v>
      </c>
      <c r="S754" s="9">
        <v>43600.3821412037</v>
      </c>
      <c r="T754" s="9">
        <v>43390.5137962963</v>
      </c>
    </row>
    <row r="755" spans="14:20">
      <c r="N755" s="7" t="str">
        <f>HYPERLINK("E:\附赠：Excel模板\Excel实战技巧精粹：Excel模板大全1000例\报价单.xls","报价单.xls")</f>
        <v>报价单.xls</v>
      </c>
      <c r="Q755">
        <v>0.02</v>
      </c>
      <c r="R755" s="7" t="str">
        <f t="shared" si="15"/>
        <v>E:\附赠：Excel模板\Excel实战技巧精粹：Excel模板大全1000例</v>
      </c>
      <c r="S755" s="9">
        <v>43600.3821412037</v>
      </c>
      <c r="T755" s="9">
        <v>43390.5146990741</v>
      </c>
    </row>
    <row r="756" spans="14:20">
      <c r="N756" s="7" t="str">
        <f>HYPERLINK("E:\附赠：Excel模板\Excel实战技巧精粹：Excel模板大全1000例\报税明细表.xls","报税明细表.xls")</f>
        <v>报税明细表.xls</v>
      </c>
      <c r="Q756">
        <v>0.03</v>
      </c>
      <c r="R756" s="7" t="str">
        <f t="shared" si="15"/>
        <v>E:\附赠：Excel模板\Excel实战技巧精粹：Excel模板大全1000例</v>
      </c>
      <c r="S756" s="9">
        <v>43600.3821412037</v>
      </c>
      <c r="T756" s="9">
        <v>43390.5146990741</v>
      </c>
    </row>
    <row r="757" spans="14:20">
      <c r="N757" s="7" t="str">
        <f>HYPERLINK("E:\附赠：Excel模板\Excel实战技巧精粹：Excel模板大全1000例\拆入(出)资金明细表.xls","拆入(出)资金明细表.xls")</f>
        <v>拆入(出)资金明细表.xls</v>
      </c>
      <c r="Q757">
        <v>0.02</v>
      </c>
      <c r="R757" s="7" t="str">
        <f t="shared" si="15"/>
        <v>E:\附赠：Excel模板\Excel实战技巧精粹：Excel模板大全1000例</v>
      </c>
      <c r="S757" s="9">
        <v>43600.3821412037</v>
      </c>
      <c r="T757" s="9">
        <v>43390.5146064815</v>
      </c>
    </row>
    <row r="758" spans="14:20">
      <c r="N758" s="7" t="str">
        <f>HYPERLINK("E:\附赠：Excel模板\Excel实战技巧精粹：Excel模板大全1000例\招商引资项目卡片.xls","招商引资项目卡片.xls")</f>
        <v>招商引资项目卡片.xls</v>
      </c>
      <c r="Q758">
        <v>0.02</v>
      </c>
      <c r="R758" s="7" t="str">
        <f t="shared" si="15"/>
        <v>E:\附赠：Excel模板\Excel实战技巧精粹：Excel模板大全1000例</v>
      </c>
      <c r="S758" s="9">
        <v>43600.3821412037</v>
      </c>
      <c r="T758" s="9">
        <v>43390.5134953704</v>
      </c>
    </row>
    <row r="759" spans="14:20">
      <c r="N759" s="7" t="str">
        <f>HYPERLINK("E:\附赠：Excel模板\Excel实战技巧精粹：Excel模板大全1000例\招录高校毕业生报名登记表.xls","招录高校毕业生报名登记表.xls")</f>
        <v>招录高校毕业生报名登记表.xls</v>
      </c>
      <c r="Q759">
        <v>0.02</v>
      </c>
      <c r="R759" s="7" t="str">
        <f t="shared" si="15"/>
        <v>E:\附赠：Excel模板\Excel实战技巧精粹：Excel模板大全1000例</v>
      </c>
      <c r="S759" s="9">
        <v>43600.3821412037</v>
      </c>
      <c r="T759" s="9">
        <v>43390.5134953704</v>
      </c>
    </row>
    <row r="760" spans="14:20">
      <c r="N760" s="7" t="str">
        <f>HYPERLINK("E:\附赠：Excel模板\Excel实战技巧精粹：Excel模板大全1000例\招标代理机构基本情况表.xls","招标代理机构基本情况表.xls")</f>
        <v>招标代理机构基本情况表.xls</v>
      </c>
      <c r="Q760">
        <v>0.02</v>
      </c>
      <c r="R760" s="7" t="str">
        <f t="shared" si="15"/>
        <v>E:\附赠：Excel模板\Excel实战技巧精粹：Excel模板大全1000例</v>
      </c>
      <c r="S760" s="9">
        <v>43600.3821412037</v>
      </c>
      <c r="T760" s="9">
        <v>43390.5134953704</v>
      </c>
    </row>
    <row r="761" spans="14:20">
      <c r="N761" s="7" t="str">
        <f>HYPERLINK("E:\附赠：Excel模板\Excel实战技巧精粹：Excel模板大全1000例\招聘岗位说明表.xls","招聘岗位说明表.xls")</f>
        <v>招聘岗位说明表.xls</v>
      </c>
      <c r="Q761">
        <v>0.02</v>
      </c>
      <c r="R761" s="7" t="str">
        <f t="shared" si="15"/>
        <v>E:\附赠：Excel模板\Excel实战技巧精粹：Excel模板大全1000例</v>
      </c>
      <c r="S761" s="9">
        <v>43600.3821412037</v>
      </c>
      <c r="T761" s="9">
        <v>43390.5134953704</v>
      </c>
    </row>
    <row r="762" spans="14:20">
      <c r="N762" s="7" t="str">
        <f>HYPERLINK("E:\附赠：Excel模板\Excel实战技巧精粹：Excel模板大全1000例\拟保留开发区情况汇总表.xls","拟保留开发区情况汇总表.xls")</f>
        <v>拟保留开发区情况汇总表.xls</v>
      </c>
      <c r="Q762">
        <v>0.12</v>
      </c>
      <c r="R762" s="7" t="str">
        <f t="shared" si="15"/>
        <v>E:\附赠：Excel模板\Excel实战技巧精粹：Excel模板大全1000例</v>
      </c>
      <c r="S762" s="9">
        <v>43600.3821412037</v>
      </c>
      <c r="T762" s="9">
        <v>43390.5140740741</v>
      </c>
    </row>
    <row r="763" spans="14:20">
      <c r="N763" s="7" t="str">
        <f>HYPERLINK("E:\附赠：Excel模板\Excel实战技巧精粹：Excel模板大全1000例\拨款拖欠的项目工程款调查汇总表.xls","拨款拖欠的项目工程款调查汇总表.xls")</f>
        <v>拨款拖欠的项目工程款调查汇总表.xls</v>
      </c>
      <c r="Q763">
        <v>0.02</v>
      </c>
      <c r="R763" s="7" t="str">
        <f t="shared" si="15"/>
        <v>E:\附赠：Excel模板\Excel实战技巧精粹：Excel模板大全1000例</v>
      </c>
      <c r="S763" s="9">
        <v>43600.3821412037</v>
      </c>
      <c r="T763" s="9">
        <v>43390.5146759259</v>
      </c>
    </row>
    <row r="764" spans="14:20">
      <c r="N764" s="7" t="str">
        <f>HYPERLINK("E:\附赠：Excel模板\Excel实战技巧精粹：Excel模板大全1000例\按条件取数.xls","按条件取数.xls")</f>
        <v>按条件取数.xls</v>
      </c>
      <c r="Q764">
        <v>0.05</v>
      </c>
      <c r="R764" s="7" t="str">
        <f t="shared" si="15"/>
        <v>E:\附赠：Excel模板\Excel实战技巧精粹：Excel模板大全1000例</v>
      </c>
      <c r="S764" s="9">
        <v>43600.3821412037</v>
      </c>
      <c r="T764" s="9">
        <v>43390.5147222222</v>
      </c>
    </row>
    <row r="765" spans="14:20">
      <c r="N765" s="7" t="str">
        <f>HYPERLINK("E:\附赠：Excel模板\Excel实战技巧精粹：Excel模板大全1000例\探矿权、采矿权出让情况.xls","探矿权、采矿权出让情况.xls")</f>
        <v>探矿权、采矿权出让情况.xls</v>
      </c>
      <c r="Q765">
        <v>0.02</v>
      </c>
      <c r="R765" s="7" t="str">
        <f t="shared" si="15"/>
        <v>E:\附赠：Excel模板\Excel实战技巧精粹：Excel模板大全1000例</v>
      </c>
      <c r="S765" s="9">
        <v>43600.3821412037</v>
      </c>
      <c r="T765" s="9">
        <v>43390.5137962963</v>
      </c>
    </row>
    <row r="766" spans="14:20">
      <c r="N766" s="7" t="str">
        <f>HYPERLINK("E:\附赠：Excel模板\Excel实战技巧精粹：Excel模板大全1000例\支付离休人员工资明细表.xls","支付离休人员工资明细表.xls")</f>
        <v>支付离休人员工资明细表.xls</v>
      </c>
      <c r="Q766">
        <v>0.02</v>
      </c>
      <c r="R766" s="7" t="str">
        <f t="shared" si="15"/>
        <v>E:\附赠：Excel模板\Excel实战技巧精粹：Excel模板大全1000例</v>
      </c>
      <c r="S766" s="9">
        <v>43600.3821412037</v>
      </c>
      <c r="T766" s="9">
        <v>43390.5134722222</v>
      </c>
    </row>
    <row r="767" spans="14:20">
      <c r="N767" s="7" t="str">
        <f>HYPERLINK("E:\附赠：Excel模板\Excel实战技巧精粹：Excel模板大全1000例\支出明细表.xls","支出明细表.xls")</f>
        <v>支出明细表.xls</v>
      </c>
      <c r="Q767">
        <v>0.02</v>
      </c>
      <c r="R767" s="7" t="str">
        <f t="shared" si="15"/>
        <v>E:\附赠：Excel模板\Excel实战技巧精粹：Excel模板大全1000例</v>
      </c>
      <c r="S767" s="9">
        <v>43600.3821412037</v>
      </c>
      <c r="T767" s="9">
        <v>43390.5134722222</v>
      </c>
    </row>
    <row r="768" spans="14:20">
      <c r="N768" s="7" t="str">
        <f>HYPERLINK("E:\附赠：Excel模板\Excel实战技巧精粹：Excel模板大全1000例\支出项目明细表.xls","支出项目明细表.xls")</f>
        <v>支出项目明细表.xls</v>
      </c>
      <c r="Q768">
        <v>0.06</v>
      </c>
      <c r="R768" s="7" t="str">
        <f t="shared" si="15"/>
        <v>E:\附赠：Excel模板\Excel实战技巧精粹：Excel模板大全1000例</v>
      </c>
      <c r="S768" s="9">
        <v>43600.3821412037</v>
      </c>
      <c r="T768" s="9">
        <v>43390.5134722222</v>
      </c>
    </row>
    <row r="769" spans="14:20">
      <c r="N769" s="7" t="str">
        <f>HYPERLINK("E:\附赠：Excel模板\Excel实战技巧精粹：Excel模板大全1000例\收付款单.xls","收付款单.xls")</f>
        <v>收付款单.xls</v>
      </c>
      <c r="Q769">
        <v>0.02</v>
      </c>
      <c r="R769" s="7" t="str">
        <f t="shared" si="15"/>
        <v>E:\附赠：Excel模板\Excel实战技巧精粹：Excel模板大全1000例</v>
      </c>
      <c r="S769" s="9">
        <v>43600.3821412037</v>
      </c>
      <c r="T769" s="9">
        <v>43390.5138425926</v>
      </c>
    </row>
    <row r="770" spans="14:20">
      <c r="N770" s="7" t="str">
        <f>HYPERLINK("E:\附赠：Excel模板\Excel实战技巧精粹：Excel模板大全1000例\收入结构明细表.xls","收入结构明细表.xls")</f>
        <v>收入结构明细表.xls</v>
      </c>
      <c r="Q770">
        <v>0.01</v>
      </c>
      <c r="R770" s="7" t="str">
        <f t="shared" si="15"/>
        <v>E:\附赠：Excel模板\Excel实战技巧精粹：Excel模板大全1000例</v>
      </c>
      <c r="S770" s="9">
        <v>43600.3821412037</v>
      </c>
      <c r="T770" s="9">
        <v>43390.5138425926</v>
      </c>
    </row>
    <row r="771" spans="14:20">
      <c r="N771" s="7" t="str">
        <f>HYPERLINK("E:\附赠：Excel模板\Excel实战技巧精粹：Excel模板大全1000例\收入项目预算表.xls","收入项目预算表.xls")</f>
        <v>收入项目预算表.xls</v>
      </c>
      <c r="Q771">
        <v>0.02</v>
      </c>
      <c r="R771" s="7" t="str">
        <f t="shared" si="15"/>
        <v>E:\附赠：Excel模板\Excel实战技巧精粹：Excel模板大全1000例</v>
      </c>
      <c r="S771" s="9">
        <v>43600.3821412037</v>
      </c>
      <c r="T771" s="9">
        <v>43390.5138194444</v>
      </c>
    </row>
    <row r="772" spans="14:20">
      <c r="N772" s="7" t="str">
        <f>HYPERLINK("E:\附赠：Excel模板\Excel实战技巧精粹：Excel模板大全1000例\收支情况表.xls","收支情况表.xls")</f>
        <v>收支情况表.xls</v>
      </c>
      <c r="Q772">
        <v>0.04</v>
      </c>
      <c r="R772" s="7" t="str">
        <f t="shared" si="15"/>
        <v>E:\附赠：Excel模板\Excel实战技巧精粹：Excel模板大全1000例</v>
      </c>
      <c r="S772" s="9">
        <v>43600.3821412037</v>
      </c>
      <c r="T772" s="9">
        <v>43390.5138194444</v>
      </c>
    </row>
    <row r="773" spans="14:20">
      <c r="N773" s="7" t="str">
        <f>HYPERLINK("E:\附赠：Excel模板\Excel实战技巧精粹：Excel模板大全1000例\收支月报表.xls","收支月报表.xls")</f>
        <v>收支月报表.xls</v>
      </c>
      <c r="Q773">
        <v>0.02</v>
      </c>
      <c r="R773" s="7" t="str">
        <f t="shared" si="15"/>
        <v>E:\附赠：Excel模板\Excel实战技巧精粹：Excel模板大全1000例</v>
      </c>
      <c r="S773" s="9">
        <v>43600.3821412037</v>
      </c>
      <c r="T773" s="9">
        <v>43390.5138194444</v>
      </c>
    </row>
    <row r="774" spans="14:20">
      <c r="N774" s="7" t="str">
        <f>HYPERLINK("E:\附赠：Excel模板\Excel实战技巧精粹：Excel模板大全1000例\收支概况表.xls","收支概况表.xls")</f>
        <v>收支概况表.xls</v>
      </c>
      <c r="Q774">
        <v>0.02</v>
      </c>
      <c r="R774" s="7" t="str">
        <f t="shared" si="15"/>
        <v>E:\附赠：Excel模板\Excel实战技巧精粹：Excel模板大全1000例</v>
      </c>
      <c r="S774" s="9">
        <v>43600.3821412037</v>
      </c>
      <c r="T774" s="9">
        <v>43390.5138194444</v>
      </c>
    </row>
    <row r="775" spans="14:20">
      <c r="N775" s="7" t="str">
        <f>HYPERLINK("E:\附赠：Excel模板\Excel实战技巧精粹：Excel模板大全1000例\政府采购商品调拨验收单.xls","政府采购商品调拨验收单.xls")</f>
        <v>政府采购商品调拨验收单.xls</v>
      </c>
      <c r="Q775">
        <v>0.02</v>
      </c>
      <c r="R775" s="7" t="str">
        <f t="shared" si="15"/>
        <v>E:\附赠：Excel模板\Excel实战技巧精粹：Excel模板大全1000例</v>
      </c>
      <c r="S775" s="9">
        <v>43600.3821412037</v>
      </c>
      <c r="T775" s="9">
        <v>43390.5134722222</v>
      </c>
    </row>
    <row r="776" spans="14:20">
      <c r="N776" s="7" t="str">
        <f>HYPERLINK("E:\附赠：Excel模板\Excel实战技巧精粹：Excel模板大全1000例\政府采购执行计划表.xls","政府采购执行计划表.xls")</f>
        <v>政府采购执行计划表.xls</v>
      </c>
      <c r="Q776">
        <v>0.02</v>
      </c>
      <c r="R776" s="7" t="str">
        <f t="shared" si="15"/>
        <v>E:\附赠：Excel模板\Excel实战技巧精粹：Excel模板大全1000例</v>
      </c>
      <c r="S776" s="9">
        <v>43600.3821412037</v>
      </c>
      <c r="T776" s="9">
        <v>43390.5134722222</v>
      </c>
    </row>
    <row r="777" spans="14:20">
      <c r="N777" s="7" t="str">
        <f>HYPERLINK("E:\附赠：Excel模板\Excel实战技巧精粹：Excel模板大全1000例\政府采购用款申请书.xls","政府采购用款申请书.xls")</f>
        <v>政府采购用款申请书.xls</v>
      </c>
      <c r="Q777">
        <v>0.02</v>
      </c>
      <c r="R777" s="7" t="str">
        <f t="shared" si="15"/>
        <v>E:\附赠：Excel模板\Excel实战技巧精粹：Excel模板大全1000例</v>
      </c>
      <c r="S777" s="9">
        <v>43600.3821412037</v>
      </c>
      <c r="T777" s="9">
        <v>43390.5134722222</v>
      </c>
    </row>
    <row r="778" spans="14:20">
      <c r="N778" s="7" t="str">
        <f>HYPERLINK("E:\附赠：Excel模板\Excel实战技巧精粹：Excel模板大全1000例\政府采购申请表.xls","政府采购申请表.xls")</f>
        <v>政府采购申请表.xls</v>
      </c>
      <c r="Q778">
        <v>0.02</v>
      </c>
      <c r="R778" s="7" t="str">
        <f t="shared" si="15"/>
        <v>E:\附赠：Excel模板\Excel实战技巧精粹：Excel模板大全1000例</v>
      </c>
      <c r="S778" s="9">
        <v>43600.3821412037</v>
      </c>
      <c r="T778" s="9">
        <v>43390.5134722222</v>
      </c>
    </row>
    <row r="779" spans="14:20">
      <c r="N779" s="7" t="str">
        <f>HYPERLINK("E:\附赠：Excel模板\Excel实战技巧精粹：Excel模板大全1000例\政府采购立项表.xls","政府采购立项表.xls")</f>
        <v>政府采购立项表.xls</v>
      </c>
      <c r="Q779">
        <v>0.02</v>
      </c>
      <c r="R779" s="7" t="str">
        <f t="shared" si="15"/>
        <v>E:\附赠：Excel模板\Excel实战技巧精粹：Excel模板大全1000例</v>
      </c>
      <c r="S779" s="9">
        <v>43600.3821412037</v>
      </c>
      <c r="T779" s="9">
        <v>43390.5134722222</v>
      </c>
    </row>
    <row r="780" spans="14:20">
      <c r="N780" s="7" t="str">
        <f>HYPERLINK("E:\附赠：Excel模板\Excel实战技巧精粹：Excel模板大全1000例\政府采购计划批复表.xls","政府采购计划批复表.xls")</f>
        <v>政府采购计划批复表.xls</v>
      </c>
      <c r="Q780">
        <v>0.02</v>
      </c>
      <c r="R780" s="7" t="str">
        <f t="shared" si="15"/>
        <v>E:\附赠：Excel模板\Excel实战技巧精粹：Excel模板大全1000例</v>
      </c>
      <c r="S780" s="9">
        <v>43600.3821412037</v>
      </c>
      <c r="T780" s="9">
        <v>43390.5134722222</v>
      </c>
    </row>
    <row r="781" spans="14:20">
      <c r="N781" s="7" t="str">
        <f>HYPERLINK("E:\附赠：Excel模板\Excel实战技巧精粹：Excel模板大全1000例\政府采购评审专家登记表.xls","政府采购评审专家登记表.xls")</f>
        <v>政府采购评审专家登记表.xls</v>
      </c>
      <c r="Q781">
        <v>0.02</v>
      </c>
      <c r="R781" s="7" t="str">
        <f t="shared" si="15"/>
        <v>E:\附赠：Excel模板\Excel实战技巧精粹：Excel模板大全1000例</v>
      </c>
      <c r="S781" s="9">
        <v>43600.3821412037</v>
      </c>
      <c r="T781" s="9">
        <v>43390.5134722222</v>
      </c>
    </row>
    <row r="782" spans="14:20">
      <c r="N782" s="7" t="str">
        <f>HYPERLINK("E:\附赠：Excel模板\Excel实战技巧精粹：Excel模板大全1000例\政府采购预算表.xls","政府采购预算表.xls")</f>
        <v>政府采购预算表.xls</v>
      </c>
      <c r="Q782">
        <v>0.02</v>
      </c>
      <c r="R782" s="7" t="str">
        <f t="shared" si="15"/>
        <v>E:\附赠：Excel模板\Excel实战技巧精粹：Excel模板大全1000例</v>
      </c>
      <c r="S782" s="9">
        <v>43600.3821412037</v>
      </c>
      <c r="T782" s="9">
        <v>43390.5134722222</v>
      </c>
    </row>
    <row r="783" spans="14:20">
      <c r="N783" s="7" t="str">
        <f>HYPERLINK("E:\附赠：Excel模板\Excel实战技巧精粹：Excel模板大全1000例\政府预算收入科目.xls","政府预算收入科目.xls")</f>
        <v>政府预算收入科目.xls</v>
      </c>
      <c r="Q783">
        <v>0.03</v>
      </c>
      <c r="R783" s="7" t="str">
        <f t="shared" si="15"/>
        <v>E:\附赠：Excel模板\Excel实战技巧精粹：Excel模板大全1000例</v>
      </c>
      <c r="S783" s="9">
        <v>43600.3821412037</v>
      </c>
      <c r="T783" s="9">
        <v>43390.5134722222</v>
      </c>
    </row>
    <row r="784" spans="14:20">
      <c r="N784" s="7" t="str">
        <f>HYPERLINK("E:\附赠：Excel模板\Excel实战技巧精粹：Excel模板大全1000例\教学内容设置更改申请单.xls","教学内容设置更改申请单.xls")</f>
        <v>教学内容设置更改申请单.xls</v>
      </c>
      <c r="Q784">
        <v>0.02</v>
      </c>
      <c r="R784" s="7" t="str">
        <f t="shared" si="15"/>
        <v>E:\附赠：Excel模板\Excel实战技巧精粹：Excel模板大全1000例</v>
      </c>
      <c r="S784" s="9">
        <v>43600.3821412037</v>
      </c>
      <c r="T784" s="9">
        <v>43390.514212963</v>
      </c>
    </row>
    <row r="785" spans="14:20">
      <c r="N785" s="7" t="str">
        <f>HYPERLINK("E:\附赠：Excel模板\Excel实战技巧精粹：Excel模板大全1000例\教学安排.xls","教学安排.xls")</f>
        <v>教学安排.xls</v>
      </c>
      <c r="Q785">
        <v>0.07</v>
      </c>
      <c r="R785" s="7" t="str">
        <f t="shared" si="15"/>
        <v>E:\附赠：Excel模板\Excel实战技巧精粹：Excel模板大全1000例</v>
      </c>
      <c r="S785" s="9">
        <v>43600.3821412037</v>
      </c>
      <c r="T785" s="9">
        <v>43390.5142361111</v>
      </c>
    </row>
    <row r="786" spans="14:20">
      <c r="N786" s="7" t="str">
        <f>HYPERLINK("E:\附赠：Excel模板\Excel实战技巧精粹：Excel模板大全1000例\教学服务中心分组名单.xls","教学服务中心分组名单.xls")</f>
        <v>教学服务中心分组名单.xls</v>
      </c>
      <c r="Q786">
        <v>0.02</v>
      </c>
      <c r="R786" s="7" t="str">
        <f t="shared" si="15"/>
        <v>E:\附赠：Excel模板\Excel实战技巧精粹：Excel模板大全1000例</v>
      </c>
      <c r="S786" s="9">
        <v>43600.3821412037</v>
      </c>
      <c r="T786" s="9">
        <v>43390.5142361111</v>
      </c>
    </row>
    <row r="787" spans="14:20">
      <c r="N787" s="7" t="str">
        <f>HYPERLINK("E:\附赠：Excel模板\Excel实战技巧精粹：Excel模板大全1000例\教学研究与改革课题及成果一览表.xls","教学研究与改革课题及成果一览表.xls")</f>
        <v>教学研究与改革课题及成果一览表.xls</v>
      </c>
      <c r="Q787">
        <v>0.02</v>
      </c>
      <c r="R787" s="7" t="str">
        <f t="shared" si="15"/>
        <v>E:\附赠：Excel模板\Excel实战技巧精粹：Excel模板大全1000例</v>
      </c>
      <c r="S787" s="9">
        <v>43600.3821412037</v>
      </c>
      <c r="T787" s="9">
        <v>43390.514212963</v>
      </c>
    </row>
    <row r="788" spans="14:20">
      <c r="N788" s="7" t="str">
        <f>HYPERLINK("E:\附赠：Excel模板\Excel实战技巧精粹：Excel模板大全1000例\教学研究论文一览表.xls","教学研究论文一览表.xls")</f>
        <v>教学研究论文一览表.xls</v>
      </c>
      <c r="Q788">
        <v>0.02</v>
      </c>
      <c r="R788" s="7" t="str">
        <f t="shared" si="15"/>
        <v>E:\附赠：Excel模板\Excel实战技巧精粹：Excel模板大全1000例</v>
      </c>
      <c r="S788" s="9">
        <v>43600.3821412037</v>
      </c>
      <c r="T788" s="9">
        <v>43390.514212963</v>
      </c>
    </row>
    <row r="789" spans="14:20">
      <c r="N789" s="7" t="str">
        <f>HYPERLINK("E:\附赠：Excel模板\Excel实战技巧精粹：Excel模板大全1000例\教学管理及其改革的研究与实践课题成果一览表.xls","教学管理及其改革的研究与实践课题成果一览表.xls")</f>
        <v>教学管理及其改革的研究与实践课题成果一览表.xls</v>
      </c>
      <c r="Q789">
        <v>0.02</v>
      </c>
      <c r="R789" s="7" t="str">
        <f t="shared" si="15"/>
        <v>E:\附赠：Excel模板\Excel实战技巧精粹：Excel模板大全1000例</v>
      </c>
      <c r="S789" s="9">
        <v>43600.3821412037</v>
      </c>
      <c r="T789" s="9">
        <v>43390.5142361111</v>
      </c>
    </row>
    <row r="790" spans="14:20">
      <c r="N790" s="7" t="str">
        <f>HYPERLINK("E:\附赠：Excel模板\Excel实战技巧精粹：Excel模板大全1000例\教学管理用办公现代化设备清单.xls","教学管理用办公现代化设备清单.xls")</f>
        <v>教学管理用办公现代化设备清单.xls</v>
      </c>
      <c r="Q790">
        <v>0.02</v>
      </c>
      <c r="R790" s="7" t="str">
        <f t="shared" si="15"/>
        <v>E:\附赠：Excel模板\Excel实战技巧精粹：Excel模板大全1000例</v>
      </c>
      <c r="S790" s="9">
        <v>43600.3821412037</v>
      </c>
      <c r="T790" s="9">
        <v>43390.5142361111</v>
      </c>
    </row>
    <row r="791" spans="14:20">
      <c r="N791" s="7" t="str">
        <f>HYPERLINK("E:\附赠：Excel模板\Excel实战技巧精粹：Excel模板大全1000例\教学管理队伍一览表.xls","教学管理队伍一览表.xls")</f>
        <v>教学管理队伍一览表.xls</v>
      </c>
      <c r="Q791">
        <v>0.02</v>
      </c>
      <c r="R791" s="7" t="str">
        <f t="shared" ref="R791:R854" si="16">HYPERLINK("E:\附赠：Excel模板\Excel实战技巧精粹：Excel模板大全1000例","E:\附赠：Excel模板\Excel实战技巧精粹：Excel模板大全1000例")</f>
        <v>E:\附赠：Excel模板\Excel实战技巧精粹：Excel模板大全1000例</v>
      </c>
      <c r="S791" s="9">
        <v>43600.3821412037</v>
      </c>
      <c r="T791" s="9">
        <v>43390.5142361111</v>
      </c>
    </row>
    <row r="792" spans="14:20">
      <c r="N792" s="7" t="str">
        <f>HYPERLINK("E:\附赠：Excel模板\Excel实战技巧精粹：Excel模板大全1000例\教学管理队伍结构分析表.xls","教学管理队伍结构分析表.xls")</f>
        <v>教学管理队伍结构分析表.xls</v>
      </c>
      <c r="Q792">
        <v>0.02</v>
      </c>
      <c r="R792" s="7" t="str">
        <f t="shared" si="16"/>
        <v>E:\附赠：Excel模板\Excel实战技巧精粹：Excel模板大全1000例</v>
      </c>
      <c r="S792" s="9">
        <v>43600.3821412037</v>
      </c>
      <c r="T792" s="9">
        <v>43390.5142361111</v>
      </c>
    </row>
    <row r="793" spans="14:20">
      <c r="N793" s="7" t="str">
        <f>HYPERLINK("E:\附赠：Excel模板\Excel实战技巧精粹：Excel模板大全1000例\教学进度表.xls","教学进度表.xls")</f>
        <v>教学进度表.xls</v>
      </c>
      <c r="Q793">
        <v>0.02</v>
      </c>
      <c r="R793" s="7" t="str">
        <f t="shared" si="16"/>
        <v>E:\附赠：Excel模板\Excel实战技巧精粹：Excel模板大全1000例</v>
      </c>
      <c r="S793" s="9">
        <v>43600.3821412037</v>
      </c>
      <c r="T793" s="9">
        <v>43390.5142361111</v>
      </c>
    </row>
    <row r="794" spans="14:20">
      <c r="N794" s="7" t="str">
        <f>HYPERLINK("E:\附赠：Excel模板\Excel实战技巧精粹：Excel模板大全1000例\教师名册.xls","教师名册.xls")</f>
        <v>教师名册.xls</v>
      </c>
      <c r="Q794">
        <v>0.02</v>
      </c>
      <c r="R794" s="7" t="str">
        <f t="shared" si="16"/>
        <v>E:\附赠：Excel模板\Excel实战技巧精粹：Excel模板大全1000例</v>
      </c>
      <c r="S794" s="9">
        <v>43600.3821412037</v>
      </c>
      <c r="T794" s="9">
        <v>43390.5142361111</v>
      </c>
    </row>
    <row r="795" spans="14:20">
      <c r="N795" s="7" t="str">
        <f>HYPERLINK("E:\附赠：Excel模板\Excel实战技巧精粹：Excel模板大全1000例\教师承担双语教学情况统计表.xls","教师承担双语教学情况统计表.xls")</f>
        <v>教师承担双语教学情况统计表.xls</v>
      </c>
      <c r="Q795">
        <v>0.02</v>
      </c>
      <c r="R795" s="7" t="str">
        <f t="shared" si="16"/>
        <v>E:\附赠：Excel模板\Excel实战技巧精粹：Excel模板大全1000例</v>
      </c>
      <c r="S795" s="9">
        <v>43600.3821412037</v>
      </c>
      <c r="T795" s="9">
        <v>43390.5142361111</v>
      </c>
    </row>
    <row r="796" spans="14:20">
      <c r="N796" s="7" t="str">
        <f>HYPERLINK("E:\附赠：Excel模板\Excel实战技巧精粹：Excel模板大全1000例\教师教学、科研成果获省部级以上奖励情况统计表.xls","教师教学、科研成果获省部级以上奖励情况统计表.xls")</f>
        <v>教师教学、科研成果获省部级以上奖励情况统计表.xls</v>
      </c>
      <c r="Q796">
        <v>0.02</v>
      </c>
      <c r="R796" s="7" t="str">
        <f t="shared" si="16"/>
        <v>E:\附赠：Excel模板\Excel实战技巧精粹：Excel模板大全1000例</v>
      </c>
      <c r="S796" s="9">
        <v>43600.3821412037</v>
      </c>
      <c r="T796" s="9">
        <v>43390.5142361111</v>
      </c>
    </row>
    <row r="797" spans="14:20">
      <c r="N797" s="7" t="str">
        <f>HYPERLINK("E:\附赠：Excel模板\Excel实战技巧精粹：Excel模板大全1000例\教师教学事故情况统计表.xls","教师教学事故情况统计表.xls")</f>
        <v>教师教学事故情况统计表.xls</v>
      </c>
      <c r="Q797">
        <v>0.02</v>
      </c>
      <c r="R797" s="7" t="str">
        <f t="shared" si="16"/>
        <v>E:\附赠：Excel模板\Excel实战技巧精粹：Excel模板大全1000例</v>
      </c>
      <c r="S797" s="9">
        <v>43600.3821412037</v>
      </c>
      <c r="T797" s="9">
        <v>43390.5142361111</v>
      </c>
    </row>
    <row r="798" spans="14:20">
      <c r="N798" s="7" t="str">
        <f>HYPERLINK("E:\附赠：Excel模板\Excel实战技巧精粹：Excel模板大全1000例\教师获各类教学奖情况统计表.xls","教师获各类教学奖情况统计表.xls")</f>
        <v>教师获各类教学奖情况统计表.xls</v>
      </c>
      <c r="Q798">
        <v>0.02</v>
      </c>
      <c r="R798" s="7" t="str">
        <f t="shared" si="16"/>
        <v>E:\附赠：Excel模板\Excel实战技巧精粹：Excel模板大全1000例</v>
      </c>
      <c r="S798" s="9">
        <v>43600.3821412037</v>
      </c>
      <c r="T798" s="9">
        <v>43390.5142361111</v>
      </c>
    </row>
    <row r="799" spans="14:20">
      <c r="N799" s="7" t="str">
        <f>HYPERLINK("E:\附赠：Excel模板\Excel实战技巧精粹：Excel模板大全1000例\教科文事业经费收支情况表.xls","教科文事业经费收支情况表.xls")</f>
        <v>教科文事业经费收支情况表.xls</v>
      </c>
      <c r="Q799">
        <v>0.02</v>
      </c>
      <c r="R799" s="7" t="str">
        <f t="shared" si="16"/>
        <v>E:\附赠：Excel模板\Excel实战技巧精粹：Excel模板大全1000例</v>
      </c>
      <c r="S799" s="9">
        <v>43600.3821412037</v>
      </c>
      <c r="T799" s="9">
        <v>43390.5142361111</v>
      </c>
    </row>
    <row r="800" spans="14:20">
      <c r="N800" s="7" t="str">
        <f>HYPERLINK("E:\附赠：Excel模板\Excel实战技巧精粹：Excel模板大全1000例\数值积分.xls","数值积分.xls")</f>
        <v>数值积分.xls</v>
      </c>
      <c r="Q800">
        <v>0.02</v>
      </c>
      <c r="R800" s="7" t="str">
        <f t="shared" si="16"/>
        <v>E:\附赠：Excel模板\Excel实战技巧精粹：Excel模板大全1000例</v>
      </c>
      <c r="S800" s="9">
        <v>43600.3821412037</v>
      </c>
      <c r="T800" s="9">
        <v>43390.5138194444</v>
      </c>
    </row>
    <row r="801" spans="14:20">
      <c r="N801" s="7" t="str">
        <f>HYPERLINK("E:\附赠：Excel模板\Excel实战技巧精粹：Excel模板大全1000例\数据结构- 灾后评估信息.xls","数据结构- 灾后评估信息.xls")</f>
        <v>数据结构- 灾后评估信息.xls</v>
      </c>
      <c r="Q801">
        <v>0.02</v>
      </c>
      <c r="R801" s="7" t="str">
        <f t="shared" si="16"/>
        <v>E:\附赠：Excel模板\Excel实战技巧精粹：Excel模板大全1000例</v>
      </c>
      <c r="S801" s="9">
        <v>43600.3821412037</v>
      </c>
      <c r="T801" s="9">
        <v>43390.5138425926</v>
      </c>
    </row>
    <row r="802" spans="14:20">
      <c r="N802" s="7" t="str">
        <f>HYPERLINK("E:\附赠：Excel模板\Excel实战技巧精粹：Excel模板大全1000例\数据结构- 道路桥梁信息.xls","数据结构- 道路桥梁信息.xls")</f>
        <v>数据结构- 道路桥梁信息.xls</v>
      </c>
      <c r="Q802">
        <v>0.02</v>
      </c>
      <c r="R802" s="7" t="str">
        <f t="shared" si="16"/>
        <v>E:\附赠：Excel模板\Excel实战技巧精粹：Excel模板大全1000例</v>
      </c>
      <c r="S802" s="9">
        <v>43600.3821412037</v>
      </c>
      <c r="T802" s="9">
        <v>43390.5138194444</v>
      </c>
    </row>
    <row r="803" spans="14:20">
      <c r="N803" s="7" t="str">
        <f>HYPERLINK("E:\附赠：Excel模板\Excel实战技巧精粹：Excel模板大全1000例\数据结构-卫星影像信息.xls","数据结构-卫星影像信息.xls")</f>
        <v>数据结构-卫星影像信息.xls</v>
      </c>
      <c r="Q803">
        <v>0.02</v>
      </c>
      <c r="R803" s="7" t="str">
        <f t="shared" si="16"/>
        <v>E:\附赠：Excel模板\Excel实战技巧精粹：Excel模板大全1000例</v>
      </c>
      <c r="S803" s="9">
        <v>43600.3821412037</v>
      </c>
      <c r="T803" s="9">
        <v>43390.5138194444</v>
      </c>
    </row>
    <row r="804" spans="14:20">
      <c r="N804" s="7" t="str">
        <f>HYPERLINK("E:\附赠：Excel模板\Excel实战技巧精粹：Excel模板大全1000例\数据结构-地貌与地物信息.xls","数据结构-地貌与地物信息.xls")</f>
        <v>数据结构-地貌与地物信息.xls</v>
      </c>
      <c r="Q804">
        <v>0.02</v>
      </c>
      <c r="R804" s="7" t="str">
        <f t="shared" si="16"/>
        <v>E:\附赠：Excel模板\Excel实战技巧精粹：Excel模板大全1000例</v>
      </c>
      <c r="S804" s="9">
        <v>43600.3821412037</v>
      </c>
      <c r="T804" s="9">
        <v>43390.5138194444</v>
      </c>
    </row>
    <row r="805" spans="14:20">
      <c r="N805" s="7" t="str">
        <f>HYPERLINK("E:\附赠：Excel模板\Excel实战技巧精粹：Excel模板大全1000例\数据结构-森林资源调查信息.xls","数据结构-森林资源调查信息.xls")</f>
        <v>数据结构-森林资源调查信息.xls</v>
      </c>
      <c r="Q805">
        <v>0.04</v>
      </c>
      <c r="R805" s="7" t="str">
        <f t="shared" si="16"/>
        <v>E:\附赠：Excel模板\Excel实战技巧精粹：Excel模板大全1000例</v>
      </c>
      <c r="S805" s="9">
        <v>43600.3821412037</v>
      </c>
      <c r="T805" s="9">
        <v>43390.5138194444</v>
      </c>
    </row>
    <row r="806" spans="14:20">
      <c r="N806" s="7" t="str">
        <f>HYPERLINK("E:\附赠：Excel模板\Excel实战技巧精粹：Excel模板大全1000例\数据结构-火灾预警信息.xls","数据结构-火灾预警信息.xls")</f>
        <v>数据结构-火灾预警信息.xls</v>
      </c>
      <c r="Q806">
        <v>0.02</v>
      </c>
      <c r="R806" s="7" t="str">
        <f t="shared" si="16"/>
        <v>E:\附赠：Excel模板\Excel实战技巧精粹：Excel模板大全1000例</v>
      </c>
      <c r="S806" s="9">
        <v>43600.3821412037</v>
      </c>
      <c r="T806" s="9">
        <v>43390.5138194444</v>
      </c>
    </row>
    <row r="807" spans="14:20">
      <c r="N807" s="7" t="str">
        <f>HYPERLINK("E:\附赠：Excel模板\Excel实战技巧精粹：Excel模板大全1000例\数据结构-社会经济信息.xls","数据结构-社会经济信息.xls")</f>
        <v>数据结构-社会经济信息.xls</v>
      </c>
      <c r="Q807">
        <v>0.02</v>
      </c>
      <c r="R807" s="7" t="str">
        <f t="shared" si="16"/>
        <v>E:\附赠：Excel模板\Excel实战技巧精粹：Excel模板大全1000例</v>
      </c>
      <c r="S807" s="9">
        <v>43600.3821412037</v>
      </c>
      <c r="T807" s="9">
        <v>43390.5138194444</v>
      </c>
    </row>
    <row r="808" spans="14:20">
      <c r="N808" s="7" t="str">
        <f>HYPERLINK("E:\附赠：Excel模板\Excel实战技巧精粹：Excel模板大全1000例\数据结构-系统用户管理信息.xls","数据结构-系统用户管理信息.xls")</f>
        <v>数据结构-系统用户管理信息.xls</v>
      </c>
      <c r="Q808">
        <v>0.02</v>
      </c>
      <c r="R808" s="7" t="str">
        <f t="shared" si="16"/>
        <v>E:\附赠：Excel模板\Excel实战技巧精粹：Excel模板大全1000例</v>
      </c>
      <c r="S808" s="9">
        <v>43600.3821412037</v>
      </c>
      <c r="T808" s="9">
        <v>43390.5138194444</v>
      </c>
    </row>
    <row r="809" spans="14:20">
      <c r="N809" s="7" t="str">
        <f>HYPERLINK("E:\附赠：Excel模板\Excel实战技巧精粹：Excel模板大全1000例\数据结构-行政区划信息.xls","数据结构-行政区划信息.xls")</f>
        <v>数据结构-行政区划信息.xls</v>
      </c>
      <c r="Q809">
        <v>0.02</v>
      </c>
      <c r="R809" s="7" t="str">
        <f t="shared" si="16"/>
        <v>E:\附赠：Excel模板\Excel实战技巧精粹：Excel模板大全1000例</v>
      </c>
      <c r="S809" s="9">
        <v>43600.3821412037</v>
      </c>
      <c r="T809" s="9">
        <v>43390.5138194444</v>
      </c>
    </row>
    <row r="810" spans="14:20">
      <c r="N810" s="7" t="str">
        <f>HYPERLINK("E:\附赠：Excel模板\Excel实战技巧精粹：Excel模板大全1000例\文艺活動成果統計.xls","文艺活動成果統計.xls")</f>
        <v>文艺活動成果統計.xls</v>
      </c>
      <c r="Q810">
        <v>0.02</v>
      </c>
      <c r="R810" s="7" t="str">
        <f t="shared" si="16"/>
        <v>E:\附赠：Excel模板\Excel实战技巧精粹：Excel模板大全1000例</v>
      </c>
      <c r="S810" s="9">
        <v>43600.3821412037</v>
      </c>
      <c r="T810" s="9">
        <v>43390.51375</v>
      </c>
    </row>
    <row r="811" spans="14:20">
      <c r="N811" s="7" t="str">
        <f>HYPERLINK("E:\附赠：Excel模板\Excel实战技巧精粹：Excel模板大全1000例\新型农村合作医疗制度情况表.xls","新型农村合作医疗制度情况表.xls")</f>
        <v>新型农村合作医疗制度情况表.xls</v>
      </c>
      <c r="Q811">
        <v>0.02</v>
      </c>
      <c r="R811" s="7" t="str">
        <f t="shared" si="16"/>
        <v>E:\附赠：Excel模板\Excel实战技巧精粹：Excel模板大全1000例</v>
      </c>
      <c r="S811" s="9">
        <v>43600.3821412037</v>
      </c>
      <c r="T811" s="9">
        <v>43390.5136805556</v>
      </c>
    </row>
    <row r="812" spans="14:20">
      <c r="N812" s="7" t="str">
        <f>HYPERLINK("E:\附赠：Excel模板\Excel实战技巧精粹：Excel模板大全1000例\新型农村合作医疗制度扩大试点情况表.xls","新型农村合作医疗制度扩大试点情况表.xls")</f>
        <v>新型农村合作医疗制度扩大试点情况表.xls</v>
      </c>
      <c r="Q812">
        <v>0.02</v>
      </c>
      <c r="R812" s="7" t="str">
        <f t="shared" si="16"/>
        <v>E:\附赠：Excel模板\Excel实战技巧精粹：Excel模板大全1000例</v>
      </c>
      <c r="S812" s="9">
        <v>43600.3821412037</v>
      </c>
      <c r="T812" s="9">
        <v>43390.5136805556</v>
      </c>
    </row>
    <row r="813" spans="14:20">
      <c r="N813" s="7" t="str">
        <f>HYPERLINK("E:\附赠：Excel模板\Excel实战技巧精粹：Excel模板大全1000例\新增旅游产业直接就业人数情况.xls","新增旅游产业直接就业人数情况.xls")</f>
        <v>新增旅游产业直接就业人数情况.xls</v>
      </c>
      <c r="Q813">
        <v>0.02</v>
      </c>
      <c r="R813" s="7" t="str">
        <f t="shared" si="16"/>
        <v>E:\附赠：Excel模板\Excel实战技巧精粹：Excel模板大全1000例</v>
      </c>
      <c r="S813" s="9">
        <v>43600.3821412037</v>
      </c>
      <c r="T813" s="9">
        <v>43390.5136805556</v>
      </c>
    </row>
    <row r="814" spans="14:20">
      <c r="N814" s="7" t="str">
        <f>HYPERLINK("E:\附赠：Excel模板\Excel实战技巧精粹：Excel模板大全1000例\新增生产能力主要统计指标年报.xls","新增生产能力主要统计指标年报.xls")</f>
        <v>新增生产能力主要统计指标年报.xls</v>
      </c>
      <c r="Q814">
        <v>0.02</v>
      </c>
      <c r="R814" s="7" t="str">
        <f t="shared" si="16"/>
        <v>E:\附赠：Excel模板\Excel实战技巧精粹：Excel模板大全1000例</v>
      </c>
      <c r="S814" s="9">
        <v>43600.3821412037</v>
      </c>
      <c r="T814" s="9">
        <v>43390.5137037037</v>
      </c>
    </row>
    <row r="815" spans="14:20">
      <c r="N815" s="7" t="str">
        <f>HYPERLINK("E:\附赠：Excel模板\Excel实战技巧精粹：Excel模板大全1000例\新進人員起薪表.xls","新進人員起薪表.xls")</f>
        <v>新進人員起薪表.xls</v>
      </c>
      <c r="Q815">
        <v>0.08</v>
      </c>
      <c r="R815" s="7" t="str">
        <f t="shared" si="16"/>
        <v>E:\附赠：Excel模板\Excel实战技巧精粹：Excel模板大全1000例</v>
      </c>
      <c r="S815" s="9">
        <v>43600.3821412037</v>
      </c>
      <c r="T815" s="9">
        <v>43390.5136805556</v>
      </c>
    </row>
    <row r="816" spans="14:20">
      <c r="N816" s="7" t="str">
        <f>HYPERLINK("E:\附赠：Excel模板\Excel实战技巧精粹：Excel模板大全1000例\施工企业补充指标表.xls","施工企业补充指标表.xls")</f>
        <v>施工企业补充指标表.xls</v>
      </c>
      <c r="Q816">
        <v>0.02</v>
      </c>
      <c r="R816" s="7" t="str">
        <f t="shared" si="16"/>
        <v>E:\附赠：Excel模板\Excel实战技巧精粹：Excel模板大全1000例</v>
      </c>
      <c r="S816" s="9">
        <v>43600.3821412037</v>
      </c>
      <c r="T816" s="9">
        <v>43390.5138888889</v>
      </c>
    </row>
    <row r="817" spans="14:20">
      <c r="N817" s="7" t="str">
        <f>HYPERLINK("E:\附赠：Excel模板\Excel实战技巧精粹：Excel模板大全1000例\旅游业统计表.xls","旅游业统计表.xls")</f>
        <v>旅游业统计表.xls</v>
      </c>
      <c r="Q817">
        <v>0.02</v>
      </c>
      <c r="R817" s="7" t="str">
        <f t="shared" si="16"/>
        <v>E:\附赠：Excel模板\Excel实战技巧精粹：Excel模板大全1000例</v>
      </c>
      <c r="S817" s="9">
        <v>43600.3821412037</v>
      </c>
      <c r="T817" s="9">
        <v>43390.5140972222</v>
      </c>
    </row>
    <row r="818" spans="14:20">
      <c r="N818" s="7" t="str">
        <f>HYPERLINK("E:\附赠：Excel模板\Excel实战技巧精粹：Excel模板大全1000例\旅游企业经营情况指标基层月报表.xls","旅游企业经营情况指标基层月报表.xls")</f>
        <v>旅游企业经营情况指标基层月报表.xls</v>
      </c>
      <c r="Q818">
        <v>0.02</v>
      </c>
      <c r="R818" s="7" t="str">
        <f t="shared" si="16"/>
        <v>E:\附赠：Excel模板\Excel实战技巧精粹：Excel模板大全1000例</v>
      </c>
      <c r="S818" s="9">
        <v>43600.3821412037</v>
      </c>
      <c r="T818" s="9">
        <v>43390.5140972222</v>
      </c>
    </row>
    <row r="819" spans="14:20">
      <c r="N819" s="7" t="str">
        <f>HYPERLINK("E:\附赠：Excel模板\Excel实战技巧精粹：Excel模板大全1000例\旅游企业补充指标表.xls","旅游企业补充指标表.xls")</f>
        <v>旅游企业补充指标表.xls</v>
      </c>
      <c r="Q819">
        <v>0.02</v>
      </c>
      <c r="R819" s="7" t="str">
        <f t="shared" si="16"/>
        <v>E:\附赠：Excel模板\Excel实战技巧精粹：Excel模板大全1000例</v>
      </c>
      <c r="S819" s="9">
        <v>43600.3821412037</v>
      </c>
      <c r="T819" s="9">
        <v>43390.5140972222</v>
      </c>
    </row>
    <row r="820" spans="14:20">
      <c r="N820" s="7" t="str">
        <f>HYPERLINK("E:\附赠：Excel模板\Excel实战技巧精粹：Excel模板大全1000例\旅游住宿旅游设施接待情况.xls","旅游住宿旅游设施接待情况.xls")</f>
        <v>旅游住宿旅游设施接待情况.xls</v>
      </c>
      <c r="Q820">
        <v>0.02</v>
      </c>
      <c r="R820" s="7" t="str">
        <f t="shared" si="16"/>
        <v>E:\附赠：Excel模板\Excel实战技巧精粹：Excel模板大全1000例</v>
      </c>
      <c r="S820" s="9">
        <v>43600.3821412037</v>
      </c>
      <c r="T820" s="9">
        <v>43390.5140972222</v>
      </c>
    </row>
    <row r="821" spans="14:20">
      <c r="N821" s="7" t="str">
        <f>HYPERLINK("E:\附赠：Excel模板\Excel实战技巧精粹：Excel模板大全1000例\旅游区(点)环境质量测评表.xls","旅游区(点)环境质量测评表.xls")</f>
        <v>旅游区(点)环境质量测评表.xls</v>
      </c>
      <c r="Q821">
        <v>0.02</v>
      </c>
      <c r="R821" s="7" t="str">
        <f t="shared" si="16"/>
        <v>E:\附赠：Excel模板\Excel实战技巧精粹：Excel模板大全1000例</v>
      </c>
      <c r="S821" s="9">
        <v>43600.3821412037</v>
      </c>
      <c r="T821" s="9">
        <v>43390.5140972222</v>
      </c>
    </row>
    <row r="822" spans="14:20">
      <c r="N822" s="7" t="str">
        <f>HYPERLINK("E:\附赠：Excel模板\Excel实战技巧精粹：Excel模板大全1000例\旅游区游客调查表.xls","旅游区游客调查表.xls")</f>
        <v>旅游区游客调查表.xls</v>
      </c>
      <c r="Q822">
        <v>0.1</v>
      </c>
      <c r="R822" s="7" t="str">
        <f t="shared" si="16"/>
        <v>E:\附赠：Excel模板\Excel实战技巧精粹：Excel模板大全1000例</v>
      </c>
      <c r="S822" s="9">
        <v>43600.3821412037</v>
      </c>
      <c r="T822" s="9">
        <v>43390.5140972222</v>
      </c>
    </row>
    <row r="823" spans="14:20">
      <c r="N823" s="7" t="str">
        <f>HYPERLINK("E:\附赠：Excel模板\Excel实战技巧精粹：Excel模板大全1000例\旅游区（点）经营情况基层表.xls","旅游区（点）经营情况基层表.xls")</f>
        <v>旅游区（点）经营情况基层表.xls</v>
      </c>
      <c r="Q823">
        <v>0.02</v>
      </c>
      <c r="R823" s="7" t="str">
        <f t="shared" si="16"/>
        <v>E:\附赠：Excel模板\Excel实战技巧精粹：Excel模板大全1000例</v>
      </c>
      <c r="S823" s="9">
        <v>43600.3821412037</v>
      </c>
      <c r="T823" s="9">
        <v>43390.5140972222</v>
      </c>
    </row>
    <row r="824" spans="14:20">
      <c r="N824" s="7" t="str">
        <f>HYPERLINK("E:\附赠：Excel模板\Excel实战技巧精粹：Excel模板大全1000例\旅游单位基本情况.xls","旅游单位基本情况.xls")</f>
        <v>旅游单位基本情况.xls</v>
      </c>
      <c r="Q824">
        <v>0.02</v>
      </c>
      <c r="R824" s="7" t="str">
        <f t="shared" si="16"/>
        <v>E:\附赠：Excel模板\Excel实战技巧精粹：Excel模板大全1000例</v>
      </c>
      <c r="S824" s="9">
        <v>43600.3821412037</v>
      </c>
      <c r="T824" s="9">
        <v>43390.5141203704</v>
      </c>
    </row>
    <row r="825" spans="14:20">
      <c r="N825" s="7" t="str">
        <f>HYPERLINK("E:\附赠：Excel模板\Excel实战技巧精粹：Excel模板大全1000例\旅游客运中心有限公司资金预算计划表.xls","旅游客运中心有限公司资金预算计划表.xls")</f>
        <v>旅游客运中心有限公司资金预算计划表.xls</v>
      </c>
      <c r="Q825">
        <v>0.02</v>
      </c>
      <c r="R825" s="7" t="str">
        <f t="shared" si="16"/>
        <v>E:\附赠：Excel模板\Excel实战技巧精粹：Excel模板大全1000例</v>
      </c>
      <c r="S825" s="9">
        <v>43600.3821412037</v>
      </c>
      <c r="T825" s="9">
        <v>43390.5140972222</v>
      </c>
    </row>
    <row r="826" spans="14:20">
      <c r="N826" s="7" t="str">
        <f>HYPERLINK("E:\附赠：Excel模板\Excel实战技巧精粹：Excel模板大全1000例\旅游报名详细清单.xls","旅游报名详细清单.xls")</f>
        <v>旅游报名详细清单.xls</v>
      </c>
      <c r="Q826">
        <v>0.02</v>
      </c>
      <c r="R826" s="7" t="str">
        <f t="shared" si="16"/>
        <v>E:\附赠：Excel模板\Excel实战技巧精粹：Excel模板大全1000例</v>
      </c>
      <c r="S826" s="9">
        <v>43600.3821412037</v>
      </c>
      <c r="T826" s="9">
        <v>43390.5141203704</v>
      </c>
    </row>
    <row r="827" spans="14:20">
      <c r="N827" s="7" t="str">
        <f>HYPERLINK("E:\附赠：Excel模板\Excel实战技巧精粹：Excel模板大全1000例\旅游接待户通讯录.xls","旅游接待户通讯录.xls")</f>
        <v>旅游接待户通讯录.xls</v>
      </c>
      <c r="Q827">
        <v>0.02</v>
      </c>
      <c r="R827" s="7" t="str">
        <f t="shared" si="16"/>
        <v>E:\附赠：Excel模板\Excel实战技巧精粹：Excel模板大全1000例</v>
      </c>
      <c r="S827" s="9">
        <v>43600.3821412037</v>
      </c>
      <c r="T827" s="9">
        <v>43390.5141203704</v>
      </c>
    </row>
    <row r="828" spans="14:20">
      <c r="N828" s="7" t="str">
        <f>HYPERLINK("E:\附赠：Excel模板\Excel实战技巧精粹：Excel模板大全1000例\旅游服务网络问卷调查.xls","旅游服务网络问卷调查.xls")</f>
        <v>旅游服务网络问卷调查.xls</v>
      </c>
      <c r="Q828">
        <v>0.02</v>
      </c>
      <c r="R828" s="7" t="str">
        <f t="shared" si="16"/>
        <v>E:\附赠：Excel模板\Excel实战技巧精粹：Excel模板大全1000例</v>
      </c>
      <c r="S828" s="9">
        <v>43600.3821412037</v>
      </c>
      <c r="T828" s="9">
        <v>43390.5141203704</v>
      </c>
    </row>
    <row r="829" spans="14:20">
      <c r="N829" s="7" t="str">
        <f>HYPERLINK("E:\附赠：Excel模板\Excel实战技巧精粹：Excel模板大全1000例\旅游活动出行确认表.xls","旅游活动出行确认表.xls")</f>
        <v>旅游活动出行确认表.xls</v>
      </c>
      <c r="Q829">
        <v>0.02</v>
      </c>
      <c r="R829" s="7" t="str">
        <f t="shared" si="16"/>
        <v>E:\附赠：Excel模板\Excel实战技巧精粹：Excel模板大全1000例</v>
      </c>
      <c r="S829" s="9">
        <v>43600.3821412037</v>
      </c>
      <c r="T829" s="9">
        <v>43390.5141435185</v>
      </c>
    </row>
    <row r="830" spans="14:20">
      <c r="N830" s="7" t="str">
        <f>HYPERLINK("E:\附赠：Excel模板\Excel实战技巧精粹：Excel模板大全1000例\旅游精华日程表.xls","旅游精华日程表.xls")</f>
        <v>旅游精华日程表.xls</v>
      </c>
      <c r="Q830">
        <v>0.02</v>
      </c>
      <c r="R830" s="7" t="str">
        <f t="shared" si="16"/>
        <v>E:\附赠：Excel模板\Excel实战技巧精粹：Excel模板大全1000例</v>
      </c>
      <c r="S830" s="9">
        <v>43600.3821412037</v>
      </c>
      <c r="T830" s="9">
        <v>43390.5140972222</v>
      </c>
    </row>
    <row r="831" spans="14:20">
      <c r="N831" s="7" t="str">
        <f>HYPERLINK("E:\附赠：Excel模板\Excel实战技巧精粹：Excel模板大全1000例\旅游超市预订系统申请表.xls","旅游超市预订系统申请表.xls")</f>
        <v>旅游超市预订系统申请表.xls</v>
      </c>
      <c r="Q831">
        <v>0.02</v>
      </c>
      <c r="R831" s="7" t="str">
        <f t="shared" si="16"/>
        <v>E:\附赠：Excel模板\Excel实战技巧精粹：Excel模板大全1000例</v>
      </c>
      <c r="S831" s="9">
        <v>43600.3821412037</v>
      </c>
      <c r="T831" s="9">
        <v>43390.5141203704</v>
      </c>
    </row>
    <row r="832" spans="14:20">
      <c r="N832" s="7" t="str">
        <f>HYPERLINK("E:\附赠：Excel模板\Excel实战技巧精粹：Excel模板大全1000例\旅行社业务年检通告.xls","旅行社业务年检通告.xls")</f>
        <v>旅行社业务年检通告.xls</v>
      </c>
      <c r="Q832">
        <v>0.02</v>
      </c>
      <c r="R832" s="7" t="str">
        <f t="shared" si="16"/>
        <v>E:\附赠：Excel模板\Excel实战技巧精粹：Excel模板大全1000例</v>
      </c>
      <c r="S832" s="9">
        <v>43600.3821412037</v>
      </c>
      <c r="T832" s="9">
        <v>43390.5141203704</v>
      </c>
    </row>
    <row r="833" spans="14:20">
      <c r="N833" s="7" t="str">
        <f>HYPERLINK("E:\附赠：Excel模板\Excel实战技巧精粹：Excel模板大全1000例\旅行社基本情况.xls","旅行社基本情况.xls")</f>
        <v>旅行社基本情况.xls</v>
      </c>
      <c r="Q833">
        <v>0.02</v>
      </c>
      <c r="R833" s="7" t="str">
        <f t="shared" si="16"/>
        <v>E:\附赠：Excel模板\Excel实战技巧精粹：Excel模板大全1000例</v>
      </c>
      <c r="S833" s="9">
        <v>43600.3821412037</v>
      </c>
      <c r="T833" s="9">
        <v>43390.5141203704</v>
      </c>
    </row>
    <row r="834" spans="14:20">
      <c r="N834" s="7" t="str">
        <f>HYPERLINK("E:\附赠：Excel模板\Excel实战技巧精粹：Excel模板大全1000例\旅行社外联和接待情况.xls","旅行社外联和接待情况.xls")</f>
        <v>旅行社外联和接待情况.xls</v>
      </c>
      <c r="Q834">
        <v>0.02</v>
      </c>
      <c r="R834" s="7" t="str">
        <f t="shared" si="16"/>
        <v>E:\附赠：Excel模板\Excel实战技巧精粹：Excel模板大全1000例</v>
      </c>
      <c r="S834" s="9">
        <v>43600.3821412037</v>
      </c>
      <c r="T834" s="9">
        <v>43390.5141203704</v>
      </c>
    </row>
    <row r="835" spans="14:20">
      <c r="N835" s="7" t="str">
        <f>HYPERLINK("E:\附赠：Excel模板\Excel实战技巧精粹：Excel模板大全1000例\旅行社接待国内旅游者情况基层报表.xls","旅行社接待国内旅游者情况基层报表.xls")</f>
        <v>旅行社接待国内旅游者情况基层报表.xls</v>
      </c>
      <c r="Q835">
        <v>0.02</v>
      </c>
      <c r="R835" s="7" t="str">
        <f t="shared" si="16"/>
        <v>E:\附赠：Excel模板\Excel实战技巧精粹：Excel模板大全1000例</v>
      </c>
      <c r="S835" s="9">
        <v>43600.3821412037</v>
      </c>
      <c r="T835" s="9">
        <v>43390.5141203704</v>
      </c>
    </row>
    <row r="836" spans="14:20">
      <c r="N836" s="7" t="str">
        <f>HYPERLINK("E:\附赠：Excel模板\Excel实战技巧精粹：Excel模板大全1000例\旅行社组团出境旅游情况基层报表.xls","旅行社组团出境旅游情况基层报表.xls")</f>
        <v>旅行社组团出境旅游情况基层报表.xls</v>
      </c>
      <c r="Q836">
        <v>0.02</v>
      </c>
      <c r="R836" s="7" t="str">
        <f t="shared" si="16"/>
        <v>E:\附赠：Excel模板\Excel实战技巧精粹：Excel模板大全1000例</v>
      </c>
      <c r="S836" s="9">
        <v>43600.3821412037</v>
      </c>
      <c r="T836" s="9">
        <v>43390.5141203704</v>
      </c>
    </row>
    <row r="837" spans="14:20">
      <c r="N837" s="7" t="str">
        <f>HYPERLINK("E:\附赠：Excel模板\Excel实战技巧精粹：Excel模板大全1000例\旅行社经营情况.xls","旅行社经营情况.xls")</f>
        <v>旅行社经营情况.xls</v>
      </c>
      <c r="Q837">
        <v>0.02</v>
      </c>
      <c r="R837" s="7" t="str">
        <f t="shared" si="16"/>
        <v>E:\附赠：Excel模板\Excel实战技巧精粹：Excel模板大全1000例</v>
      </c>
      <c r="S837" s="9">
        <v>43600.3821412037</v>
      </c>
      <c r="T837" s="9">
        <v>43390.5141203704</v>
      </c>
    </row>
    <row r="838" spans="14:20">
      <c r="N838" s="7" t="str">
        <f>HYPERLINK("E:\附赠：Excel模板\Excel实战技巧精粹：Excel模板大全1000例\旅行社预订上、下午统计分析表.xls","旅行社预订上、下午统计分析表.xls")</f>
        <v>旅行社预订上、下午统计分析表.xls</v>
      </c>
      <c r="Q838">
        <v>0.03</v>
      </c>
      <c r="R838" s="7" t="str">
        <f t="shared" si="16"/>
        <v>E:\附赠：Excel模板\Excel实战技巧精粹：Excel模板大全1000例</v>
      </c>
      <c r="S838" s="9">
        <v>43600.3821412037</v>
      </c>
      <c r="T838" s="9">
        <v>43390.5141203704</v>
      </c>
    </row>
    <row r="839" spans="14:20">
      <c r="N839" s="7" t="str">
        <f>HYPERLINK("E:\附赠：Excel模板\Excel实战技巧精粹：Excel模板大全1000例\旅行行程价目表.xls","旅行行程价目表.xls")</f>
        <v>旅行行程价目表.xls</v>
      </c>
      <c r="Q839">
        <v>0.02</v>
      </c>
      <c r="R839" s="7" t="str">
        <f t="shared" si="16"/>
        <v>E:\附赠：Excel模板\Excel实战技巧精粹：Excel模板大全1000例</v>
      </c>
      <c r="S839" s="9">
        <v>43600.3821412037</v>
      </c>
      <c r="T839" s="9">
        <v>43390.5141203704</v>
      </c>
    </row>
    <row r="840" spans="14:20">
      <c r="N840" s="7" t="str">
        <f>HYPERLINK("E:\附赠：Excel模板\Excel实战技巧精粹：Excel模板大全1000例\无公害农产品基地创建县基本情况表.xls","无公害农产品基地创建县基本情况表.xls")</f>
        <v>无公害农产品基地创建县基本情况表.xls</v>
      </c>
      <c r="Q840">
        <v>0.02</v>
      </c>
      <c r="R840" s="7" t="str">
        <f t="shared" si="16"/>
        <v>E:\附赠：Excel模板\Excel实战技巧精粹：Excel模板大全1000例</v>
      </c>
      <c r="S840" s="9">
        <v>43600.3821412037</v>
      </c>
      <c r="T840" s="9">
        <v>43390.51375</v>
      </c>
    </row>
    <row r="841" spans="14:20">
      <c r="N841" s="7" t="str">
        <f>HYPERLINK("E:\附赠：Excel模板\Excel实战技巧精粹：Excel模板大全1000例\无形资产、长期待摊费用明细表.xls","无形资产、长期待摊费用明细表.xls")</f>
        <v>无形资产、长期待摊费用明细表.xls</v>
      </c>
      <c r="Q841">
        <v>0.02</v>
      </c>
      <c r="R841" s="7" t="str">
        <f t="shared" si="16"/>
        <v>E:\附赠：Excel模板\Excel实战技巧精粹：Excel模板大全1000例</v>
      </c>
      <c r="S841" s="9">
        <v>43600.3821412037</v>
      </c>
      <c r="T841" s="9">
        <v>43390.51375</v>
      </c>
    </row>
    <row r="842" spans="14:20">
      <c r="N842" s="7" t="str">
        <f>HYPERLINK("E:\附赠：Excel模板\Excel实战技巧精粹：Excel模板大全1000例\旧版票据购领、使用和缴销情况表.xls","旧版票据购领、使用和缴销情况表.xls")</f>
        <v>旧版票据购领、使用和缴销情况表.xls</v>
      </c>
      <c r="Q842">
        <v>0.02</v>
      </c>
      <c r="R842" s="7" t="str">
        <f t="shared" si="16"/>
        <v>E:\附赠：Excel模板\Excel实战技巧精粹：Excel模板大全1000例</v>
      </c>
      <c r="S842" s="9">
        <v>43600.3821412037</v>
      </c>
      <c r="T842" s="9">
        <v>43390.5141898148</v>
      </c>
    </row>
    <row r="843" spans="14:20">
      <c r="N843" s="7" t="str">
        <f>HYPERLINK("E:\附赠：Excel模板\Excel实战技巧精粹：Excel模板大全1000例\晋升职称人员增加工资发放表.xls","晋升职称人员增加工资发放表.xls")</f>
        <v>晋升职称人员增加工资发放表.xls</v>
      </c>
      <c r="Q843">
        <v>0.25</v>
      </c>
      <c r="R843" s="7" t="str">
        <f t="shared" si="16"/>
        <v>E:\附赠：Excel模板\Excel实战技巧精粹：Excel模板大全1000例</v>
      </c>
      <c r="S843" s="9">
        <v>43600.3821412037</v>
      </c>
      <c r="T843" s="9">
        <v>43390.514212963</v>
      </c>
    </row>
    <row r="844" spans="14:20">
      <c r="N844" s="7" t="str">
        <f>HYPERLINK("E:\附赠：Excel模板\Excel实战技巧精粹：Excel模板大全1000例\普通（限价）商品住房现房其它套型中选准购对象名单.xls","普通（限价）商品住房现房其它套型中选准购对象名单.xls")</f>
        <v>普通（限价）商品住房现房其它套型中选准购对象名单.xls</v>
      </c>
      <c r="Q844">
        <v>0.05</v>
      </c>
      <c r="R844" s="7" t="str">
        <f t="shared" si="16"/>
        <v>E:\附赠：Excel模板\Excel实战技巧精粹：Excel模板大全1000例</v>
      </c>
      <c r="S844" s="9">
        <v>43600.3821412037</v>
      </c>
      <c r="T844" s="9">
        <v>43390.5140277778</v>
      </c>
    </row>
    <row r="845" spans="14:20">
      <c r="N845" s="7" t="str">
        <f>HYPERLINK("E:\附赠：Excel模板\Excel实战技巧精粹：Excel模板大全1000例\景点火车票价表.xls","景点火车票价表.xls")</f>
        <v>景点火车票价表.xls</v>
      </c>
      <c r="Q845">
        <v>0.02</v>
      </c>
      <c r="R845" s="7" t="str">
        <f t="shared" si="16"/>
        <v>E:\附赠：Excel模板\Excel实战技巧精粹：Excel模板大全1000例</v>
      </c>
      <c r="S845" s="9">
        <v>43600.3821412037</v>
      </c>
      <c r="T845" s="9">
        <v>43390.5141898148</v>
      </c>
    </row>
    <row r="846" spans="14:20">
      <c r="N846" s="7" t="str">
        <f>HYPERLINK("E:\附赠：Excel模板\Excel实战技巧精粹：Excel模板大全1000例\有关教学计划和人才培养模式研究的课题及成果.xls","有关教学计划和人才培养模式研究的课题及成果.xls")</f>
        <v>有关教学计划和人才培养模式研究的课题及成果.xls</v>
      </c>
      <c r="Q846">
        <v>0.02</v>
      </c>
      <c r="R846" s="7" t="str">
        <f t="shared" si="16"/>
        <v>E:\附赠：Excel模板\Excel实战技巧精粹：Excel模板大全1000例</v>
      </c>
      <c r="S846" s="9">
        <v>43600.3821412037</v>
      </c>
      <c r="T846" s="9">
        <v>43390.5135185185</v>
      </c>
    </row>
    <row r="847" spans="14:20">
      <c r="N847" s="7" t="str">
        <f>HYPERLINK("E:\附赠：Excel模板\Excel实战技巧精粹：Excel模板大全1000例\有限公司招聘要求表.xls","有限公司招聘要求表.xls")</f>
        <v>有限公司招聘要求表.xls</v>
      </c>
      <c r="Q847">
        <v>0.02</v>
      </c>
      <c r="R847" s="7" t="str">
        <f t="shared" si="16"/>
        <v>E:\附赠：Excel模板\Excel实战技巧精粹：Excel模板大全1000例</v>
      </c>
      <c r="S847" s="9">
        <v>43600.3821412037</v>
      </c>
      <c r="T847" s="9">
        <v>43390.5135185185</v>
      </c>
    </row>
    <row r="848" spans="14:20">
      <c r="N848" s="7" t="str">
        <f>HYPERLINK("E:\附赠：Excel模板\Excel实战技巧精粹：Excel模板大全1000例\有限公司见习单位见习岗位汇总.xls","有限公司见习单位见习岗位汇总.xls")</f>
        <v>有限公司见习单位见习岗位汇总.xls</v>
      </c>
      <c r="Q848">
        <v>0.03</v>
      </c>
      <c r="R848" s="7" t="str">
        <f t="shared" si="16"/>
        <v>E:\附赠：Excel模板\Excel实战技巧精粹：Excel模板大全1000例</v>
      </c>
      <c r="S848" s="9">
        <v>43600.3821412037</v>
      </c>
      <c r="T848" s="9">
        <v>43390.5135185185</v>
      </c>
    </row>
    <row r="849" spans="14:20">
      <c r="N849" s="7" t="str">
        <f>HYPERLINK("E:\附赠：Excel模板\Excel实战技巧精粹：Excel模板大全1000例\期间费用分析表.xls","期间费用分析表.xls")</f>
        <v>期间费用分析表.xls</v>
      </c>
      <c r="Q849">
        <v>0.02</v>
      </c>
      <c r="R849" s="7" t="str">
        <f t="shared" si="16"/>
        <v>E:\附赠：Excel模板\Excel实战技巧精粹：Excel模板大全1000例</v>
      </c>
      <c r="S849" s="9">
        <v>43600.3821412037</v>
      </c>
      <c r="T849" s="9">
        <v>43390.5140277778</v>
      </c>
    </row>
    <row r="850" spans="14:20">
      <c r="N850" s="7" t="str">
        <f>HYPERLINK("E:\附赠：Excel模板\Excel实战技巧精粹：Excel模板大全1000例\期间费用实绩预算对照表.xls","期间费用实绩预算对照表.xls")</f>
        <v>期间费用实绩预算对照表.xls</v>
      </c>
      <c r="Q850">
        <v>0.02</v>
      </c>
      <c r="R850" s="7" t="str">
        <f t="shared" si="16"/>
        <v>E:\附赠：Excel模板\Excel实战技巧精粹：Excel模板大全1000例</v>
      </c>
      <c r="S850" s="9">
        <v>43600.3821412037</v>
      </c>
      <c r="T850" s="9">
        <v>43390.5140277778</v>
      </c>
    </row>
    <row r="851" spans="14:20">
      <c r="N851" s="7" t="str">
        <f>HYPERLINK("E:\附赠：Excel模板\Excel实战技巧精粹：Excel模板大全1000例\未聘人员分流安置情况调查表.xls","未聘人员分流安置情况调查表.xls")</f>
        <v>未聘人员分流安置情况调查表.xls</v>
      </c>
      <c r="Q851">
        <v>0.02</v>
      </c>
      <c r="R851" s="7" t="str">
        <f t="shared" si="16"/>
        <v>E:\附赠：Excel模板\Excel实战技巧精粹：Excel模板大全1000例</v>
      </c>
      <c r="S851" s="9">
        <v>43600.3821412037</v>
      </c>
      <c r="T851" s="9">
        <v>43390.5137731481</v>
      </c>
    </row>
    <row r="852" spans="14:20">
      <c r="N852" s="7" t="str">
        <f>HYPERLINK("E:\附赠：Excel模板\Excel实战技巧精粹：Excel模板大全1000例\本科专业设置一览表.xls","本科专业设置一览表.xls")</f>
        <v>本科专业设置一览表.xls</v>
      </c>
      <c r="Q852">
        <v>0.02</v>
      </c>
      <c r="R852" s="7" t="str">
        <f t="shared" si="16"/>
        <v>E:\附赠：Excel模板\Excel实战技巧精粹：Excel模板大全1000例</v>
      </c>
      <c r="S852" s="9">
        <v>43600.3821412037</v>
      </c>
      <c r="T852" s="9">
        <v>43390.5146990741</v>
      </c>
    </row>
    <row r="853" spans="14:20">
      <c r="N853" s="7" t="str">
        <f>HYPERLINK("E:\附赠：Excel模板\Excel实战技巧精粹：Excel模板大全1000例\本科毕业实习地点意向调查表.xls","本科毕业实习地点意向调查表.xls")</f>
        <v>本科毕业实习地点意向调查表.xls</v>
      </c>
      <c r="Q853">
        <v>0.13</v>
      </c>
      <c r="R853" s="7" t="str">
        <f t="shared" si="16"/>
        <v>E:\附赠：Excel模板\Excel实战技巧精粹：Excel模板大全1000例</v>
      </c>
      <c r="S853" s="9">
        <v>43600.3821412037</v>
      </c>
      <c r="T853" s="9">
        <v>43390.5146990741</v>
      </c>
    </row>
    <row r="854" spans="14:20">
      <c r="N854" s="7" t="str">
        <f>HYPERLINK("E:\附赠：Excel模板\Excel实战技巧精粹：Excel模板大全1000例\机关、事业单位离退休人员待遇情况统计表.xls","机关、事业单位离退休人员待遇情况统计表.xls")</f>
        <v>机关、事业单位离退休人员待遇情况统计表.xls</v>
      </c>
      <c r="Q854">
        <v>0.02</v>
      </c>
      <c r="R854" s="7" t="str">
        <f t="shared" si="16"/>
        <v>E:\附赠：Excel模板\Excel实战技巧精粹：Excel模板大全1000例</v>
      </c>
      <c r="S854" s="9">
        <v>43600.3821412037</v>
      </c>
      <c r="T854" s="9">
        <v>43390.5143287037</v>
      </c>
    </row>
    <row r="855" spans="14:20">
      <c r="N855" s="7" t="str">
        <f>HYPERLINK("E:\附赠：Excel模板\Excel实战技巧精粹：Excel模板大全1000例\机关事业单位在岗职工人数变动情况.xls","机关事业单位在岗职工人数变动情况.xls")</f>
        <v>机关事业单位在岗职工人数变动情况.xls</v>
      </c>
      <c r="Q855">
        <v>0.02</v>
      </c>
      <c r="R855" s="7" t="str">
        <f t="shared" ref="R855:R918" si="17">HYPERLINK("E:\附赠：Excel模板\Excel实战技巧精粹：Excel模板大全1000例","E:\附赠：Excel模板\Excel实战技巧精粹：Excel模板大全1000例")</f>
        <v>E:\附赠：Excel模板\Excel实战技巧精粹：Excel模板大全1000例</v>
      </c>
      <c r="S855" s="9">
        <v>43600.3821412037</v>
      </c>
      <c r="T855" s="9">
        <v>43390.5143055556</v>
      </c>
    </row>
    <row r="856" spans="14:20">
      <c r="N856" s="7" t="str">
        <f>HYPERLINK("E:\附赠：Excel模板\Excel实战技巧精粹：Excel模板大全1000例\机关事业单位工作人员增发岗位津贴花名册.xls","机关事业单位工作人员增发岗位津贴花名册.xls")</f>
        <v>机关事业单位工作人员增发岗位津贴花名册.xls</v>
      </c>
      <c r="Q856">
        <v>0.02</v>
      </c>
      <c r="R856" s="7" t="str">
        <f t="shared" si="17"/>
        <v>E:\附赠：Excel模板\Excel实战技巧精粹：Excel模板大全1000例</v>
      </c>
      <c r="S856" s="9">
        <v>43600.3821412037</v>
      </c>
      <c r="T856" s="9">
        <v>43390.5143055556</v>
      </c>
    </row>
    <row r="857" spans="14:20">
      <c r="N857" s="7" t="str">
        <f>HYPERLINK("E:\附赠：Excel模板\Excel实战技巧精粹：Excel模板大全1000例\机关事业单位职工人数和劳动报酬情况.xls","机关事业单位职工人数和劳动报酬情况.xls")</f>
        <v>机关事业单位职工人数和劳动报酬情况.xls</v>
      </c>
      <c r="Q857">
        <v>0.02</v>
      </c>
      <c r="R857" s="7" t="str">
        <f t="shared" si="17"/>
        <v>E:\附赠：Excel模板\Excel实战技巧精粹：Excel模板大全1000例</v>
      </c>
      <c r="S857" s="9">
        <v>43600.3821412037</v>
      </c>
      <c r="T857" s="9">
        <v>43390.5143055556</v>
      </c>
    </row>
    <row r="858" spans="14:20">
      <c r="N858" s="7" t="str">
        <f>HYPERLINK("E:\附赠：Excel模板\Excel实战技巧精粹：Excel模板大全1000例\机关事业单位职工人数和工资情况.xls","机关事业单位职工人数和工资情况.xls")</f>
        <v>机关事业单位职工人数和工资情况.xls</v>
      </c>
      <c r="Q858">
        <v>0.02</v>
      </c>
      <c r="R858" s="7" t="str">
        <f t="shared" si="17"/>
        <v>E:\附赠：Excel模板\Excel实战技巧精粹：Excel模板大全1000例</v>
      </c>
      <c r="S858" s="9">
        <v>43600.3821412037</v>
      </c>
      <c r="T858" s="9">
        <v>43390.5143055556</v>
      </c>
    </row>
    <row r="859" spans="14:20">
      <c r="N859" s="7" t="str">
        <f>HYPERLINK("E:\附赠：Excel模板\Excel实战技巧精粹：Excel模板大全1000例\机关从业人员学历情况.xls","机关从业人员学历情况.xls")</f>
        <v>机关从业人员学历情况.xls</v>
      </c>
      <c r="Q859">
        <v>0.02</v>
      </c>
      <c r="R859" s="7" t="str">
        <f t="shared" si="17"/>
        <v>E:\附赠：Excel模板\Excel实战技巧精粹：Excel模板大全1000例</v>
      </c>
      <c r="S859" s="9">
        <v>43600.3821412037</v>
      </c>
      <c r="T859" s="9">
        <v>43390.5143287037</v>
      </c>
    </row>
    <row r="860" spans="14:20">
      <c r="N860" s="7" t="str">
        <f>HYPERLINK("E:\附赠：Excel模板\Excel实战技巧精粹：Excel模板大全1000例\机关党政人才交流情况.xls","机关党政人才交流情况.xls")</f>
        <v>机关党政人才交流情况.xls</v>
      </c>
      <c r="Q860">
        <v>0.02</v>
      </c>
      <c r="R860" s="7" t="str">
        <f t="shared" si="17"/>
        <v>E:\附赠：Excel模板\Excel实战技巧精粹：Excel模板大全1000例</v>
      </c>
      <c r="S860" s="9">
        <v>43600.3821412037</v>
      </c>
      <c r="T860" s="9">
        <v>43390.5143055556</v>
      </c>
    </row>
    <row r="861" spans="14:20">
      <c r="N861" s="7" t="str">
        <f>HYPERLINK("E:\附赠：Excel模板\Excel实战技巧精粹：Excel模板大全1000例\机关党政人才免职、降职、辞职和受奖惩情况.xls","机关党政人才免职、降职、辞职和受奖惩情况.xls")</f>
        <v>机关党政人才免职、降职、辞职和受奖惩情况.xls</v>
      </c>
      <c r="Q861">
        <v>0.02</v>
      </c>
      <c r="R861" s="7" t="str">
        <f t="shared" si="17"/>
        <v>E:\附赠：Excel模板\Excel实战技巧精粹：Excel模板大全1000例</v>
      </c>
      <c r="S861" s="9">
        <v>43600.3821412037</v>
      </c>
      <c r="T861" s="9">
        <v>43390.5143055556</v>
      </c>
    </row>
    <row r="862" spans="14:20">
      <c r="N862" s="7" t="str">
        <f>HYPERLINK("E:\附赠：Excel模板\Excel实战技巧精粹：Excel模板大全1000例\机关党政人才变化情况.xls","机关党政人才变化情况.xls")</f>
        <v>机关党政人才变化情况.xls</v>
      </c>
      <c r="Q862">
        <v>0.02</v>
      </c>
      <c r="R862" s="7" t="str">
        <f t="shared" si="17"/>
        <v>E:\附赠：Excel模板\Excel实战技巧精粹：Excel模板大全1000例</v>
      </c>
      <c r="S862" s="9">
        <v>43600.3821412037</v>
      </c>
      <c r="T862" s="9">
        <v>43390.5143055556</v>
      </c>
    </row>
    <row r="863" spans="14:20">
      <c r="N863" s="7" t="str">
        <f>HYPERLINK("E:\附赠：Excel模板\Excel实战技巧精粹：Excel模板大全1000例\机关党政人才培训情况.xls","机关党政人才培训情况.xls")</f>
        <v>机关党政人才培训情况.xls</v>
      </c>
      <c r="Q863">
        <v>0.02</v>
      </c>
      <c r="R863" s="7" t="str">
        <f t="shared" si="17"/>
        <v>E:\附赠：Excel模板\Excel实战技巧精粹：Excel模板大全1000例</v>
      </c>
      <c r="S863" s="9">
        <v>43600.3821412037</v>
      </c>
      <c r="T863" s="9">
        <v>43390.5143055556</v>
      </c>
    </row>
    <row r="864" spans="14:20">
      <c r="N864" s="7" t="str">
        <f>HYPERLINK("E:\附赠：Excel模板\Excel实战技巧精粹：Excel模板大全1000例\机关党政人才晋升职务和公开选拔、竞争上岗情况.xls","机关党政人才晋升职务和公开选拔、竞争上岗情况.xls")</f>
        <v>机关党政人才晋升职务和公开选拔、竞争上岗情况.xls</v>
      </c>
      <c r="Q864">
        <v>0.02</v>
      </c>
      <c r="R864" s="7" t="str">
        <f t="shared" si="17"/>
        <v>E:\附赠：Excel模板\Excel实战技巧精粹：Excel模板大全1000例</v>
      </c>
      <c r="S864" s="9">
        <v>43600.3821412037</v>
      </c>
      <c r="T864" s="9">
        <v>43390.5143055556</v>
      </c>
    </row>
    <row r="865" spans="14:20">
      <c r="N865" s="7" t="str">
        <f>HYPERLINK("E:\附赠：Excel模板\Excel实战技巧精粹：Excel模板大全1000例\机关单位工作人员工龄情况.xls","机关单位工作人员工龄情况.xls")</f>
        <v>机关单位工作人员工龄情况.xls</v>
      </c>
      <c r="Q865">
        <v>0.02</v>
      </c>
      <c r="R865" s="7" t="str">
        <f t="shared" si="17"/>
        <v>E:\附赠：Excel模板\Excel实战技巧精粹：Excel模板大全1000例</v>
      </c>
      <c r="S865" s="9">
        <v>43600.3821412037</v>
      </c>
      <c r="T865" s="9">
        <v>43390.5143055556</v>
      </c>
    </row>
    <row r="866" spans="14:20">
      <c r="N866" s="7" t="str">
        <f>HYPERLINK("E:\附赠：Excel模板\Excel实战技巧精粹：Excel模板大全1000例\机关售房款用于住房补贴支出决算基础数据表.xls","机关售房款用于住房补贴支出决算基础数据表.xls")</f>
        <v>机关售房款用于住房补贴支出决算基础数据表.xls</v>
      </c>
      <c r="Q866">
        <v>0.02</v>
      </c>
      <c r="R866" s="7" t="str">
        <f t="shared" si="17"/>
        <v>E:\附赠：Excel模板\Excel实战技巧精粹：Excel模板大全1000例</v>
      </c>
      <c r="S866" s="9">
        <v>43600.3821412037</v>
      </c>
      <c r="T866" s="9">
        <v>43390.5143055556</v>
      </c>
    </row>
    <row r="867" spans="14:20">
      <c r="N867" s="7" t="str">
        <f>HYPERLINK("E:\附赠：Excel模板\Excel实战技巧精粹：Excel模板大全1000例\机关干部职务工资档次情况.xls","机关干部职务工资档次情况.xls")</f>
        <v>机关干部职务工资档次情况.xls</v>
      </c>
      <c r="Q867">
        <v>0.02</v>
      </c>
      <c r="R867" s="7" t="str">
        <f t="shared" si="17"/>
        <v>E:\附赠：Excel模板\Excel实战技巧精粹：Excel模板大全1000例</v>
      </c>
      <c r="S867" s="9">
        <v>43600.3821412037</v>
      </c>
      <c r="T867" s="9">
        <v>43390.5143055556</v>
      </c>
    </row>
    <row r="868" spans="14:20">
      <c r="N868" s="7" t="str">
        <f>HYPERLINK("E:\附赠：Excel模板\Excel实战技巧精粹：Excel模板大全1000例\机关年度公务员录用计划表.xls","机关年度公务员录用计划表.xls")</f>
        <v>机关年度公务员录用计划表.xls</v>
      </c>
      <c r="Q868">
        <v>0.02</v>
      </c>
      <c r="R868" s="7" t="str">
        <f t="shared" si="17"/>
        <v>E:\附赠：Excel模板\Excel实战技巧精粹：Excel模板大全1000例</v>
      </c>
      <c r="S868" s="9">
        <v>43600.3821412037</v>
      </c>
      <c r="T868" s="9">
        <v>43390.5143055556</v>
      </c>
    </row>
    <row r="869" spans="14:20">
      <c r="N869" s="7" t="str">
        <f>HYPERLINK("E:\附赠：Excel模板\Excel实战技巧精粹：Excel模板大全1000例\机关或单位工作人员一次性补贴标准认定表.xls","机关或单位工作人员一次性补贴标准认定表.xls")</f>
        <v>机关或单位工作人员一次性补贴标准认定表.xls</v>
      </c>
      <c r="Q869">
        <v>0.02</v>
      </c>
      <c r="R869" s="7" t="str">
        <f t="shared" si="17"/>
        <v>E:\附赠：Excel模板\Excel实战技巧精粹：Excel模板大全1000例</v>
      </c>
      <c r="S869" s="9">
        <v>43600.3821412037</v>
      </c>
      <c r="T869" s="9">
        <v>43390.5143055556</v>
      </c>
    </row>
    <row r="870" spans="14:20">
      <c r="N870" s="7" t="str">
        <f>HYPERLINK("E:\附赠：Excel模板\Excel实战技巧精粹：Excel模板大全1000例\机构代表报备表.xls","机构代表报备表.xls")</f>
        <v>机构代表报备表.xls</v>
      </c>
      <c r="Q870">
        <v>0.02</v>
      </c>
      <c r="R870" s="7" t="str">
        <f t="shared" si="17"/>
        <v>E:\附赠：Excel模板\Excel实战技巧精粹：Excel模板大全1000例</v>
      </c>
      <c r="S870" s="9">
        <v>43600.3821412037</v>
      </c>
      <c r="T870" s="9">
        <v>43390.5143287037</v>
      </c>
    </row>
    <row r="871" spans="14:20">
      <c r="N871" s="7" t="str">
        <f>HYPERLINK("E:\附赠：Excel模板\Excel实战技巧精粹：Excel模板大全1000例\村庄建设工程进展情况统计表.xls","村庄建设工程进展情况统计表.xls")</f>
        <v>村庄建设工程进展情况统计表.xls</v>
      </c>
      <c r="Q871">
        <v>0.03</v>
      </c>
      <c r="R871" s="7" t="str">
        <f t="shared" si="17"/>
        <v>E:\附赠：Excel模板\Excel实战技巧精粹：Excel模板大全1000例</v>
      </c>
      <c r="S871" s="9">
        <v>43600.3821412037</v>
      </c>
      <c r="T871" s="9">
        <v>43390.5145601852</v>
      </c>
    </row>
    <row r="872" spans="14:20">
      <c r="N872" s="7" t="str">
        <f>HYPERLINK("E:\附赠：Excel模板\Excel实战技巧精粹：Excel模板大全1000例\校内津贴明细表.xls","校内津贴明细表.xls")</f>
        <v>校内津贴明细表.xls</v>
      </c>
      <c r="Q872">
        <v>0.1</v>
      </c>
      <c r="R872" s="7" t="str">
        <f t="shared" si="17"/>
        <v>E:\附赠：Excel模板\Excel实战技巧精粹：Excel模板大全1000例</v>
      </c>
      <c r="S872" s="9">
        <v>43600.3821412037</v>
      </c>
      <c r="T872" s="9">
        <v>43390.5136805556</v>
      </c>
    </row>
    <row r="873" spans="14:20">
      <c r="N873" s="7" t="str">
        <f>HYPERLINK("E:\附赠：Excel模板\Excel实战技巧精粹：Excel模板大全1000例\校外实习基地情况一览表.xls","校外实习基地情况一览表.xls")</f>
        <v>校外实习基地情况一览表.xls</v>
      </c>
      <c r="Q873">
        <v>0.02</v>
      </c>
      <c r="R873" s="7" t="str">
        <f t="shared" si="17"/>
        <v>E:\附赠：Excel模板\Excel实战技巧精粹：Excel模板大全1000例</v>
      </c>
      <c r="S873" s="9">
        <v>43600.3821412037</v>
      </c>
      <c r="T873" s="9">
        <v>43390.5136805556</v>
      </c>
    </row>
    <row r="874" spans="14:20">
      <c r="N874" s="7" t="str">
        <f>HYPERLINK("E:\附赠：Excel模板\Excel实战技巧精粹：Excel模板大全1000例\校级以上教学成果奖一览表.xls","校级以上教学成果奖一览表.xls")</f>
        <v>校级以上教学成果奖一览表.xls</v>
      </c>
      <c r="Q874">
        <v>0.02</v>
      </c>
      <c r="R874" s="7" t="str">
        <f t="shared" si="17"/>
        <v>E:\附赠：Excel模板\Excel实战技巧精粹：Excel模板大全1000例</v>
      </c>
      <c r="S874" s="9">
        <v>43600.3821412037</v>
      </c>
      <c r="T874" s="9">
        <v>43390.5136805556</v>
      </c>
    </row>
    <row r="875" spans="14:20">
      <c r="N875" s="7" t="str">
        <f>HYPERLINK("E:\附赠：Excel模板\Excel实战技巧精粹：Excel模板大全1000例\校院學生就學協助方案執行情形統計表.xls","校院學生就學協助方案執行情形統計表.xls")</f>
        <v>校院學生就學協助方案執行情形統計表.xls</v>
      </c>
      <c r="Q875">
        <v>0.02</v>
      </c>
      <c r="R875" s="7" t="str">
        <f t="shared" si="17"/>
        <v>E:\附赠：Excel模板\Excel实战技巧精粹：Excel模板大全1000例</v>
      </c>
      <c r="S875" s="9">
        <v>43600.3821412037</v>
      </c>
      <c r="T875" s="9">
        <v>43390.5136805556</v>
      </c>
    </row>
    <row r="876" spans="14:20">
      <c r="N876" s="7" t="str">
        <f>HYPERLINK("E:\附赠：Excel模板\Excel实战技巧精粹：Excel模板大全1000例\森林经营方案情况调查表.xls","森林经营方案情况调查表.xls")</f>
        <v>森林经营方案情况调查表.xls</v>
      </c>
      <c r="Q876">
        <v>0.02</v>
      </c>
      <c r="R876" s="7" t="str">
        <f t="shared" si="17"/>
        <v>E:\附赠：Excel模板\Excel实战技巧精粹：Excel模板大全1000例</v>
      </c>
      <c r="S876" s="9">
        <v>43600.3821412037</v>
      </c>
      <c r="T876" s="9">
        <v>43390.5139583333</v>
      </c>
    </row>
    <row r="877" spans="14:20">
      <c r="N877" s="7" t="str">
        <f>HYPERLINK("E:\附赠：Excel模板\Excel实战技巧精粹：Excel模板大全1000例\每一家庭每月平均收支.xls","每一家庭每月平均收支.xls")</f>
        <v>每一家庭每月平均收支.xls</v>
      </c>
      <c r="Q877">
        <v>0.05</v>
      </c>
      <c r="R877" s="7" t="str">
        <f t="shared" si="17"/>
        <v>E:\附赠：Excel模板\Excel实战技巧精粹：Excel模板大全1000例</v>
      </c>
      <c r="S877" s="9">
        <v>43600.3821412037</v>
      </c>
      <c r="T877" s="9">
        <v>43390.5140972222</v>
      </c>
    </row>
    <row r="878" spans="14:20">
      <c r="N878" s="7" t="str">
        <f>HYPERLINK("E:\附赠：Excel模板\Excel实战技巧精粹：Excel模板大全1000例\每月经济卡片.xls","每月经济卡片.xls")</f>
        <v>每月经济卡片.xls</v>
      </c>
      <c r="Q878">
        <v>0.03</v>
      </c>
      <c r="R878" s="7" t="str">
        <f t="shared" si="17"/>
        <v>E:\附赠：Excel模板\Excel实战技巧精粹：Excel模板大全1000例</v>
      </c>
      <c r="S878" s="9">
        <v>43600.3821412037</v>
      </c>
      <c r="T878" s="9">
        <v>43390.5140972222</v>
      </c>
    </row>
    <row r="879" spans="14:20">
      <c r="N879" s="7" t="str">
        <f>HYPERLINK("E:\附赠：Excel模板\Excel实战技巧精粹：Excel模板大全1000例\比率分析表.xls","比率分析表.xls")</f>
        <v>比率分析表.xls</v>
      </c>
      <c r="Q879">
        <v>0.02</v>
      </c>
      <c r="R879" s="7" t="str">
        <f t="shared" si="17"/>
        <v>E:\附赠：Excel模板\Excel实战技巧精粹：Excel模板大全1000例</v>
      </c>
      <c r="S879" s="9">
        <v>43600.3821412037</v>
      </c>
      <c r="T879" s="9">
        <v>43390.5146990741</v>
      </c>
    </row>
    <row r="880" spans="14:20">
      <c r="N880" s="7" t="str">
        <f>HYPERLINK("E:\附赠：Excel模板\Excel实战技巧精粹：Excel模板大全1000例\毕业、招生、在校各类学生人数统计表.xls","毕业、招生、在校各类学生人数统计表.xls")</f>
        <v>毕业、招生、在校各类学生人数统计表.xls</v>
      </c>
      <c r="Q880">
        <v>0.02</v>
      </c>
      <c r="R880" s="7" t="str">
        <f t="shared" si="17"/>
        <v>E:\附赠：Excel模板\Excel实战技巧精粹：Excel模板大全1000例</v>
      </c>
      <c r="S880" s="9">
        <v>43600.3821412037</v>
      </c>
      <c r="T880" s="9">
        <v>43390.5146990741</v>
      </c>
    </row>
    <row r="881" spans="14:20">
      <c r="N881" s="7" t="str">
        <f>HYPERLINK("E:\附赠：Excel模板\Excel实战技巧精粹：Excel模板大全1000例\毕业生寒假供需洽谈会.xls","毕业生寒假供需洽谈会.xls")</f>
        <v>毕业生寒假供需洽谈会.xls</v>
      </c>
      <c r="Q881">
        <v>0.03</v>
      </c>
      <c r="R881" s="7" t="str">
        <f t="shared" si="17"/>
        <v>E:\附赠：Excel模板\Excel实战技巧精粹：Excel模板大全1000例</v>
      </c>
      <c r="S881" s="9">
        <v>43600.3821412037</v>
      </c>
      <c r="T881" s="9">
        <v>43390.5146759259</v>
      </c>
    </row>
    <row r="882" spans="14:20">
      <c r="N882" s="7" t="str">
        <f>HYPERLINK("E:\附赠：Excel模板\Excel实战技巧精粹：Excel模板大全1000例\毕业生成绩表.xls","毕业生成绩表.xls")</f>
        <v>毕业生成绩表.xls</v>
      </c>
      <c r="Q882">
        <v>0.02</v>
      </c>
      <c r="R882" s="7" t="str">
        <f t="shared" si="17"/>
        <v>E:\附赠：Excel模板\Excel实战技巧精粹：Excel模板大全1000例</v>
      </c>
      <c r="S882" s="9">
        <v>43600.3821412037</v>
      </c>
      <c r="T882" s="9">
        <v>43390.5146759259</v>
      </c>
    </row>
    <row r="883" spans="14:20">
      <c r="N883" s="7" t="str">
        <f>HYPERLINK("E:\附赠：Excel模板\Excel实战技巧精粹：Excel模板大全1000例\毕业生见习训练经费使用审批表.xls","毕业生见习训练经费使用审批表.xls")</f>
        <v>毕业生见习训练经费使用审批表.xls</v>
      </c>
      <c r="Q883">
        <v>0.02</v>
      </c>
      <c r="R883" s="7" t="str">
        <f t="shared" si="17"/>
        <v>E:\附赠：Excel模板\Excel实战技巧精粹：Excel模板大全1000例</v>
      </c>
      <c r="S883" s="9">
        <v>43600.3821412037</v>
      </c>
      <c r="T883" s="9">
        <v>43390.5146759259</v>
      </c>
    </row>
    <row r="884" spans="14:20">
      <c r="N884" s="7" t="str">
        <f>HYPERLINK("E:\附赠：Excel模板\Excel实战技巧精粹：Excel模板大全1000例\毕业生需求情况汇总表.xls","毕业生需求情况汇总表.xls")</f>
        <v>毕业生需求情况汇总表.xls</v>
      </c>
      <c r="Q884">
        <v>0.02</v>
      </c>
      <c r="R884" s="7" t="str">
        <f t="shared" si="17"/>
        <v>E:\附赠：Excel模板\Excel实战技巧精粹：Excel模板大全1000例</v>
      </c>
      <c r="S884" s="9">
        <v>43600.3821412037</v>
      </c>
      <c r="T884" s="9">
        <v>43390.5146759259</v>
      </c>
    </row>
    <row r="885" spans="14:20">
      <c r="N885" s="7" t="str">
        <f>HYPERLINK("E:\附赠：Excel模板\Excel实战技巧精粹：Excel模板大全1000例\毕业论文报名表.xls","毕业论文报名表.xls")</f>
        <v>毕业论文报名表.xls</v>
      </c>
      <c r="Q885">
        <v>0.03</v>
      </c>
      <c r="R885" s="7" t="str">
        <f t="shared" si="17"/>
        <v>E:\附赠：Excel模板\Excel实战技巧精粹：Excel模板大全1000例</v>
      </c>
      <c r="S885" s="9">
        <v>43600.3821412037</v>
      </c>
      <c r="T885" s="9">
        <v>43390.5146759259</v>
      </c>
    </row>
    <row r="886" spans="14:20">
      <c r="N886" s="7" t="str">
        <f>HYPERLINK("E:\附赠：Excel模板\Excel实战技巧精粹：Excel模板大全1000例\毕业论文指导教师联系表.xls","毕业论文指导教师联系表.xls")</f>
        <v>毕业论文指导教师联系表.xls</v>
      </c>
      <c r="Q886">
        <v>0.02</v>
      </c>
      <c r="R886" s="7" t="str">
        <f t="shared" si="17"/>
        <v>E:\附赠：Excel模板\Excel实战技巧精粹：Excel模板大全1000例</v>
      </c>
      <c r="S886" s="9">
        <v>43600.3821412037</v>
      </c>
      <c r="T886" s="9">
        <v>43390.5146759259</v>
      </c>
    </row>
    <row r="887" spans="14:20">
      <c r="N887" s="7" t="str">
        <f>HYPERLINK("E:\附赠：Excel模板\Excel实战技巧精粹：Excel模板大全1000例\毕业论文表格.xls","毕业论文表格.xls")</f>
        <v>毕业论文表格.xls</v>
      </c>
      <c r="Q887">
        <v>0.03</v>
      </c>
      <c r="R887" s="7" t="str">
        <f t="shared" si="17"/>
        <v>E:\附赠：Excel模板\Excel实战技巧精粹：Excel模板大全1000例</v>
      </c>
      <c r="S887" s="9">
        <v>43600.3821412037</v>
      </c>
      <c r="T887" s="9">
        <v>43390.5146759259</v>
      </c>
    </row>
    <row r="888" spans="14:20">
      <c r="N888" s="7" t="str">
        <f>HYPERLINK("E:\附赠：Excel模板\Excel实战技巧精粹：Excel模板大全1000例\毕业设计(论文)答辩一览表.xls","毕业设计(论文)答辩一览表.xls")</f>
        <v>毕业设计(论文)答辩一览表.xls</v>
      </c>
      <c r="Q888">
        <v>0.02</v>
      </c>
      <c r="R888" s="7" t="str">
        <f t="shared" si="17"/>
        <v>E:\附赠：Excel模板\Excel实战技巧精粹：Excel模板大全1000例</v>
      </c>
      <c r="S888" s="9">
        <v>43600.3821412037</v>
      </c>
      <c r="T888" s="9">
        <v>43390.5146759259</v>
      </c>
    </row>
    <row r="889" spans="14:20">
      <c r="N889" s="7" t="str">
        <f>HYPERLINK("E:\附赠：Excel模板\Excel实战技巧精粹：Excel模板大全1000例\毕业设计表格.xls","毕业设计表格.xls")</f>
        <v>毕业设计表格.xls</v>
      </c>
      <c r="Q889">
        <v>0.03</v>
      </c>
      <c r="R889" s="7" t="str">
        <f t="shared" si="17"/>
        <v>E:\附赠：Excel模板\Excel实战技巧精粹：Excel模板大全1000例</v>
      </c>
      <c r="S889" s="9">
        <v>43600.3821412037</v>
      </c>
      <c r="T889" s="9">
        <v>43390.5146759259</v>
      </c>
    </row>
    <row r="890" spans="14:20">
      <c r="N890" s="7" t="str">
        <f>HYPERLINK("E:\附赠：Excel模板\Excel实战技巧精粹：Excel模板大全1000例\水利建设和体制改革年度考核评分表.xls","水利建设和体制改革年度考核评分表.xls")</f>
        <v>水利建设和体制改革年度考核评分表.xls</v>
      </c>
      <c r="Q890">
        <v>0.02</v>
      </c>
      <c r="R890" s="7" t="str">
        <f t="shared" si="17"/>
        <v>E:\附赠：Excel模板\Excel实战技巧精粹：Excel模板大全1000例</v>
      </c>
      <c r="S890" s="9">
        <v>43600.3821412037</v>
      </c>
      <c r="T890" s="9">
        <v>43390.5138194444</v>
      </c>
    </row>
    <row r="891" spans="14:20">
      <c r="N891" s="7" t="str">
        <f>HYPERLINK("E:\附赠：Excel模板\Excel实战技巧精粹：Excel模板大全1000例\洗衣机行业分地区基本市场状况.xls","洗衣机行业分地区基本市场状况.xls")</f>
        <v>洗衣机行业分地区基本市场状况.xls</v>
      </c>
      <c r="Q891">
        <v>0.05</v>
      </c>
      <c r="R891" s="7" t="str">
        <f t="shared" si="17"/>
        <v>E:\附赠：Excel模板\Excel实战技巧精粹：Excel模板大全1000例</v>
      </c>
      <c r="S891" s="9">
        <v>43600.3821412037</v>
      </c>
      <c r="T891" s="9">
        <v>43390.51375</v>
      </c>
    </row>
    <row r="892" spans="14:20">
      <c r="N892" s="7" t="str">
        <f>HYPERLINK("E:\附赠：Excel模板\Excel实战技巧精粹：Excel模板大全1000例\洗衣经营情况明细表.xls","洗衣经营情况明细表.xls")</f>
        <v>洗衣经营情况明细表.xls</v>
      </c>
      <c r="Q892">
        <v>0.02</v>
      </c>
      <c r="R892" s="7" t="str">
        <f t="shared" si="17"/>
        <v>E:\附赠：Excel模板\Excel实战技巧精粹：Excel模板大全1000例</v>
      </c>
      <c r="S892" s="9">
        <v>43600.3821412037</v>
      </c>
      <c r="T892" s="9">
        <v>43390.51375</v>
      </c>
    </row>
    <row r="893" spans="14:20">
      <c r="N893" s="7" t="str">
        <f>HYPERLINK("E:\附赠：Excel模板\Excel实战技巧精粹：Excel模板大全1000例\派驻乡镇机构调查表.xls","派驻乡镇机构调查表.xls")</f>
        <v>派驻乡镇机构调查表.xls</v>
      </c>
      <c r="Q893">
        <v>0.02</v>
      </c>
      <c r="R893" s="7" t="str">
        <f t="shared" si="17"/>
        <v>E:\附赠：Excel模板\Excel实战技巧精粹：Excel模板大全1000例</v>
      </c>
      <c r="S893" s="9">
        <v>43600.3821412037</v>
      </c>
      <c r="T893" s="9">
        <v>43390.5140509259</v>
      </c>
    </row>
    <row r="894" spans="14:20">
      <c r="N894" s="7" t="str">
        <f>HYPERLINK("E:\附赠：Excel模板\Excel实战技巧精粹：Excel模板大全1000例\流域重点水文工程项目表.xls","流域重点水文工程项目表.xls")</f>
        <v>流域重点水文工程项目表.xls</v>
      </c>
      <c r="Q894">
        <v>0.02</v>
      </c>
      <c r="R894" s="7" t="str">
        <f t="shared" si="17"/>
        <v>E:\附赠：Excel模板\Excel实战技巧精粹：Excel模板大全1000例</v>
      </c>
      <c r="S894" s="9">
        <v>43600.3821412037</v>
      </c>
      <c r="T894" s="9">
        <v>43390.5141203704</v>
      </c>
    </row>
    <row r="895" spans="14:20">
      <c r="N895" s="7" t="str">
        <f>HYPERLINK("E:\附赠：Excel模板\Excel实战技巧精粹：Excel模板大全1000例\煤矿安全技术措施改造项目计划完成情况表.xls","煤矿安全技术措施改造项目计划完成情况表.xls")</f>
        <v>煤矿安全技术措施改造项目计划完成情况表.xls</v>
      </c>
      <c r="Q895">
        <v>0.02</v>
      </c>
      <c r="R895" s="7" t="str">
        <f t="shared" si="17"/>
        <v>E:\附赠：Excel模板\Excel实战技巧精粹：Excel模板大全1000例</v>
      </c>
      <c r="S895" s="9">
        <v>43600.3821412037</v>
      </c>
      <c r="T895" s="9">
        <v>43390.5140972222</v>
      </c>
    </row>
    <row r="896" spans="14:20">
      <c r="N896" s="7" t="str">
        <f>HYPERLINK("E:\附赠：Excel模板\Excel实战技巧精粹：Excel模板大全1000例\物业管理公共服务等级标准评定表.xls","物业管理公共服务等级标准评定表.xls")</f>
        <v>物业管理公共服务等级标准评定表.xls</v>
      </c>
      <c r="Q896">
        <v>0.04</v>
      </c>
      <c r="R896" s="7" t="str">
        <f t="shared" si="17"/>
        <v>E:\附赠：Excel模板\Excel实战技巧精粹：Excel模板大全1000例</v>
      </c>
      <c r="S896" s="9">
        <v>43600.3821412037</v>
      </c>
      <c r="T896" s="9">
        <v>43390.51375</v>
      </c>
    </row>
    <row r="897" spans="14:20">
      <c r="N897" s="7" t="str">
        <f>HYPERLINK("E:\附赠：Excel模板\Excel实战技巧精粹：Excel模板大全1000例\状态条.xls","状态条.xls")</f>
        <v>状态条.xls</v>
      </c>
      <c r="Q897">
        <v>0.02</v>
      </c>
      <c r="R897" s="7" t="str">
        <f t="shared" si="17"/>
        <v>E:\附赠：Excel模板\Excel实战技巧精粹：Excel模板大全1000例</v>
      </c>
      <c r="S897" s="9">
        <v>43600.3821412037</v>
      </c>
      <c r="T897" s="9">
        <v>43390.5134027778</v>
      </c>
    </row>
    <row r="898" spans="14:20">
      <c r="N898" s="7" t="str">
        <f>HYPERLINK("E:\附赠：Excel模板\Excel实战技巧精粹：Excel模板大全1000例\独立核算道路运输企业财务状况.xls","独立核算道路运输企业财务状况.xls")</f>
        <v>独立核算道路运输企业财务状况.xls</v>
      </c>
      <c r="Q898">
        <v>0.02</v>
      </c>
      <c r="R898" s="7" t="str">
        <f t="shared" si="17"/>
        <v>E:\附赠：Excel模板\Excel实战技巧精粹：Excel模板大全1000例</v>
      </c>
      <c r="S898" s="9">
        <v>43600.3821412037</v>
      </c>
      <c r="T898" s="9">
        <v>43390.5144675926</v>
      </c>
    </row>
    <row r="899" spans="14:20">
      <c r="N899" s="7" t="str">
        <f>HYPERLINK("E:\附赠：Excel模板\Excel实战技巧精粹：Excel模板大全1000例\环保机构、人员编制、经费基本情况调查表.xls","环保机构、人员编制、经费基本情况调查表.xls")</f>
        <v>环保机构、人员编制、经费基本情况调查表.xls</v>
      </c>
      <c r="Q899">
        <v>0.02</v>
      </c>
      <c r="R899" s="7" t="str">
        <f t="shared" si="17"/>
        <v>E:\附赠：Excel模板\Excel实战技巧精粹：Excel模板大全1000例</v>
      </c>
      <c r="S899" s="9">
        <v>43600.3821412037</v>
      </c>
      <c r="T899" s="9">
        <v>43390.5143287037</v>
      </c>
    </row>
    <row r="900" spans="14:20">
      <c r="N900" s="7" t="str">
        <f>HYPERLINK("E:\附赠：Excel模板\Excel实战技巧精粹：Excel模板大全1000例\环境目标调查表.xls","环境目标调查表.xls")</f>
        <v>环境目标调查表.xls</v>
      </c>
      <c r="Q900">
        <v>0.01</v>
      </c>
      <c r="R900" s="7" t="str">
        <f t="shared" si="17"/>
        <v>E:\附赠：Excel模板\Excel实战技巧精粹：Excel模板大全1000例</v>
      </c>
      <c r="S900" s="9">
        <v>43600.3821412037</v>
      </c>
      <c r="T900" s="9">
        <v>43390.5143287037</v>
      </c>
    </row>
    <row r="901" spans="14:20">
      <c r="N901" s="7" t="str">
        <f>HYPERLINK("E:\附赠：Excel模板\Excel实战技巧精粹：Excel模板大全1000例\环境相关指标调查表.xls","环境相关指标调查表.xls")</f>
        <v>环境相关指标调查表.xls</v>
      </c>
      <c r="Q901">
        <v>0.02</v>
      </c>
      <c r="R901" s="7" t="str">
        <f t="shared" si="17"/>
        <v>E:\附赠：Excel模板\Excel实战技巧精粹：Excel模板大全1000例</v>
      </c>
      <c r="S901" s="9">
        <v>43600.3821412037</v>
      </c>
      <c r="T901" s="9">
        <v>43390.5143287037</v>
      </c>
    </row>
    <row r="902" spans="14:20">
      <c r="N902" s="7" t="str">
        <f>HYPERLINK("E:\附赠：Excel模板\Excel实战技巧精粹：Excel模板大全1000例\现有工作用房情况调查表.xls","现有工作用房情况调查表.xls")</f>
        <v>现有工作用房情况调查表.xls</v>
      </c>
      <c r="Q902">
        <v>0.02</v>
      </c>
      <c r="R902" s="7" t="str">
        <f t="shared" si="17"/>
        <v>E:\附赠：Excel模板\Excel实战技巧精粹：Excel模板大全1000例</v>
      </c>
      <c r="S902" s="9">
        <v>43600.3821412037</v>
      </c>
      <c r="T902" s="9">
        <v>43390.5137268519</v>
      </c>
    </row>
    <row r="903" spans="14:20">
      <c r="N903" s="7" t="str">
        <f>HYPERLINK("E:\附赠：Excel模板\Excel实战技巧精粹：Excel模板大全1000例\现有设备情况调查表.xls","现有设备情况调查表.xls")</f>
        <v>现有设备情况调查表.xls</v>
      </c>
      <c r="Q903">
        <v>0.02</v>
      </c>
      <c r="R903" s="7" t="str">
        <f t="shared" si="17"/>
        <v>E:\附赠：Excel模板\Excel实战技巧精粹：Excel模板大全1000例</v>
      </c>
      <c r="S903" s="9">
        <v>43600.3821412037</v>
      </c>
      <c r="T903" s="9">
        <v>43390.5137268519</v>
      </c>
    </row>
    <row r="904" spans="14:20">
      <c r="N904" s="7" t="str">
        <f>HYPERLINK("E:\附赠：Excel模板\Excel实战技巧精粹：Excel模板大全1000例\现金流量表.xls","现金流量表.xls")</f>
        <v>现金流量表.xls</v>
      </c>
      <c r="Q904">
        <v>0.02</v>
      </c>
      <c r="R904" s="7" t="str">
        <f t="shared" si="17"/>
        <v>E:\附赠：Excel模板\Excel实战技巧精粹：Excel模板大全1000例</v>
      </c>
      <c r="S904" s="9">
        <v>43600.3821412037</v>
      </c>
      <c r="T904" s="9">
        <v>43390.51375</v>
      </c>
    </row>
    <row r="905" spans="14:20">
      <c r="N905" s="7" t="str">
        <f>HYPERLINK("E:\附赠：Excel模板\Excel实战技巧精粹：Excel模板大全1000例\现金流量表2.xls","现金流量表2.xls")</f>
        <v>现金流量表2.xls</v>
      </c>
      <c r="Q905">
        <v>0.02</v>
      </c>
      <c r="R905" s="7" t="str">
        <f t="shared" si="17"/>
        <v>E:\附赠：Excel模板\Excel实战技巧精粹：Excel模板大全1000例</v>
      </c>
      <c r="S905" s="9">
        <v>43600.3821412037</v>
      </c>
      <c r="T905" s="9">
        <v>43390.5137268519</v>
      </c>
    </row>
    <row r="906" spans="14:20">
      <c r="N906" s="7" t="str">
        <f>HYPERLINK("E:\附赠：Excel模板\Excel实战技巧精粹：Excel模板大全1000例\现金流量表3.xls","现金流量表3.xls")</f>
        <v>现金流量表3.xls</v>
      </c>
      <c r="Q906">
        <v>0.02</v>
      </c>
      <c r="R906" s="7" t="str">
        <f t="shared" si="17"/>
        <v>E:\附赠：Excel模板\Excel实战技巧精粹：Excel模板大全1000例</v>
      </c>
      <c r="S906" s="9">
        <v>43600.3821412037</v>
      </c>
      <c r="T906" s="9">
        <v>43390.51375</v>
      </c>
    </row>
    <row r="907" spans="14:20">
      <c r="N907" s="7" t="str">
        <f>HYPERLINK("E:\附赠：Excel模板\Excel实战技巧精粹：Excel模板大全1000例\现金流量表模板.xls","现金流量表模板.xls")</f>
        <v>现金流量表模板.xls</v>
      </c>
      <c r="Q907">
        <v>0.02</v>
      </c>
      <c r="R907" s="7" t="str">
        <f t="shared" si="17"/>
        <v>E:\附赠：Excel模板\Excel实战技巧精粹：Excel模板大全1000例</v>
      </c>
      <c r="S907" s="9">
        <v>43600.3821412037</v>
      </c>
      <c r="T907" s="9">
        <v>43390.5137268519</v>
      </c>
    </row>
    <row r="908" spans="14:20">
      <c r="N908" s="7" t="str">
        <f>HYPERLINK("E:\附赠：Excel模板\Excel实战技巧精粹：Excel模板大全1000例\现金流量预算表.xls","现金流量预算表.xls")</f>
        <v>现金流量预算表.xls</v>
      </c>
      <c r="Q908">
        <v>0.02</v>
      </c>
      <c r="R908" s="7" t="str">
        <f t="shared" si="17"/>
        <v>E:\附赠：Excel模板\Excel实战技巧精粹：Excel模板大全1000例</v>
      </c>
      <c r="S908" s="9">
        <v>43600.3821412037</v>
      </c>
      <c r="T908" s="9">
        <v>43390.5137268519</v>
      </c>
    </row>
    <row r="909" spans="14:20">
      <c r="N909" s="7" t="str">
        <f>HYPERLINK("E:\附赠：Excel模板\Excel实战技巧精粹：Excel模板大全1000例\班级操行评定表.xls","班级操行评定表.xls")</f>
        <v>班级操行评定表.xls</v>
      </c>
      <c r="Q909">
        <v>0.02</v>
      </c>
      <c r="R909" s="7" t="str">
        <f t="shared" si="17"/>
        <v>E:\附赠：Excel模板\Excel实战技巧精粹：Excel模板大全1000例</v>
      </c>
      <c r="S909" s="9">
        <v>43600.3821412037</v>
      </c>
      <c r="T909" s="9">
        <v>43390.5147222222</v>
      </c>
    </row>
    <row r="910" spans="14:20">
      <c r="N910" s="7" t="str">
        <f>HYPERLINK("E:\附赠：Excel模板\Excel实战技巧精粹：Excel模板大全1000例\班级统计表.xls","班级统计表.xls")</f>
        <v>班级统计表.xls</v>
      </c>
      <c r="Q910">
        <v>0.02</v>
      </c>
      <c r="R910" s="7" t="str">
        <f t="shared" si="17"/>
        <v>E:\附赠：Excel模板\Excel实战技巧精粹：Excel模板大全1000例</v>
      </c>
      <c r="S910" s="9">
        <v>43600.3821412037</v>
      </c>
      <c r="T910" s="9">
        <v>43390.5146990741</v>
      </c>
    </row>
    <row r="911" spans="14:20">
      <c r="N911" s="7" t="str">
        <f>HYPERLINK("E:\附赠：Excel模板\Excel实战技巧精粹：Excel模板大全1000例\班级考核汇总表.xls","班级考核汇总表.xls")</f>
        <v>班级考核汇总表.xls</v>
      </c>
      <c r="Q911">
        <v>0.02</v>
      </c>
      <c r="R911" s="7" t="str">
        <f t="shared" si="17"/>
        <v>E:\附赠：Excel模板\Excel实战技巧精粹：Excel模板大全1000例</v>
      </c>
      <c r="S911" s="9">
        <v>43600.3821412037</v>
      </c>
      <c r="T911" s="9">
        <v>43390.5146990741</v>
      </c>
    </row>
    <row r="912" spans="14:20">
      <c r="N912" s="7" t="str">
        <f>HYPERLINK("E:\附赠：Excel模板\Excel实战技巧精粹：Excel模板大全1000例\球会收支情况.xls","球会收支情况.xls")</f>
        <v>球会收支情况.xls</v>
      </c>
      <c r="Q912">
        <v>0.02</v>
      </c>
      <c r="R912" s="7" t="str">
        <f t="shared" si="17"/>
        <v>E:\附赠：Excel模板\Excel实战技巧精粹：Excel模板大全1000例</v>
      </c>
      <c r="S912" s="9">
        <v>43600.3821412037</v>
      </c>
      <c r="T912" s="9">
        <v>43390.5139814815</v>
      </c>
    </row>
    <row r="913" spans="14:20">
      <c r="N913" s="7" t="str">
        <f>HYPERLINK("E:\附赠：Excel模板\Excel实战技巧精粹：Excel模板大全1000例\生产报表.xls","生产报表.xls")</f>
        <v>生产报表.xls</v>
      </c>
      <c r="Q913">
        <v>0.02</v>
      </c>
      <c r="R913" s="7" t="str">
        <f t="shared" si="17"/>
        <v>E:\附赠：Excel模板\Excel实战技巧精粹：Excel模板大全1000例</v>
      </c>
      <c r="S913" s="9">
        <v>43600.3821412037</v>
      </c>
      <c r="T913" s="9">
        <v>43390.513912037</v>
      </c>
    </row>
    <row r="914" spans="14:20">
      <c r="N914" s="7" t="str">
        <f>HYPERLINK("E:\附赠：Excel模板\Excel实战技巧精粹：Excel模板大全1000例\生态公益林内开展旅游和其它经营活动审批申请表.xls","生态公益林内开展旅游和其它经营活动审批申请表.xls")</f>
        <v>生态公益林内开展旅游和其它经营活动审批申请表.xls</v>
      </c>
      <c r="Q914">
        <v>0.02</v>
      </c>
      <c r="R914" s="7" t="str">
        <f t="shared" si="17"/>
        <v>E:\附赠：Excel模板\Excel实战技巧精粹：Excel模板大全1000例</v>
      </c>
      <c r="S914" s="9">
        <v>43600.3821412037</v>
      </c>
      <c r="T914" s="9">
        <v>43390.513912037</v>
      </c>
    </row>
    <row r="915" spans="14:20">
      <c r="N915" s="7" t="str">
        <f>HYPERLINK("E:\附赠：Excel模板\Excel实战技巧精粹：Excel模板大全1000例\用于教学的仪器设备一览表.xls","用于教学的仪器设备一览表.xls")</f>
        <v>用于教学的仪器设备一览表.xls</v>
      </c>
      <c r="Q915">
        <v>0.02</v>
      </c>
      <c r="R915" s="7" t="str">
        <f t="shared" si="17"/>
        <v>E:\附赠：Excel模板\Excel实战技巧精粹：Excel模板大全1000例</v>
      </c>
      <c r="S915" s="9">
        <v>43600.3821412037</v>
      </c>
      <c r="T915" s="9">
        <v>43390.5135185185</v>
      </c>
    </row>
    <row r="916" spans="14:20">
      <c r="N916" s="7" t="str">
        <f>HYPERLINK("E:\附赠：Excel模板\Excel实战技巧精粹：Excel模板大全1000例\用公款为个人购买商业保险清退情况统计表.xls","用公款为个人购买商业保险清退情况统计表.xls")</f>
        <v>用公款为个人购买商业保险清退情况统计表.xls</v>
      </c>
      <c r="Q916">
        <v>0.02</v>
      </c>
      <c r="R916" s="7" t="str">
        <f t="shared" si="17"/>
        <v>E:\附赠：Excel模板\Excel实战技巧精粹：Excel模板大全1000例</v>
      </c>
      <c r="S916" s="9">
        <v>43600.3821412037</v>
      </c>
      <c r="T916" s="9">
        <v>43390.5135185185</v>
      </c>
    </row>
    <row r="917" spans="14:20">
      <c r="N917" s="7" t="str">
        <f>HYPERLINK("E:\附赠：Excel模板\Excel实战技巧精粹：Excel模板大全1000例\申请新型农村合作医疗制度补助资金表.xls","申请新型农村合作医疗制度补助资金表.xls")</f>
        <v>申请新型农村合作医疗制度补助资金表.xls</v>
      </c>
      <c r="Q917">
        <v>0.02</v>
      </c>
      <c r="R917" s="7" t="str">
        <f t="shared" si="17"/>
        <v>E:\附赠：Excel模板\Excel实战技巧精粹：Excel模板大全1000例</v>
      </c>
      <c r="S917" s="9">
        <v>43600.3821412037</v>
      </c>
      <c r="T917" s="9">
        <v>43390.5139351852</v>
      </c>
    </row>
    <row r="918" spans="14:20">
      <c r="N918" s="7" t="str">
        <f>HYPERLINK("E:\附赠：Excel模板\Excel实战技巧精粹：Excel模板大全1000例\电力集团公司继续教育培训计划.xls","电力集团公司继续教育培训计划.xls")</f>
        <v>电力集团公司继续教育培训计划.xls</v>
      </c>
      <c r="Q918">
        <v>0.04</v>
      </c>
      <c r="R918" s="7" t="str">
        <f t="shared" si="17"/>
        <v>E:\附赠：Excel模板\Excel实战技巧精粹：Excel模板大全1000例</v>
      </c>
      <c r="S918" s="9">
        <v>43600.3821412037</v>
      </c>
      <c r="T918" s="9">
        <v>43390.5144907407</v>
      </c>
    </row>
    <row r="919" spans="14:20">
      <c r="N919" s="7" t="str">
        <f>HYPERLINK("E:\附赠：Excel模板\Excel实战技巧精粹：Excel模板大全1000例\电子表格资源列表.txt","电子表格资源列表.txt")</f>
        <v>电子表格资源列表.txt</v>
      </c>
      <c r="Q919">
        <v>0.03</v>
      </c>
      <c r="R919" s="7" t="str">
        <f t="shared" ref="R919:R982" si="18">HYPERLINK("E:\附赠：Excel模板\Excel实战技巧精粹：Excel模板大全1000例","E:\附赠：Excel模板\Excel实战技巧精粹：Excel模板大全1000例")</f>
        <v>E:\附赠：Excel模板\Excel实战技巧精粹：Excel模板大全1000例</v>
      </c>
      <c r="S919" s="9">
        <v>43600.3821412037</v>
      </c>
      <c r="T919" s="9">
        <v>43390.5144907407</v>
      </c>
    </row>
    <row r="920" spans="14:20">
      <c r="N920" s="7" t="str">
        <f>HYPERLINK("E:\附赠：Excel模板\Excel实战技巧精粹：Excel模板大全1000例\电话经营情况明细表.xls","电话经营情况明细表.xls")</f>
        <v>电话经营情况明细表.xls</v>
      </c>
      <c r="Q920">
        <v>0.02</v>
      </c>
      <c r="R920" s="7" t="str">
        <f t="shared" si="18"/>
        <v>E:\附赠：Excel模板\Excel实战技巧精粹：Excel模板大全1000例</v>
      </c>
      <c r="S920" s="9">
        <v>43600.3821412037</v>
      </c>
      <c r="T920" s="9">
        <v>43390.5144907407</v>
      </c>
    </row>
    <row r="921" spans="14:20">
      <c r="N921" s="7" t="str">
        <f>HYPERLINK("E:\附赠：Excel模板\Excel实战技巧精粹：Excel模板大全1000例\疾病预防控制中心工作人员基本情况.xls","疾病预防控制中心工作人员基本情况.xls")</f>
        <v>疾病预防控制中心工作人员基本情况.xls</v>
      </c>
      <c r="Q921">
        <v>0.02</v>
      </c>
      <c r="R921" s="7" t="str">
        <f t="shared" si="18"/>
        <v>E:\附赠：Excel模板\Excel实战技巧精粹：Excel模板大全1000例</v>
      </c>
      <c r="S921" s="9">
        <v>43600.3821412037</v>
      </c>
      <c r="T921" s="9">
        <v>43390.5142824074</v>
      </c>
    </row>
    <row r="922" spans="14:20">
      <c r="N922" s="7" t="str">
        <f>HYPERLINK("E:\附赠：Excel模板\Excel实战技巧精粹：Excel模板大全1000例\监测能力基本情况表.xls","监测能力基本情况表.xls")</f>
        <v>监测能力基本情况表.xls</v>
      </c>
      <c r="Q922">
        <v>0.02</v>
      </c>
      <c r="R922" s="7" t="str">
        <f t="shared" si="18"/>
        <v>E:\附赠：Excel模板\Excel实战技巧精粹：Excel模板大全1000例</v>
      </c>
      <c r="S922" s="9">
        <v>43600.3821412037</v>
      </c>
      <c r="T922" s="9">
        <v>43390.5142592593</v>
      </c>
    </row>
    <row r="923" spans="14:20">
      <c r="N923" s="7" t="str">
        <f>HYPERLINK("E:\附赠：Excel模板\Excel实战技巧精粹：Excel模板大全1000例\监测项目情况表.xls","监测项目情况表.xls")</f>
        <v>监测项目情况表.xls</v>
      </c>
      <c r="Q923">
        <v>0.02</v>
      </c>
      <c r="R923" s="7" t="str">
        <f t="shared" si="18"/>
        <v>E:\附赠：Excel模板\Excel实战技巧精粹：Excel模板大全1000例</v>
      </c>
      <c r="S923" s="9">
        <v>43600.3821412037</v>
      </c>
      <c r="T923" s="9">
        <v>43390.5142592593</v>
      </c>
    </row>
    <row r="924" spans="14:20">
      <c r="N924" s="7" t="str">
        <f>HYPERLINK("E:\附赠：Excel模板\Excel实战技巧精粹：Excel模板大全1000例\直接管理人员费用预算明细表.xls","直接管理人员费用预算明细表.xls")</f>
        <v>直接管理人员费用预算明细表.xls</v>
      </c>
      <c r="Q924">
        <v>0.02</v>
      </c>
      <c r="R924" s="7" t="str">
        <f t="shared" si="18"/>
        <v>E:\附赠：Excel模板\Excel实战技巧精粹：Excel模板大全1000例</v>
      </c>
      <c r="S924" s="9">
        <v>43600.3821412037</v>
      </c>
      <c r="T924" s="9">
        <v>43390.5134490741</v>
      </c>
    </row>
    <row r="925" spans="14:20">
      <c r="N925" s="7" t="str">
        <f>HYPERLINK("E:\附赠：Excel模板\Excel实战技巧精粹：Excel模板大全1000例\省 森林资源档案及GIS情况调查表.xls","省 森林资源档案及GIS情况调查表.xls")</f>
        <v>省 森林资源档案及GIS情况调查表.xls</v>
      </c>
      <c r="Q925">
        <v>0.02</v>
      </c>
      <c r="R925" s="7" t="str">
        <f t="shared" si="18"/>
        <v>E:\附赠：Excel模板\Excel实战技巧精粹：Excel模板大全1000例</v>
      </c>
      <c r="S925" s="9">
        <v>43600.3821412037</v>
      </c>
      <c r="T925" s="9">
        <v>43390.513912037</v>
      </c>
    </row>
    <row r="926" spans="14:20">
      <c r="N926" s="7" t="str">
        <f>HYPERLINK("E:\附赠：Excel模板\Excel实战技巧精粹：Excel模板大全1000例\省“十一五”计划重大建设项目表.xls","省“十一五”计划重大建设项目表.xls")</f>
        <v>省“十一五”计划重大建设项目表.xls</v>
      </c>
      <c r="Q926">
        <v>0.02</v>
      </c>
      <c r="R926" s="7" t="str">
        <f t="shared" si="18"/>
        <v>E:\附赠：Excel模板\Excel实战技巧精粹：Excel模板大全1000例</v>
      </c>
      <c r="S926" s="9">
        <v>43600.3821412037</v>
      </c>
      <c r="T926" s="9">
        <v>43390.513912037</v>
      </c>
    </row>
    <row r="927" spans="14:20">
      <c r="N927" s="7" t="str">
        <f>HYPERLINK("E:\附赠：Excel模板\Excel实战技巧精粹：Excel模板大全1000例\省“十一五”计划预备重大项目表.xls","省“十一五”计划预备重大项目表.xls")</f>
        <v>省“十一五”计划预备重大项目表.xls</v>
      </c>
      <c r="Q927">
        <v>0.02</v>
      </c>
      <c r="R927" s="7" t="str">
        <f t="shared" si="18"/>
        <v>E:\附赠：Excel模板\Excel实战技巧精粹：Excel模板大全1000例</v>
      </c>
      <c r="S927" s="9">
        <v>43600.3821412037</v>
      </c>
      <c r="T927" s="9">
        <v>43390.513912037</v>
      </c>
    </row>
    <row r="928" spans="14:20">
      <c r="N928" s="7" t="str">
        <f>HYPERLINK("E:\附赠：Excel模板\Excel实战技巧精粹：Excel模板大全1000例\省二类调查基本情况调查表.xls","省二类调查基本情况调查表.xls")</f>
        <v>省二类调查基本情况调查表.xls</v>
      </c>
      <c r="Q928">
        <v>0.02</v>
      </c>
      <c r="R928" s="7" t="str">
        <f t="shared" si="18"/>
        <v>E:\附赠：Excel模板\Excel实战技巧精粹：Excel模板大全1000例</v>
      </c>
      <c r="S928" s="9">
        <v>43600.3821412037</v>
      </c>
      <c r="T928" s="9">
        <v>43390.513912037</v>
      </c>
    </row>
    <row r="929" spans="14:20">
      <c r="N929" s="7" t="str">
        <f>HYPERLINK("E:\附赠：Excel模板\Excel实战技巧精粹：Excel模板大全1000例\省二类调查技术方法及遥感技术应用情况调查表.xls","省二类调查技术方法及遥感技术应用情况调查表.xls")</f>
        <v>省二类调查技术方法及遥感技术应用情况调查表.xls</v>
      </c>
      <c r="Q929">
        <v>0.02</v>
      </c>
      <c r="R929" s="7" t="str">
        <f t="shared" si="18"/>
        <v>E:\附赠：Excel模板\Excel实战技巧精粹：Excel模板大全1000例</v>
      </c>
      <c r="S929" s="9">
        <v>43600.3821412037</v>
      </c>
      <c r="T929" s="9">
        <v>43390.513912037</v>
      </c>
    </row>
    <row r="930" spans="14:20">
      <c r="N930" s="7" t="str">
        <f>HYPERLINK("E:\附赠：Excel模板\Excel实战技巧精粹：Excel模板大全1000例\省二类调查投入及来源渠道调查表.xls","省二类调查投入及来源渠道调查表.xls")</f>
        <v>省二类调查投入及来源渠道调查表.xls</v>
      </c>
      <c r="Q930">
        <v>0.02</v>
      </c>
      <c r="R930" s="7" t="str">
        <f t="shared" si="18"/>
        <v>E:\附赠：Excel模板\Excel实战技巧精粹：Excel模板大全1000例</v>
      </c>
      <c r="S930" s="9">
        <v>43600.3821412037</v>
      </c>
      <c r="T930" s="9">
        <v>43390.513912037</v>
      </c>
    </row>
    <row r="931" spans="14:20">
      <c r="N931" s="7" t="str">
        <f>HYPERLINK("E:\附赠：Excel模板\Excel实战技巧精粹：Excel模板大全1000例\省地矿行政管理表.xls","省地矿行政管理表.xls")</f>
        <v>省地矿行政管理表.xls</v>
      </c>
      <c r="Q931">
        <v>0.02</v>
      </c>
      <c r="R931" s="7" t="str">
        <f t="shared" si="18"/>
        <v>E:\附赠：Excel模板\Excel实战技巧精粹：Excel模板大全1000例</v>
      </c>
      <c r="S931" s="9">
        <v>43600.3821412037</v>
      </c>
      <c r="T931" s="9">
        <v>43390.513912037</v>
      </c>
    </row>
    <row r="932" spans="14:20">
      <c r="N932" s="7" t="str">
        <f>HYPERLINK("E:\附赠：Excel模板\Excel实战技巧精粹：Excel模板大全1000例\省本级分月政府采购项目清单.xls","省本级分月政府采购项目清单.xls")</f>
        <v>省本级分月政府采购项目清单.xls</v>
      </c>
      <c r="Q932">
        <v>0.02</v>
      </c>
      <c r="R932" s="7" t="str">
        <f t="shared" si="18"/>
        <v>E:\附赠：Excel模板\Excel实战技巧精粹：Excel模板大全1000例</v>
      </c>
      <c r="S932" s="9">
        <v>43600.3821412037</v>
      </c>
      <c r="T932" s="9">
        <v>43390.513912037</v>
      </c>
    </row>
    <row r="933" spans="14:20">
      <c r="N933" s="7" t="str">
        <f>HYPERLINK("E:\附赠：Excel模板\Excel实战技巧精粹：Excel模板大全1000例\省林业生态旅游区（点）开发建设情况汇总表.xls","省林业生态旅游区（点）开发建设情况汇总表.xls")</f>
        <v>省林业生态旅游区（点）开发建设情况汇总表.xls</v>
      </c>
      <c r="Q933">
        <v>0.02</v>
      </c>
      <c r="R933" s="7" t="str">
        <f t="shared" si="18"/>
        <v>E:\附赠：Excel模板\Excel实战技巧精粹：Excel模板大全1000例</v>
      </c>
      <c r="S933" s="9">
        <v>43600.3821412037</v>
      </c>
      <c r="T933" s="9">
        <v>43390.513912037</v>
      </c>
    </row>
    <row r="934" spans="14:20">
      <c r="N934" s="7" t="str">
        <f>HYPERLINK("E:\附赠：Excel模板\Excel实战技巧精粹：Excel模板大全1000例\省直预算单位银行账户年检登记表.xls","省直预算单位银行账户年检登记表.xls")</f>
        <v>省直预算单位银行账户年检登记表.xls</v>
      </c>
      <c r="Q934">
        <v>0.02</v>
      </c>
      <c r="R934" s="7" t="str">
        <f t="shared" si="18"/>
        <v>E:\附赠：Excel模板\Excel实战技巧精粹：Excel模板大全1000例</v>
      </c>
      <c r="S934" s="9">
        <v>43600.3821412037</v>
      </c>
      <c r="T934" s="9">
        <v>43390.513912037</v>
      </c>
    </row>
    <row r="935" spans="14:20">
      <c r="N935" s="7" t="str">
        <f>HYPERLINK("E:\附赠：Excel模板\Excel实战技巧精粹：Excel模板大全1000例\省级机关工作人员增减工资审批表.xls","省级机关工作人员增减工资审批表.xls")</f>
        <v>省级机关工作人员增减工资审批表.xls</v>
      </c>
      <c r="Q935">
        <v>0.02</v>
      </c>
      <c r="R935" s="7" t="str">
        <f t="shared" si="18"/>
        <v>E:\附赠：Excel模板\Excel实战技巧精粹：Excel模板大全1000例</v>
      </c>
      <c r="S935" s="9">
        <v>43600.3821412037</v>
      </c>
      <c r="T935" s="9">
        <v>43390.513912037</v>
      </c>
    </row>
    <row r="936" spans="14:20">
      <c r="N936" s="7" t="str">
        <f>HYPERLINK("E:\附赠：Excel模板\Excel实战技巧精粹：Excel模板大全1000例\省级机关机构编制审核表.xls","省级机关机构编制审核表.xls")</f>
        <v>省级机关机构编制审核表.xls</v>
      </c>
      <c r="Q936">
        <v>0.02</v>
      </c>
      <c r="R936" s="7" t="str">
        <f t="shared" si="18"/>
        <v>E:\附赠：Excel模板\Excel实战技巧精粹：Excel模板大全1000例</v>
      </c>
      <c r="S936" s="9">
        <v>43600.3821412037</v>
      </c>
      <c r="T936" s="9">
        <v>43390.513912037</v>
      </c>
    </row>
    <row r="937" spans="14:20">
      <c r="N937" s="7" t="str">
        <f>HYPERLINK("E:\附赠：Excel模板\Excel实战技巧精粹：Excel模板大全1000例\省级财政专项资金管理及拨付使用情况自查表.xls","省级财政专项资金管理及拨付使用情况自查表.xls")</f>
        <v>省级财政专项资金管理及拨付使用情况自查表.xls</v>
      </c>
      <c r="Q937">
        <v>0.02</v>
      </c>
      <c r="R937" s="7" t="str">
        <f t="shared" si="18"/>
        <v>E:\附赠：Excel模板\Excel实战技巧精粹：Excel模板大全1000例</v>
      </c>
      <c r="S937" s="9">
        <v>43600.3821412037</v>
      </c>
      <c r="T937" s="9">
        <v>43390.513912037</v>
      </c>
    </row>
    <row r="938" spans="14:20">
      <c r="N938" s="7" t="str">
        <f>HYPERLINK("E:\附赠：Excel模板\Excel实战技巧精粹：Excel模板大全1000例\省级部门集中采购计划申请表.xls","省级部门集中采购计划申请表.xls")</f>
        <v>省级部门集中采购计划申请表.xls</v>
      </c>
      <c r="Q938">
        <v>0.02</v>
      </c>
      <c r="R938" s="7" t="str">
        <f t="shared" si="18"/>
        <v>E:\附赠：Excel模板\Excel实战技巧精粹：Excel模板大全1000例</v>
      </c>
      <c r="S938" s="9">
        <v>43600.3821412037</v>
      </c>
      <c r="T938" s="9">
        <v>43390.513912037</v>
      </c>
    </row>
    <row r="939" spans="14:20">
      <c r="N939" s="7" t="str">
        <f>HYPERLINK("E:\附赠：Excel模板\Excel实战技巧精粹：Excel模板大全1000例\省邮政物流配送服务有限公司招聘岗位.xls","省邮政物流配送服务有限公司招聘岗位.xls")</f>
        <v>省邮政物流配送服务有限公司招聘岗位.xls</v>
      </c>
      <c r="Q939">
        <v>0.02</v>
      </c>
      <c r="R939" s="7" t="str">
        <f t="shared" si="18"/>
        <v>E:\附赠：Excel模板\Excel实战技巧精粹：Excel模板大全1000例</v>
      </c>
      <c r="S939" s="9">
        <v>43600.3821412037</v>
      </c>
      <c r="T939" s="9">
        <v>43390.513912037</v>
      </c>
    </row>
    <row r="940" spans="14:20">
      <c r="N940" s="7" t="str">
        <f>HYPERLINK("E:\附赠：Excel模板\Excel实战技巧精粹：Excel模板大全1000例\知识产权宣传培训统计表.xls","知识产权宣传培训统计表.xls")</f>
        <v>知识产权宣传培训统计表.xls</v>
      </c>
      <c r="Q940">
        <v>0.01</v>
      </c>
      <c r="R940" s="7" t="str">
        <f t="shared" si="18"/>
        <v>E:\附赠：Excel模板\Excel实战技巧精粹：Excel模板大全1000例</v>
      </c>
      <c r="S940" s="9">
        <v>43600.3821412037</v>
      </c>
      <c r="T940" s="9">
        <v>43390.5134722222</v>
      </c>
    </row>
    <row r="941" spans="14:20">
      <c r="N941" s="7" t="str">
        <f>HYPERLINK("E:\附赠：Excel模板\Excel实战技巧精粹：Excel模板大全1000例\短期借款、长期借款明细表.xls","短期借款、长期借款明细表.xls")</f>
        <v>短期借款、长期借款明细表.xls</v>
      </c>
      <c r="Q941">
        <v>0.02</v>
      </c>
      <c r="R941" s="7" t="str">
        <f t="shared" si="18"/>
        <v>E:\附赠：Excel模板\Excel实战技巧精粹：Excel模板大全1000例</v>
      </c>
      <c r="S941" s="9">
        <v>43600.3821412037</v>
      </c>
      <c r="T941" s="9">
        <v>43390.5144675926</v>
      </c>
    </row>
    <row r="942" spans="14:20">
      <c r="N942" s="7" t="str">
        <f>HYPERLINK("E:\附赠：Excel模板\Excel实战技巧精粹：Excel模板大全1000例\短期投资明细表.xls","短期投资明细表.xls")</f>
        <v>短期投资明细表.xls</v>
      </c>
      <c r="Q942">
        <v>0.02</v>
      </c>
      <c r="R942" s="7" t="str">
        <f t="shared" si="18"/>
        <v>E:\附赠：Excel模板\Excel实战技巧精粹：Excel模板大全1000例</v>
      </c>
      <c r="S942" s="9">
        <v>43600.3821412037</v>
      </c>
      <c r="T942" s="9">
        <v>43390.5144675926</v>
      </c>
    </row>
    <row r="943" spans="14:20">
      <c r="N943" s="7" t="str">
        <f>HYPERLINK("E:\附赠：Excel模板\Excel实战技巧精粹：Excel模板大全1000例\矿产资源勘查登记项目情况表.xls","矿产资源勘查登记项目情况表.xls")</f>
        <v>矿产资源勘查登记项目情况表.xls</v>
      </c>
      <c r="Q943">
        <v>0.03</v>
      </c>
      <c r="R943" s="7" t="str">
        <f t="shared" si="18"/>
        <v>E:\附赠：Excel模板\Excel实战技巧精粹：Excel模板大全1000例</v>
      </c>
      <c r="S943" s="9">
        <v>43600.3821412037</v>
      </c>
      <c r="T943" s="9">
        <v>43390.5141666667</v>
      </c>
    </row>
    <row r="944" spans="14:20">
      <c r="N944" s="7" t="str">
        <f>HYPERLINK("E:\附赠：Excel模板\Excel实战技巧精粹：Excel模板大全1000例\研究生离校手续卡(备忘).xls","研究生离校手续卡(备忘).xls")</f>
        <v>研究生离校手续卡(备忘).xls</v>
      </c>
      <c r="Q944">
        <v>0.02</v>
      </c>
      <c r="R944" s="7" t="str">
        <f t="shared" si="18"/>
        <v>E:\附赠：Excel模板\Excel实战技巧精粹：Excel模板大全1000例</v>
      </c>
      <c r="S944" s="9">
        <v>43600.3821412037</v>
      </c>
      <c r="T944" s="9">
        <v>43390.5135648148</v>
      </c>
    </row>
    <row r="945" spans="14:20">
      <c r="N945" s="7" t="str">
        <f>HYPERLINK("E:\附赠：Excel模板\Excel实战技巧精粹：Excel模板大全1000例\研究生答辩安排.xls","研究生答辩安排.xls")</f>
        <v>研究生答辩安排.xls</v>
      </c>
      <c r="Q945">
        <v>0.02</v>
      </c>
      <c r="R945" s="7" t="str">
        <f t="shared" si="18"/>
        <v>E:\附赠：Excel模板\Excel实战技巧精粹：Excel模板大全1000例</v>
      </c>
      <c r="S945" s="9">
        <v>43600.3821412037</v>
      </c>
      <c r="T945" s="9">
        <v>43390.5135648148</v>
      </c>
    </row>
    <row r="946" spans="14:20">
      <c r="N946" s="7" t="str">
        <f>HYPERLINK("E:\附赠：Excel模板\Excel实战技巧精粹：Excel模板大全1000例\碩士在職進修專班課程結構規劃表.xls","碩士在職進修專班課程結構規劃表.xls")</f>
        <v>碩士在職進修專班課程結構規劃表.xls</v>
      </c>
      <c r="Q946">
        <v>0.02</v>
      </c>
      <c r="R946" s="7" t="str">
        <f t="shared" si="18"/>
        <v>E:\附赠：Excel模板\Excel实战技巧精粹：Excel模板大全1000例</v>
      </c>
      <c r="S946" s="9">
        <v>43600.3821412037</v>
      </c>
      <c r="T946" s="9">
        <v>43390.5145601852</v>
      </c>
    </row>
    <row r="947" spans="14:20">
      <c r="N947" s="7" t="str">
        <f>HYPERLINK("E:\附赠：Excel模板\Excel实战技巧精粹：Excel模板大全1000例\社会事业重点储备项目.xls","社会事业重点储备项目.xls")</f>
        <v>社会事业重点储备项目.xls</v>
      </c>
      <c r="Q947">
        <v>0.01</v>
      </c>
      <c r="R947" s="7" t="str">
        <f t="shared" si="18"/>
        <v>E:\附赠：Excel模板\Excel实战技巧精粹：Excel模板大全1000例</v>
      </c>
      <c r="S947" s="9">
        <v>43600.3821412037</v>
      </c>
      <c r="T947" s="9">
        <v>43390.5139351852</v>
      </c>
    </row>
    <row r="948" spans="14:20">
      <c r="N948" s="7" t="str">
        <f>HYPERLINK("E:\附赠：Excel模板\Excel实战技巧精粹：Excel模板大全1000例\社会保险工作量测算.xls","社会保险工作量测算.xls")</f>
        <v>社会保险工作量测算.xls</v>
      </c>
      <c r="Q948">
        <v>0.02</v>
      </c>
      <c r="R948" s="7" t="str">
        <f t="shared" si="18"/>
        <v>E:\附赠：Excel模板\Excel实战技巧精粹：Excel模板大全1000例</v>
      </c>
      <c r="S948" s="9">
        <v>43600.3821412037</v>
      </c>
      <c r="T948" s="9">
        <v>43390.5139351852</v>
      </c>
    </row>
    <row r="949" spans="14:20">
      <c r="N949" s="7" t="str">
        <f>HYPERLINK("E:\附赠：Excel模板\Excel实战技巧精粹：Excel模板大全1000例\社会保险金异地转入银行到帐明细表.xls","社会保险金异地转入银行到帐明细表.xls")</f>
        <v>社会保险金异地转入银行到帐明细表.xls</v>
      </c>
      <c r="Q949">
        <v>0.03</v>
      </c>
      <c r="R949" s="7" t="str">
        <f t="shared" si="18"/>
        <v>E:\附赠：Excel模板\Excel实战技巧精粹：Excel模板大全1000例</v>
      </c>
      <c r="S949" s="9">
        <v>43600.3821412037</v>
      </c>
      <c r="T949" s="9">
        <v>43390.5139351852</v>
      </c>
    </row>
    <row r="950" spans="14:20">
      <c r="N950" s="7" t="str">
        <f>HYPERLINK("E:\附赠：Excel模板\Excel实战技巧精粹：Excel模板大全1000例\社会发展基本情况统计表.xls","社会发展基本情况统计表.xls")</f>
        <v>社会发展基本情况统计表.xls</v>
      </c>
      <c r="Q950">
        <v>0.04</v>
      </c>
      <c r="R950" s="7" t="str">
        <f t="shared" si="18"/>
        <v>E:\附赠：Excel模板\Excel实战技巧精粹：Excel模板大全1000例</v>
      </c>
      <c r="S950" s="9">
        <v>43600.3821412037</v>
      </c>
      <c r="T950" s="9">
        <v>43390.5139351852</v>
      </c>
    </row>
    <row r="951" spans="14:20">
      <c r="N951" s="7" t="str">
        <f>HYPERLINK("E:\附赠：Excel模板\Excel实战技巧精粹：Excel模板大全1000例\社会团体分支、代表机构负责人基本情况表.xls","社会团体分支、代表机构负责人基本情况表.xls")</f>
        <v>社会团体分支、代表机构负责人基本情况表.xls</v>
      </c>
      <c r="Q951">
        <v>0.02</v>
      </c>
      <c r="R951" s="7" t="str">
        <f t="shared" si="18"/>
        <v>E:\附赠：Excel模板\Excel实战技巧精粹：Excel模板大全1000例</v>
      </c>
      <c r="S951" s="9">
        <v>43600.3821412037</v>
      </c>
      <c r="T951" s="9">
        <v>43390.5139351852</v>
      </c>
    </row>
    <row r="952" spans="14:20">
      <c r="N952" s="7" t="str">
        <f>HYPERLINK("E:\附赠：Excel模板\Excel实战技巧精粹：Excel模板大全1000例\社会团体年度检查报告书.xls","社会团体年度检查报告书.xls")</f>
        <v>社会团体年度检查报告书.xls</v>
      </c>
      <c r="Q952">
        <v>0.02</v>
      </c>
      <c r="R952" s="7" t="str">
        <f t="shared" si="18"/>
        <v>E:\附赠：Excel模板\Excel实战技巧精粹：Excel模板大全1000例</v>
      </c>
      <c r="S952" s="9">
        <v>43600.3821412037</v>
      </c>
      <c r="T952" s="9">
        <v>43390.5139351852</v>
      </c>
    </row>
    <row r="953" spans="14:20">
      <c r="N953" s="7" t="str">
        <f>HYPERLINK("E:\附赠：Excel模板\Excel实战技巧精粹：Excel模板大全1000例\社保户管理范围调整表.xls","社保户管理范围调整表.xls")</f>
        <v>社保户管理范围调整表.xls</v>
      </c>
      <c r="Q953">
        <v>0.04</v>
      </c>
      <c r="R953" s="7" t="str">
        <f t="shared" si="18"/>
        <v>E:\附赠：Excel模板\Excel实战技巧精粹：Excel模板大全1000例</v>
      </c>
      <c r="S953" s="9">
        <v>43600.3821412037</v>
      </c>
      <c r="T953" s="9">
        <v>43390.5139351852</v>
      </c>
    </row>
    <row r="954" spans="14:20">
      <c r="N954" s="7" t="str">
        <f>HYPERLINK("E:\附赠：Excel模板\Excel实战技巧精粹：Excel模板大全1000例\社区健康服务中心情况汇总表.xls","社区健康服务中心情况汇总表.xls")</f>
        <v>社区健康服务中心情况汇总表.xls</v>
      </c>
      <c r="Q954">
        <v>0.02</v>
      </c>
      <c r="R954" s="7" t="str">
        <f t="shared" si="18"/>
        <v>E:\附赠：Excel模板\Excel实战技巧精粹：Excel模板大全1000例</v>
      </c>
      <c r="S954" s="9">
        <v>43600.3821412037</v>
      </c>
      <c r="T954" s="9">
        <v>43390.5139351852</v>
      </c>
    </row>
    <row r="955" spans="14:20">
      <c r="N955" s="7" t="str">
        <f>HYPERLINK("E:\附赠：Excel模板\Excel实战技巧精粹：Excel模板大全1000例\神奇万年历.xls","神奇万年历.xls")</f>
        <v>神奇万年历.xls</v>
      </c>
      <c r="Q955">
        <v>0.22</v>
      </c>
      <c r="R955" s="7" t="str">
        <f t="shared" si="18"/>
        <v>E:\附赠：Excel模板\Excel实战技巧精粹：Excel模板大全1000例</v>
      </c>
      <c r="S955" s="9">
        <v>43600.3821412037</v>
      </c>
      <c r="T955" s="9">
        <v>43390.5139351852</v>
      </c>
    </row>
    <row r="956" spans="14:20">
      <c r="N956" s="7" t="str">
        <f>HYPERLINK("E:\附赠：Excel模板\Excel实战技巧精粹：Excel模板大全1000例\福彩机选模版.xls","福彩机选模版.xls")</f>
        <v>福彩机选模版.xls</v>
      </c>
      <c r="Q956">
        <v>0.03</v>
      </c>
      <c r="R956" s="7" t="str">
        <f t="shared" si="18"/>
        <v>E:\附赠：Excel模板\Excel实战技巧精粹：Excel模板大全1000例</v>
      </c>
      <c r="S956" s="9">
        <v>43600.3821412037</v>
      </c>
      <c r="T956" s="9">
        <v>43390.5144444444</v>
      </c>
    </row>
    <row r="957" spans="14:20">
      <c r="N957" s="7" t="str">
        <f>HYPERLINK("E:\附赠：Excel模板\Excel实战技巧精粹：Excel模板大全1000例\离职人员统计表.xls","离职人员统计表.xls")</f>
        <v>离职人员统计表.xls</v>
      </c>
      <c r="Q957">
        <v>0.02</v>
      </c>
      <c r="R957" s="7" t="str">
        <f t="shared" si="18"/>
        <v>E:\附赠：Excel模板\Excel实战技巧精粹：Excel模板大全1000例</v>
      </c>
      <c r="S957" s="9">
        <v>43600.3821412037</v>
      </c>
      <c r="T957" s="9">
        <v>43390.5141435185</v>
      </c>
    </row>
    <row r="958" spans="14:20">
      <c r="N958" s="7" t="str">
        <f>HYPERLINK("E:\附赠：Excel模板\Excel实战技巧精粹：Excel模板大全1000例\离退休人员名册.xls","离退休人员名册.xls")</f>
        <v>离退休人员名册.xls</v>
      </c>
      <c r="Q958">
        <v>0.01</v>
      </c>
      <c r="R958" s="7" t="str">
        <f t="shared" si="18"/>
        <v>E:\附赠：Excel模板\Excel实战技巧精粹：Excel模板大全1000例</v>
      </c>
      <c r="S958" s="9">
        <v>43600.3821412037</v>
      </c>
      <c r="T958" s="9">
        <v>43390.5141435185</v>
      </c>
    </row>
    <row r="959" spans="14:20">
      <c r="N959" s="7" t="str">
        <f>HYPERLINK("E:\附赠：Excel模板\Excel实战技巧精粹：Excel模板大全1000例\科研服务教学统计表样表.xls","科研服务教学统计表样表.xls")</f>
        <v>科研服务教学统计表样表.xls</v>
      </c>
      <c r="Q959">
        <v>0.03</v>
      </c>
      <c r="R959" s="7" t="str">
        <f t="shared" si="18"/>
        <v>E:\附赠：Excel模板\Excel实战技巧精粹：Excel模板大全1000例</v>
      </c>
      <c r="S959" s="9">
        <v>43600.3821412037</v>
      </c>
      <c r="T959" s="9">
        <v>43390.5141666667</v>
      </c>
    </row>
    <row r="960" spans="14:20">
      <c r="N960" s="7" t="str">
        <f>HYPERLINK("E:\附赠：Excel模板\Excel实战技巧精粹：Excel模板大全1000例\租金及其他收入明细表.xls","租金及其他收入明细表.xls")</f>
        <v>租金及其他收入明细表.xls</v>
      </c>
      <c r="Q960">
        <v>0.02</v>
      </c>
      <c r="R960" s="7" t="str">
        <f t="shared" si="18"/>
        <v>E:\附赠：Excel模板\Excel实战技巧精粹：Excel模板大全1000例</v>
      </c>
      <c r="S960" s="9">
        <v>43600.3821412037</v>
      </c>
      <c r="T960" s="9">
        <v>43390.5133796296</v>
      </c>
    </row>
    <row r="961" spans="14:20">
      <c r="N961" s="7" t="str">
        <f>HYPERLINK("E:\附赠：Excel模板\Excel实战技巧精粹：Excel模板大全1000例\税费负担及社会性支出情况表.xls","税费负担及社会性支出情况表.xls")</f>
        <v>税费负担及社会性支出情况表.xls</v>
      </c>
      <c r="Q961">
        <v>0.01</v>
      </c>
      <c r="R961" s="7" t="str">
        <f t="shared" si="18"/>
        <v>E:\附赠：Excel模板\Excel实战技巧精粹：Excel模板大全1000例</v>
      </c>
      <c r="S961" s="9">
        <v>43600.3821412037</v>
      </c>
      <c r="T961" s="9">
        <v>43390.5138194444</v>
      </c>
    </row>
    <row r="962" spans="14:20">
      <c r="N962" s="7" t="str">
        <f>HYPERLINK("E:\附赠：Excel模板\Excel实战技巧精粹：Excel模板大全1000例\符合主讲教师资格（具有硕士或讲师）的教师名册.xls","符合主讲教师资格（具有硕士或讲师）的教师名册.xls")</f>
        <v>符合主讲教师资格（具有硕士或讲师）的教师名册.xls</v>
      </c>
      <c r="Q962">
        <v>0.02</v>
      </c>
      <c r="R962" s="7" t="str">
        <f t="shared" si="18"/>
        <v>E:\附赠：Excel模板\Excel实战技巧精粹：Excel模板大全1000例</v>
      </c>
      <c r="S962" s="9">
        <v>43600.3821412037</v>
      </c>
      <c r="T962" s="9">
        <v>43390.5144444444</v>
      </c>
    </row>
    <row r="963" spans="14:20">
      <c r="N963" s="7" t="str">
        <f>HYPERLINK("E:\附赠：Excel模板\Excel实战技巧精粹：Excel模板大全1000例\答辩时间安排表.xls","答辩时间安排表.xls")</f>
        <v>答辩时间安排表.xls</v>
      </c>
      <c r="Q963">
        <v>0.02</v>
      </c>
      <c r="R963" s="7" t="str">
        <f t="shared" si="18"/>
        <v>E:\附赠：Excel模板\Excel实战技巧精粹：Excel模板大全1000例</v>
      </c>
      <c r="S963" s="9">
        <v>43600.3821412037</v>
      </c>
      <c r="T963" s="9">
        <v>43390.5145601852</v>
      </c>
    </row>
    <row r="964" spans="14:20">
      <c r="N964" s="7" t="str">
        <f>HYPERLINK("E:\附赠：Excel模板\Excel实战技巧精粹：Excel模板大全1000例\管理制度一览表.xls","管理制度一览表.xls")</f>
        <v>管理制度一览表.xls</v>
      </c>
      <c r="Q964">
        <v>0.01</v>
      </c>
      <c r="R964" s="7" t="str">
        <f t="shared" si="18"/>
        <v>E:\附赠：Excel模板\Excel实战技巧精粹：Excel模板大全1000例</v>
      </c>
      <c r="S964" s="9">
        <v>43600.3821412037</v>
      </c>
      <c r="T964" s="9">
        <v>43390.514375</v>
      </c>
    </row>
    <row r="965" spans="14:20">
      <c r="N965" s="7" t="str">
        <f>HYPERLINK("E:\附赠：Excel模板\Excel实战技巧精粹：Excel模板大全1000例\管理费用及财务费用预算表.xls","管理费用及财务费用预算表.xls")</f>
        <v>管理费用及财务费用预算表.xls</v>
      </c>
      <c r="Q965">
        <v>0.02</v>
      </c>
      <c r="R965" s="7" t="str">
        <f t="shared" si="18"/>
        <v>E:\附赠：Excel模板\Excel实战技巧精粹：Excel模板大全1000例</v>
      </c>
      <c r="S965" s="9">
        <v>43600.3821412037</v>
      </c>
      <c r="T965" s="9">
        <v>43390.514375</v>
      </c>
    </row>
    <row r="966" spans="14:20">
      <c r="N966" s="7" t="str">
        <f>HYPERLINK("E:\附赠：Excel模板\Excel实战技巧精粹：Excel模板大全1000例\管理，信管，国贸论文题目.xls","管理，信管，国贸论文题目.xls")</f>
        <v>管理，信管，国贸论文题目.xls</v>
      </c>
      <c r="Q966">
        <v>0.04</v>
      </c>
      <c r="R966" s="7" t="str">
        <f t="shared" si="18"/>
        <v>E:\附赠：Excel模板\Excel实战技巧精粹：Excel模板大全1000例</v>
      </c>
      <c r="S966" s="9">
        <v>43600.3821412037</v>
      </c>
      <c r="T966" s="9">
        <v>43390.514375</v>
      </c>
    </row>
    <row r="967" spans="14:20">
      <c r="N967" s="7" t="str">
        <f>HYPERLINK("E:\附赠：Excel模板\Excel实战技巧精粹：Excel模板大全1000例\粮食增产工程项目统计表.xls","粮食增产工程项目统计表.xls")</f>
        <v>粮食增产工程项目统计表.xls</v>
      </c>
      <c r="Q967">
        <v>0.02</v>
      </c>
      <c r="R967" s="7" t="str">
        <f t="shared" si="18"/>
        <v>E:\附赠：Excel模板\Excel实战技巧精粹：Excel模板大全1000例</v>
      </c>
      <c r="S967" s="9">
        <v>43600.3821412037</v>
      </c>
      <c r="T967" s="9">
        <v>43390.5141435185</v>
      </c>
    </row>
    <row r="968" spans="14:20">
      <c r="N968" s="7" t="str">
        <f>HYPERLINK("E:\附赠：Excel模板\Excel实战技巧精粹：Excel模板大全1000例\系统干部名册.xls","系统干部名册.xls")</f>
        <v>系统干部名册.xls</v>
      </c>
      <c r="Q968">
        <v>0.02</v>
      </c>
      <c r="R968" s="7" t="str">
        <f t="shared" si="18"/>
        <v>E:\附赠：Excel模板\Excel实战技巧精粹：Excel模板大全1000例</v>
      </c>
      <c r="S968" s="9">
        <v>43600.3821412037</v>
      </c>
      <c r="T968" s="9">
        <v>43390.51375</v>
      </c>
    </row>
    <row r="969" spans="14:20">
      <c r="N969" s="7" t="str">
        <f>HYPERLINK("E:\附赠：Excel模板\Excel实战技巧精粹：Excel模板大全1000例\累积资金结算指数计算表.xls","累积资金结算指数计算表.xls")</f>
        <v>累积资金结算指数计算表.xls</v>
      </c>
      <c r="Q969">
        <v>0.02</v>
      </c>
      <c r="R969" s="7" t="str">
        <f t="shared" si="18"/>
        <v>E:\附赠：Excel模板\Excel实战技巧精粹：Excel模板大全1000例</v>
      </c>
      <c r="S969" s="9">
        <v>43600.3821412037</v>
      </c>
      <c r="T969" s="9">
        <v>43390.5141435185</v>
      </c>
    </row>
    <row r="970" spans="14:20">
      <c r="N970" s="7" t="str">
        <f>HYPERLINK("E:\附赠：Excel模板\Excel实战技巧精粹：Excel模板大全1000例\纳入预算管理的政府性基金收支表.xls","纳入预算管理的政府性基金收支表.xls")</f>
        <v>纳入预算管理的政府性基金收支表.xls</v>
      </c>
      <c r="Q970">
        <v>0.02</v>
      </c>
      <c r="R970" s="7" t="str">
        <f t="shared" si="18"/>
        <v>E:\附赠：Excel模板\Excel实战技巧精粹：Excel模板大全1000例</v>
      </c>
      <c r="S970" s="9">
        <v>43600.3821412037</v>
      </c>
      <c r="T970" s="9">
        <v>43390.5140740741</v>
      </c>
    </row>
    <row r="971" spans="14:20">
      <c r="N971" s="7" t="str">
        <f>HYPERLINK("E:\附赠：Excel模板\Excel实战技巧精粹：Excel模板大全1000例\纳税人实际经营情况及印模备案表.xls","纳税人实际经营情况及印模备案表.xls")</f>
        <v>纳税人实际经营情况及印模备案表.xls</v>
      </c>
      <c r="Q971">
        <v>0.01</v>
      </c>
      <c r="R971" s="7" t="str">
        <f t="shared" si="18"/>
        <v>E:\附赠：Excel模板\Excel实战技巧精粹：Excel模板大全1000例</v>
      </c>
      <c r="S971" s="9">
        <v>43600.3821412037</v>
      </c>
      <c r="T971" s="9">
        <v>43390.5140972222</v>
      </c>
    </row>
    <row r="972" spans="14:20">
      <c r="N972" s="7" t="str">
        <f>HYPERLINK("E:\附赠：Excel模板\Excel实战技巧精粹：Excel模板大全1000例\纳税人实际经营情况及印模备案表2.xls","纳税人实际经营情况及印模备案表2.xls")</f>
        <v>纳税人实际经营情况及印模备案表2.xls</v>
      </c>
      <c r="Q972">
        <v>0.01</v>
      </c>
      <c r="R972" s="7" t="str">
        <f t="shared" si="18"/>
        <v>E:\附赠：Excel模板\Excel实战技巧精粹：Excel模板大全1000例</v>
      </c>
      <c r="S972" s="9">
        <v>43600.3821412037</v>
      </c>
      <c r="T972" s="9">
        <v>43390.5140740741</v>
      </c>
    </row>
    <row r="973" spans="14:20">
      <c r="N973" s="7" t="str">
        <f>HYPERLINK("E:\附赠：Excel模板\Excel实战技巧精粹：Excel模板大全1000例\经济困难学生调查明细表.xls","经济困难学生调查明细表.xls")</f>
        <v>经济困难学生调查明细表.xls</v>
      </c>
      <c r="Q973">
        <v>0.02</v>
      </c>
      <c r="R973" s="7" t="str">
        <f t="shared" si="18"/>
        <v>E:\附赠：Excel模板\Excel实战技巧精粹：Excel模板大全1000例</v>
      </c>
      <c r="S973" s="9">
        <v>43600.3821412037</v>
      </c>
      <c r="T973" s="9">
        <v>43390.5141898148</v>
      </c>
    </row>
    <row r="974" spans="14:20">
      <c r="N974" s="7" t="str">
        <f>HYPERLINK("E:\附赠：Excel模板\Excel实战技巧精粹：Excel模板大全1000例\经济困难家庭子女减免费入学汇总表.xls","经济困难家庭子女减免费入学汇总表.xls")</f>
        <v>经济困难家庭子女减免费入学汇总表.xls</v>
      </c>
      <c r="Q974">
        <v>0.02</v>
      </c>
      <c r="R974" s="7" t="str">
        <f t="shared" si="18"/>
        <v>E:\附赠：Excel模板\Excel实战技巧精粹：Excel模板大全1000例</v>
      </c>
      <c r="S974" s="9">
        <v>43600.3821412037</v>
      </c>
      <c r="T974" s="9">
        <v>43390.5141898148</v>
      </c>
    </row>
    <row r="975" spans="14:20">
      <c r="N975" s="7" t="str">
        <f>HYPERLINK("E:\附赠：Excel模板\Excel实战技巧精粹：Excel模板大全1000例\经济技术合作项目登记表.xls","经济技术合作项目登记表.xls")</f>
        <v>经济技术合作项目登记表.xls</v>
      </c>
      <c r="Q975">
        <v>0.02</v>
      </c>
      <c r="R975" s="7" t="str">
        <f t="shared" si="18"/>
        <v>E:\附赠：Excel模板\Excel实战技巧精粹：Excel模板大全1000例</v>
      </c>
      <c r="S975" s="9">
        <v>43600.3821412037</v>
      </c>
      <c r="T975" s="9">
        <v>43390.514212963</v>
      </c>
    </row>
    <row r="976" spans="14:20">
      <c r="N976" s="7" t="str">
        <f>HYPERLINK("E:\附赠：Excel模板\Excel实战技巧精粹：Excel模板大全1000例\经济普查试点普查表填报范围一览表.xls","经济普查试点普查表填报范围一览表.xls")</f>
        <v>经济普查试点普查表填报范围一览表.xls</v>
      </c>
      <c r="Q976">
        <v>0.03</v>
      </c>
      <c r="R976" s="7" t="str">
        <f t="shared" si="18"/>
        <v>E:\附赠：Excel模板\Excel实战技巧精粹：Excel模板大全1000例</v>
      </c>
      <c r="S976" s="9">
        <v>43600.3821412037</v>
      </c>
      <c r="T976" s="9">
        <v>43390.5141898148</v>
      </c>
    </row>
    <row r="977" spans="14:20">
      <c r="N977" s="7" t="str">
        <f>HYPERLINK("E:\附赠：Excel模板\Excel实战技巧精粹：Excel模板大全1000例\经济普查试点普查表填报范围一览表2.xls","经济普查试点普查表填报范围一览表2.xls")</f>
        <v>经济普查试点普查表填报范围一览表2.xls</v>
      </c>
      <c r="Q977">
        <v>0.03</v>
      </c>
      <c r="R977" s="7" t="str">
        <f t="shared" si="18"/>
        <v>E:\附赠：Excel模板\Excel实战技巧精粹：Excel模板大全1000例</v>
      </c>
      <c r="S977" s="9">
        <v>43600.3821412037</v>
      </c>
      <c r="T977" s="9">
        <v>43390.5141898148</v>
      </c>
    </row>
    <row r="978" spans="14:20">
      <c r="N978" s="7" t="str">
        <f>HYPERLINK("E:\附赠：Excel模板\Excel实战技巧精粹：Excel模板大全1000例\经营情况表.xls","经营情况表.xls")</f>
        <v>经营情况表.xls</v>
      </c>
      <c r="Q978">
        <v>0.02</v>
      </c>
      <c r="R978" s="7" t="str">
        <f t="shared" si="18"/>
        <v>E:\附赠：Excel模板\Excel实战技巧精粹：Excel模板大全1000例</v>
      </c>
      <c r="S978" s="9">
        <v>43600.3821412037</v>
      </c>
      <c r="T978" s="9">
        <v>43390.5141898148</v>
      </c>
    </row>
    <row r="979" spans="14:20">
      <c r="N979" s="7" t="str">
        <f>HYPERLINK("E:\附赠：Excel模板\Excel实战技巧精粹：Excel模板大全1000例\经费（事业、经营）支出明细表.xls","经费（事业、经营）支出明细表.xls")</f>
        <v>经费（事业、经营）支出明细表.xls</v>
      </c>
      <c r="Q979">
        <v>0.02</v>
      </c>
      <c r="R979" s="7" t="str">
        <f t="shared" si="18"/>
        <v>E:\附赠：Excel模板\Excel实战技巧精粹：Excel模板大全1000例</v>
      </c>
      <c r="S979" s="9">
        <v>43600.3821412037</v>
      </c>
      <c r="T979" s="9">
        <v>43390.514212963</v>
      </c>
    </row>
    <row r="980" spans="14:20">
      <c r="N980" s="7" t="str">
        <f>HYPERLINK("E:\附赠：Excel模板\Excel实战技巧精粹：Excel模板大全1000例\结构分析表.xls","结构分析表.xls")</f>
        <v>结构分析表.xls</v>
      </c>
      <c r="Q980">
        <v>0.02</v>
      </c>
      <c r="R980" s="7" t="str">
        <f t="shared" si="18"/>
        <v>E:\附赠：Excel模板\Excel实战技巧精粹：Excel模板大全1000例</v>
      </c>
      <c r="S980" s="9">
        <v>43600.3821412037</v>
      </c>
      <c r="T980" s="9">
        <v>43390.514212963</v>
      </c>
    </row>
    <row r="981" spans="14:20">
      <c r="N981" s="7" t="str">
        <f>HYPERLINK("E:\附赠：Excel模板\Excel实战技巧精粹：Excel模板大全1000例\统计财务科固定报表目录.xls","统计财务科固定报表目录.xls")</f>
        <v>统计财务科固定报表目录.xls</v>
      </c>
      <c r="Q981">
        <v>0.02</v>
      </c>
      <c r="R981" s="7" t="str">
        <f t="shared" si="18"/>
        <v>E:\附赠：Excel模板\Excel实战技巧精粹：Excel模板大全1000例</v>
      </c>
      <c r="S981" s="9">
        <v>43600.3821412037</v>
      </c>
      <c r="T981" s="9">
        <v>43390.5137962963</v>
      </c>
    </row>
    <row r="982" spans="14:20">
      <c r="N982" s="7" t="str">
        <f>HYPERLINK("E:\附赠：Excel模板\Excel实战技巧精粹：Excel模板大全1000例\绩效基本情况表1.xls","绩效基本情况表1.xls")</f>
        <v>绩效基本情况表1.xls</v>
      </c>
      <c r="Q982">
        <v>0.02</v>
      </c>
      <c r="R982" s="7" t="str">
        <f t="shared" si="18"/>
        <v>E:\附赠：Excel模板\Excel实战技巧精粹：Excel模板大全1000例</v>
      </c>
      <c r="S982" s="9">
        <v>43600.3821412037</v>
      </c>
      <c r="T982" s="9">
        <v>43390.5143055556</v>
      </c>
    </row>
    <row r="983" spans="14:20">
      <c r="N983" s="7" t="str">
        <f>HYPERLINK("E:\附赠：Excel模板\Excel实战技巧精粹：Excel模板大全1000例\绩效基本情况表2.xls","绩效基本情况表2.xls")</f>
        <v>绩效基本情况表2.xls</v>
      </c>
      <c r="Q983">
        <v>0.02</v>
      </c>
      <c r="R983" s="7" t="str">
        <f t="shared" ref="R983:R1046" si="19">HYPERLINK("E:\附赠：Excel模板\Excel实战技巧精粹：Excel模板大全1000例","E:\附赠：Excel模板\Excel实战技巧精粹：Excel模板大全1000例")</f>
        <v>E:\附赠：Excel模板\Excel实战技巧精粹：Excel模板大全1000例</v>
      </c>
      <c r="S983" s="9">
        <v>43600.3821412037</v>
      </c>
      <c r="T983" s="9">
        <v>43390.5142824074</v>
      </c>
    </row>
    <row r="984" spans="14:20">
      <c r="N984" s="7" t="str">
        <f>HYPERLINK("E:\附赠：Excel模板\Excel实战技巧精粹：Excel模板大全1000例\绩效指标表.xls","绩效指标表.xls")</f>
        <v>绩效指标表.xls</v>
      </c>
      <c r="Q984">
        <v>0.02</v>
      </c>
      <c r="R984" s="7" t="str">
        <f t="shared" si="19"/>
        <v>E:\附赠：Excel模板\Excel实战技巧精粹：Excel模板大全1000例</v>
      </c>
      <c r="S984" s="9">
        <v>43600.3821412037</v>
      </c>
      <c r="T984" s="9">
        <v>43390.5142824074</v>
      </c>
    </row>
    <row r="985" spans="14:20">
      <c r="N985" s="7" t="str">
        <f>HYPERLINK("E:\附赠：Excel模板\Excel实战技巧精粹：Excel模板大全1000例\网上出口商品库登记表.xls","网上出口商品库登记表.xls")</f>
        <v>网上出口商品库登记表.xls</v>
      </c>
      <c r="Q985">
        <v>0.02</v>
      </c>
      <c r="R985" s="7" t="str">
        <f t="shared" si="19"/>
        <v>E:\附赠：Excel模板\Excel实战技巧精粹：Excel模板大全1000例</v>
      </c>
      <c r="S985" s="9">
        <v>43600.3821412037</v>
      </c>
      <c r="T985" s="9">
        <v>43390.5137731481</v>
      </c>
    </row>
    <row r="986" spans="14:20">
      <c r="N986" s="7" t="str">
        <f>HYPERLINK("E:\附赠：Excel模板\Excel实战技巧精粹：Excel模板大全1000例\美容美发经营情况明细表.xls","美容美发经营情况明细表.xls")</f>
        <v>美容美发经营情况明细表.xls</v>
      </c>
      <c r="Q986">
        <v>0.02</v>
      </c>
      <c r="R986" s="7" t="str">
        <f t="shared" si="19"/>
        <v>E:\附赠：Excel模板\Excel实战技巧精粹：Excel模板大全1000例</v>
      </c>
      <c r="S986" s="9">
        <v>43600.3821412037</v>
      </c>
      <c r="T986" s="9">
        <v>43390.5140972222</v>
      </c>
    </row>
    <row r="987" spans="14:20">
      <c r="N987" s="7" t="str">
        <f>HYPERLINK("E:\附赠：Excel模板\Excel实战技巧精粹：Excel模板大全1000例\老条款车贷险业务统计表.xls","老条款车贷险业务统计表.xls")</f>
        <v>老条款车贷险业务统计表.xls</v>
      </c>
      <c r="Q987">
        <v>0.02</v>
      </c>
      <c r="R987" s="7" t="str">
        <f t="shared" si="19"/>
        <v>E:\附赠：Excel模板\Excel实战技巧精粹：Excel模板大全1000例</v>
      </c>
      <c r="S987" s="9">
        <v>43600.3821412037</v>
      </c>
      <c r="T987" s="9">
        <v>43390.5141435185</v>
      </c>
    </row>
    <row r="988" spans="14:20">
      <c r="N988" s="7" t="str">
        <f>HYPERLINK("E:\附赠：Excel模板\Excel实战技巧精粹：Excel模板大全1000例\职业介绍工作情况表.xls","职业介绍工作情况表.xls")</f>
        <v>职业介绍工作情况表.xls</v>
      </c>
      <c r="Q988">
        <v>0.02</v>
      </c>
      <c r="R988" s="7" t="str">
        <f t="shared" si="19"/>
        <v>E:\附赠：Excel模板\Excel实战技巧精粹：Excel模板大全1000例</v>
      </c>
      <c r="S988" s="9">
        <v>43600.3821412037</v>
      </c>
      <c r="T988" s="9">
        <v>43390.5134490741</v>
      </c>
    </row>
    <row r="989" spans="14:20">
      <c r="N989" s="7" t="str">
        <f>HYPERLINK("E:\附赠：Excel模板\Excel实战技巧精粹：Excel模板大全1000例\职位申请人履历表.xls","职位申请人履历表.xls")</f>
        <v>职位申请人履历表.xls</v>
      </c>
      <c r="Q989">
        <v>0.02</v>
      </c>
      <c r="R989" s="7" t="str">
        <f t="shared" si="19"/>
        <v>E:\附赠：Excel模板\Excel实战技巧精粹：Excel模板大全1000例</v>
      </c>
      <c r="S989" s="9">
        <v>43600.3821412037</v>
      </c>
      <c r="T989" s="9">
        <v>43390.5134490741</v>
      </c>
    </row>
    <row r="990" spans="14:20">
      <c r="N990" s="7" t="str">
        <f>HYPERLINK("E:\附赠：Excel模板\Excel实战技巧精粹：Excel模板大全1000例\职务任免审批表.xls","职务任免审批表.xls")</f>
        <v>职务任免审批表.xls</v>
      </c>
      <c r="Q990">
        <v>0.02</v>
      </c>
      <c r="R990" s="7" t="str">
        <f t="shared" si="19"/>
        <v>E:\附赠：Excel模板\Excel实战技巧精粹：Excel模板大全1000例</v>
      </c>
      <c r="S990" s="9">
        <v>43600.3821412037</v>
      </c>
      <c r="T990" s="9">
        <v>43390.5134490741</v>
      </c>
    </row>
    <row r="991" spans="14:20">
      <c r="N991" s="7" t="str">
        <f>HYPERLINK("E:\附赠：Excel模板\Excel实战技巧精粹：Excel模板大全1000例\职员招聘考生报名表.xls","职员招聘考生报名表.xls")</f>
        <v>职员招聘考生报名表.xls</v>
      </c>
      <c r="Q991">
        <v>0.02</v>
      </c>
      <c r="R991" s="7" t="str">
        <f t="shared" si="19"/>
        <v>E:\附赠：Excel模板\Excel实战技巧精粹：Excel模板大全1000例</v>
      </c>
      <c r="S991" s="9">
        <v>43600.3821412037</v>
      </c>
      <c r="T991" s="9">
        <v>43390.5134490741</v>
      </c>
    </row>
    <row r="992" spans="14:20">
      <c r="N992" s="7" t="str">
        <f>HYPERLINK("E:\附赠：Excel模板\Excel实战技巧精粹：Excel模板大全1000例\职工人数增加减少情况.xls","职工人数增加减少情况.xls")</f>
        <v>职工人数增加减少情况.xls</v>
      </c>
      <c r="Q992">
        <v>0.02</v>
      </c>
      <c r="R992" s="7" t="str">
        <f t="shared" si="19"/>
        <v>E:\附赠：Excel模板\Excel实战技巧精粹：Excel模板大全1000例</v>
      </c>
      <c r="S992" s="9">
        <v>43600.3821412037</v>
      </c>
      <c r="T992" s="9">
        <v>43390.5134722222</v>
      </c>
    </row>
    <row r="993" spans="14:20">
      <c r="N993" s="7" t="str">
        <f>HYPERLINK("E:\附赠：Excel模板\Excel实战技巧精粹：Excel模板大全1000例\职工养老保险情况调查表.xls","职工养老保险情况调查表.xls")</f>
        <v>职工养老保险情况调查表.xls</v>
      </c>
      <c r="Q993">
        <v>0.02</v>
      </c>
      <c r="R993" s="7" t="str">
        <f t="shared" si="19"/>
        <v>E:\附赠：Excel模板\Excel实战技巧精粹：Excel模板大全1000例</v>
      </c>
      <c r="S993" s="9">
        <v>43600.3821412037</v>
      </c>
      <c r="T993" s="9">
        <v>43390.5134722222</v>
      </c>
    </row>
    <row r="994" spans="14:20">
      <c r="N994" s="7" t="str">
        <f>HYPERLINK("E:\附赠：Excel模板\Excel实战技巧精粹：Excel模板大全1000例\股份有限公司会计科目一览表.xls","股份有限公司会计科目一览表.xls")</f>
        <v>股份有限公司会计科目一览表.xls</v>
      </c>
      <c r="Q994">
        <v>0.05</v>
      </c>
      <c r="R994" s="7" t="str">
        <f t="shared" si="19"/>
        <v>E:\附赠：Excel模板\Excel实战技巧精粹：Excel模板大全1000例</v>
      </c>
      <c r="S994" s="9">
        <v>43600.3821412037</v>
      </c>
      <c r="T994" s="9">
        <v>43390.514375</v>
      </c>
    </row>
    <row r="995" spans="14:20">
      <c r="N995" s="7" t="str">
        <f>HYPERLINK("E:\附赠：Excel模板\Excel实战技巧精粹：Excel模板大全1000例\股份有限公司本月份业务资料.xls","股份有限公司本月份业务资料.xls")</f>
        <v>股份有限公司本月份业务资料.xls</v>
      </c>
      <c r="Q995">
        <v>0.02</v>
      </c>
      <c r="R995" s="7" t="str">
        <f t="shared" si="19"/>
        <v>E:\附赠：Excel模板\Excel实战技巧精粹：Excel模板大全1000例</v>
      </c>
      <c r="S995" s="9">
        <v>43600.3821412037</v>
      </c>
      <c r="T995" s="9">
        <v>43390.514375</v>
      </c>
    </row>
    <row r="996" spans="14:20">
      <c r="N996" s="7" t="str">
        <f>HYPERLINK("E:\附赠：Excel模板\Excel实战技巧精粹：Excel模板大全1000例\股份有限公司結構分析表.xls","股份有限公司結構分析表.xls")</f>
        <v>股份有限公司結構分析表.xls</v>
      </c>
      <c r="Q996">
        <v>0.03</v>
      </c>
      <c r="R996" s="7" t="str">
        <f t="shared" si="19"/>
        <v>E:\附赠：Excel模板\Excel实战技巧精粹：Excel模板大全1000例</v>
      </c>
      <c r="S996" s="9">
        <v>43600.3821412037</v>
      </c>
      <c r="T996" s="9">
        <v>43390.514375</v>
      </c>
    </row>
    <row r="997" spans="14:20">
      <c r="N997" s="7" t="str">
        <f>HYPERLINK("E:\附赠：Excel模板\Excel实战技巧精粹：Excel模板大全1000例\能源及维修费用明细表.xls","能源及维修费用明细表.xls")</f>
        <v>能源及维修费用明细表.xls</v>
      </c>
      <c r="Q997">
        <v>0.02</v>
      </c>
      <c r="R997" s="7" t="str">
        <f t="shared" si="19"/>
        <v>E:\附赠：Excel模板\Excel实战技巧精粹：Excel模板大全1000例</v>
      </c>
      <c r="S997" s="9">
        <v>43600.3821412037</v>
      </c>
      <c r="T997" s="9">
        <v>43390.5140740741</v>
      </c>
    </row>
    <row r="998" spans="14:20">
      <c r="N998" s="7" t="str">
        <f>HYPERLINK("E:\附赠：Excel模板\Excel实战技巧精粹：Excel模板大全1000例\自动进口许可管理货物目录.xls","自动进口许可管理货物目录.xls")</f>
        <v>自动进口许可管理货物目录.xls</v>
      </c>
      <c r="Q998">
        <v>0.03</v>
      </c>
      <c r="R998" s="7" t="str">
        <f t="shared" si="19"/>
        <v>E:\附赠：Excel模板\Excel实战技巧精粹：Excel模板大全1000例</v>
      </c>
      <c r="S998" s="9">
        <v>43600.3821412037</v>
      </c>
      <c r="T998" s="9">
        <v>43390.5133796296</v>
      </c>
    </row>
    <row r="999" spans="14:20">
      <c r="N999" s="7" t="str">
        <f>HYPERLINK("E:\附赠：Excel模板\Excel实战技巧精粹：Excel模板大全1000例\自筹经费购置教学仪器设备一览表.xls","自筹经费购置教学仪器设备一览表.xls")</f>
        <v>自筹经费购置教学仪器设备一览表.xls</v>
      </c>
      <c r="Q999">
        <v>0.02</v>
      </c>
      <c r="R999" s="7" t="str">
        <f t="shared" si="19"/>
        <v>E:\附赠：Excel模板\Excel实战技巧精粹：Excel模板大全1000例</v>
      </c>
      <c r="S999" s="9">
        <v>43600.3821412037</v>
      </c>
      <c r="T999" s="9">
        <v>43390.5133796296</v>
      </c>
    </row>
    <row r="1000" spans="14:20">
      <c r="N1000" s="7" t="str">
        <f>HYPERLINK("E:\附赠：Excel模板\Excel实战技巧精粹：Excel模板大全1000例\节假日旅游情况调查表.xls","节假日旅游情况调查表.xls")</f>
        <v>节假日旅游情况调查表.xls</v>
      </c>
      <c r="Q1000">
        <v>0.02</v>
      </c>
      <c r="R1000" s="7" t="str">
        <f t="shared" si="19"/>
        <v>E:\附赠：Excel模板\Excel实战技巧精粹：Excel模板大全1000例</v>
      </c>
      <c r="S1000" s="9">
        <v>43600.3821412037</v>
      </c>
      <c r="T1000" s="9">
        <v>43390.514212963</v>
      </c>
    </row>
    <row r="1001" spans="14:20">
      <c r="N1001" s="7" t="str">
        <f>HYPERLINK("E:\附赠：Excel模板\Excel实战技巧精粹：Excel模板大全1000例\节目主持人报名表.xls","节目主持人报名表.xls")</f>
        <v>节目主持人报名表.xls</v>
      </c>
      <c r="Q1001">
        <v>0.03</v>
      </c>
      <c r="R1001" s="7" t="str">
        <f t="shared" si="19"/>
        <v>E:\附赠：Excel模板\Excel实战技巧精粹：Excel模板大全1000例</v>
      </c>
      <c r="S1001" s="9">
        <v>43600.3821412037</v>
      </c>
      <c r="T1001" s="9">
        <v>43390.514212963</v>
      </c>
    </row>
    <row r="1002" spans="14:20">
      <c r="N1002" s="7" t="str">
        <f>HYPERLINK("E:\附赠：Excel模板\Excel实战技巧精粹：Excel模板大全1000例\药监支出明细表.xls","药监支出明细表.xls")</f>
        <v>药监支出明细表.xls</v>
      </c>
      <c r="Q1002">
        <v>0.03</v>
      </c>
      <c r="R1002" s="7" t="str">
        <f t="shared" si="19"/>
        <v>E:\附赠：Excel模板\Excel实战技巧精粹：Excel模板大全1000例</v>
      </c>
      <c r="S1002" s="9">
        <v>43600.3821412037</v>
      </c>
      <c r="T1002" s="9">
        <v>43390.5135648148</v>
      </c>
    </row>
    <row r="1003" spans="14:20">
      <c r="N1003" s="7" t="str">
        <f>HYPERLINK("E:\附赠：Excel模板\Excel实战技巧精粹：Excel模板大全1000例\药监收入明细表.xls","药监收入明细表.xls")</f>
        <v>药监收入明细表.xls</v>
      </c>
      <c r="Q1003">
        <v>0.03</v>
      </c>
      <c r="R1003" s="7" t="str">
        <f t="shared" si="19"/>
        <v>E:\附赠：Excel模板\Excel实战技巧精粹：Excel模板大全1000例</v>
      </c>
      <c r="S1003" s="9">
        <v>43600.3821412037</v>
      </c>
      <c r="T1003" s="9">
        <v>43390.5135648148</v>
      </c>
    </row>
    <row r="1004" spans="14:20">
      <c r="N1004" s="7" t="str">
        <f>HYPERLINK("E:\附赠：Excel模板\Excel实战技巧精粹：Excel模板大全1000例\药监行政事业性支出明细表.xls","药监行政事业性支出明细表.xls")</f>
        <v>药监行政事业性支出明细表.xls</v>
      </c>
      <c r="Q1004">
        <v>0.03</v>
      </c>
      <c r="R1004" s="7" t="str">
        <f t="shared" si="19"/>
        <v>E:\附赠：Excel模板\Excel实战技巧精粹：Excel模板大全1000例</v>
      </c>
      <c r="S1004" s="9">
        <v>43600.3821412037</v>
      </c>
      <c r="T1004" s="9">
        <v>43390.5135416667</v>
      </c>
    </row>
    <row r="1005" spans="14:20">
      <c r="N1005" s="7" t="str">
        <f>HYPERLINK("E:\附赠：Excel模板\Excel实战技巧精粹：Excel模板大全1000例\营业外收支明细表.xls","营业外收支明细表.xls")</f>
        <v>营业外收支明细表.xls</v>
      </c>
      <c r="Q1005">
        <v>0.02</v>
      </c>
      <c r="R1005" s="7" t="str">
        <f t="shared" si="19"/>
        <v>E:\附赠：Excel模板\Excel实战技巧精粹：Excel模板大全1000例</v>
      </c>
      <c r="S1005" s="9">
        <v>43600.3821412037</v>
      </c>
      <c r="T1005" s="9">
        <v>43390.5135185185</v>
      </c>
    </row>
    <row r="1006" spans="14:20">
      <c r="N1006" s="7" t="str">
        <f>HYPERLINK("E:\附赠：Excel模板\Excel实战技巧精粹：Excel模板大全1000例\融资报表.xls","融资报表.xls")</f>
        <v>融资报表.xls</v>
      </c>
      <c r="Q1006">
        <v>0.02</v>
      </c>
      <c r="R1006" s="7" t="str">
        <f t="shared" si="19"/>
        <v>E:\附赠：Excel模板\Excel实战技巧精粹：Excel模板大全1000例</v>
      </c>
      <c r="S1006" s="9">
        <v>43600.3821412037</v>
      </c>
      <c r="T1006" s="9">
        <v>43390.5139351852</v>
      </c>
    </row>
    <row r="1007" spans="14:20">
      <c r="N1007" s="7" t="str">
        <f>HYPERLINK("E:\附赠：Excel模板\Excel实战技巧精粹：Excel模板大全1000例\行业活动服务站点名单.xls","行业活动服务站点名单.xls")</f>
        <v>行业活动服务站点名单.xls</v>
      </c>
      <c r="Q1007">
        <v>0.02</v>
      </c>
      <c r="R1007" s="7" t="str">
        <f t="shared" si="19"/>
        <v>E:\附赠：Excel模板\Excel实战技巧精粹：Excel模板大全1000例</v>
      </c>
      <c r="S1007" s="9">
        <v>43600.3821412037</v>
      </c>
      <c r="T1007" s="9">
        <v>43390.5136574074</v>
      </c>
    </row>
    <row r="1008" spans="14:20">
      <c r="N1008" s="7" t="str">
        <f>HYPERLINK("E:\附赠：Excel模板\Excel实战技巧精粹：Excel模板大全1000例\行政事业单位住房基金核定表.xls","行政事业单位住房基金核定表.xls")</f>
        <v>行政事业单位住房基金核定表.xls</v>
      </c>
      <c r="Q1008">
        <v>0.01</v>
      </c>
      <c r="R1008" s="7" t="str">
        <f t="shared" si="19"/>
        <v>E:\附赠：Excel模板\Excel实战技巧精粹：Excel模板大全1000例</v>
      </c>
      <c r="S1008" s="9">
        <v>43600.3821412037</v>
      </c>
      <c r="T1008" s="9">
        <v>43390.5136574074</v>
      </c>
    </row>
    <row r="1009" spans="14:20">
      <c r="N1009" s="7" t="str">
        <f>HYPERLINK("E:\附赠：Excel模板\Excel实战技巧精粹：Excel模板大全1000例\行政事业单位政府采购预算表.xls","行政事业单位政府采购预算表.xls")</f>
        <v>行政事业单位政府采购预算表.xls</v>
      </c>
      <c r="Q1009">
        <v>0.02</v>
      </c>
      <c r="R1009" s="7" t="str">
        <f t="shared" si="19"/>
        <v>E:\附赠：Excel模板\Excel实战技巧精粹：Excel模板大全1000例</v>
      </c>
      <c r="S1009" s="9">
        <v>43600.3821412037</v>
      </c>
      <c r="T1009" s="9">
        <v>43390.5136805556</v>
      </c>
    </row>
    <row r="1010" spans="14:20">
      <c r="N1010" s="7" t="str">
        <f>HYPERLINK("E:\附赠：Excel模板\Excel实战技巧精粹：Excel模板大全1000例\行政事业单位银行帐户开设情况表.xls","行政事业单位银行帐户开设情况表.xls")</f>
        <v>行政事业单位银行帐户开设情况表.xls</v>
      </c>
      <c r="Q1010">
        <v>0.02</v>
      </c>
      <c r="R1010" s="7" t="str">
        <f t="shared" si="19"/>
        <v>E:\附赠：Excel模板\Excel实战技巧精粹：Excel模板大全1000例</v>
      </c>
      <c r="S1010" s="9">
        <v>43600.3821412037</v>
      </c>
      <c r="T1010" s="9">
        <v>43390.5136574074</v>
      </c>
    </row>
    <row r="1011" spans="14:20">
      <c r="N1011" s="7" t="str">
        <f>HYPERLINK("E:\附赠：Excel模板\Excel实战技巧精粹：Excel模板大全1000例\行政事业单位非税收入情况表.xls","行政事业单位非税收入情况表.xls")</f>
        <v>行政事业单位非税收入情况表.xls</v>
      </c>
      <c r="Q1011">
        <v>0.02</v>
      </c>
      <c r="R1011" s="7" t="str">
        <f t="shared" si="19"/>
        <v>E:\附赠：Excel模板\Excel实战技巧精粹：Excel模板大全1000例</v>
      </c>
      <c r="S1011" s="9">
        <v>43600.3821412037</v>
      </c>
      <c r="T1011" s="9">
        <v>43390.5136574074</v>
      </c>
    </row>
    <row r="1012" spans="14:20">
      <c r="N1012" s="7" t="str">
        <f>HYPERLINK("E:\附赠：Excel模板\Excel实战技巧精粹：Excel模板大全1000例\行政事业性收费年审情况表.xls","行政事业性收费年审情况表.xls")</f>
        <v>行政事业性收费年审情况表.xls</v>
      </c>
      <c r="Q1012">
        <v>0.08</v>
      </c>
      <c r="R1012" s="7" t="str">
        <f t="shared" si="19"/>
        <v>E:\附赠：Excel模板\Excel实战技巧精粹：Excel模板大全1000例</v>
      </c>
      <c r="S1012" s="9">
        <v>43600.3821412037</v>
      </c>
      <c r="T1012" s="9">
        <v>43390.5136574074</v>
      </c>
    </row>
    <row r="1013" spans="14:20">
      <c r="N1013" s="7" t="str">
        <f>HYPERLINK("E:\附赠：Excel模板\Excel实战技巧精粹：Excel模板大全1000例\行政事业性收费项目目录.xls","行政事业性收费项目目录.xls")</f>
        <v>行政事业性收费项目目录.xls</v>
      </c>
      <c r="Q1013">
        <v>0.02</v>
      </c>
      <c r="R1013" s="7" t="str">
        <f t="shared" si="19"/>
        <v>E:\附赠：Excel模板\Excel实战技巧精粹：Excel模板大全1000例</v>
      </c>
      <c r="S1013" s="9">
        <v>43600.3821412037</v>
      </c>
      <c r="T1013" s="9">
        <v>43390.5136805556</v>
      </c>
    </row>
    <row r="1014" spans="14:20">
      <c r="N1014" s="7" t="str">
        <f>HYPERLINK("E:\附赠：Excel模板\Excel实战技巧精粹：Excel模板大全1000例\行政事业类财政拨款收支表.xls","行政事业类财政拨款收支表.xls")</f>
        <v>行政事业类财政拨款收支表.xls</v>
      </c>
      <c r="Q1014">
        <v>0.02</v>
      </c>
      <c r="R1014" s="7" t="str">
        <f t="shared" si="19"/>
        <v>E:\附赠：Excel模板\Excel实战技巧精粹：Excel模板大全1000例</v>
      </c>
      <c r="S1014" s="9">
        <v>43600.3821412037</v>
      </c>
      <c r="T1014" s="9">
        <v>43390.5136574074</v>
      </c>
    </row>
    <row r="1015" spans="14:20">
      <c r="N1015" s="7" t="str">
        <f>HYPERLINK("E:\附赠：Excel模板\Excel实战技巧精粹：Excel模板大全1000例\行政单位收入支出表.xls","行政单位收入支出表.xls")</f>
        <v>行政单位收入支出表.xls</v>
      </c>
      <c r="Q1015">
        <v>0.02</v>
      </c>
      <c r="R1015" s="7" t="str">
        <f t="shared" si="19"/>
        <v>E:\附赠：Excel模板\Excel实战技巧精粹：Excel模板大全1000例</v>
      </c>
      <c r="S1015" s="9">
        <v>43600.3821412037</v>
      </c>
      <c r="T1015" s="9">
        <v>43390.5136805556</v>
      </c>
    </row>
    <row r="1016" spans="14:20">
      <c r="N1016" s="7" t="str">
        <f>HYPERLINK("E:\附赠：Excel模板\Excel实战技巧精粹：Excel模板大全1000例\行政单位收入支出表2.xls","行政单位收入支出表2.xls")</f>
        <v>行政单位收入支出表2.xls</v>
      </c>
      <c r="Q1016">
        <v>0.02</v>
      </c>
      <c r="R1016" s="7" t="str">
        <f t="shared" si="19"/>
        <v>E:\附赠：Excel模板\Excel实战技巧精粹：Excel模板大全1000例</v>
      </c>
      <c r="S1016" s="9">
        <v>43600.3821412037</v>
      </c>
      <c r="T1016" s="9">
        <v>43390.5136574074</v>
      </c>
    </row>
    <row r="1017" spans="14:20">
      <c r="N1017" s="7" t="str">
        <f>HYPERLINK("E:\附赠：Excel模板\Excel实战技巧精粹：Excel模板大全1000例\行政单位资产负债表.xls","行政单位资产负债表.xls")</f>
        <v>行政单位资产负债表.xls</v>
      </c>
      <c r="Q1017">
        <v>0.02</v>
      </c>
      <c r="R1017" s="7" t="str">
        <f t="shared" si="19"/>
        <v>E:\附赠：Excel模板\Excel实战技巧精粹：Excel模板大全1000例</v>
      </c>
      <c r="S1017" s="9">
        <v>43600.3821412037</v>
      </c>
      <c r="T1017" s="9">
        <v>43390.5136574074</v>
      </c>
    </row>
    <row r="1018" spans="14:20">
      <c r="N1018" s="7" t="str">
        <f>HYPERLINK("E:\附赠：Excel模板\Excel实战技巧精粹：Excel模板大全1000例\行政普查申报.xls","行政普查申报.xls")</f>
        <v>行政普查申报.xls</v>
      </c>
      <c r="Q1018">
        <v>0.05</v>
      </c>
      <c r="R1018" s="7" t="str">
        <f t="shared" si="19"/>
        <v>E:\附赠：Excel模板\Excel实战技巧精粹：Excel模板大全1000例</v>
      </c>
      <c r="S1018" s="9">
        <v>43600.3821412037</v>
      </c>
      <c r="T1018" s="9">
        <v>43390.5136574074</v>
      </c>
    </row>
    <row r="1019" spans="14:20">
      <c r="N1019" s="7" t="str">
        <f>HYPERLINK("E:\附赠：Excel模板\Excel实战技巧精粹：Excel模板大全1000例\行政管理费用明细表.xls","行政管理费用明细表.xls")</f>
        <v>行政管理费用明细表.xls</v>
      </c>
      <c r="Q1019">
        <v>0.02</v>
      </c>
      <c r="R1019" s="7" t="str">
        <f t="shared" si="19"/>
        <v>E:\附赠：Excel模板\Excel实战技巧精粹：Excel模板大全1000例</v>
      </c>
      <c r="S1019" s="9">
        <v>43600.3821412037</v>
      </c>
      <c r="T1019" s="9">
        <v>43390.5136574074</v>
      </c>
    </row>
    <row r="1020" spans="14:20">
      <c r="N1020" s="7" t="str">
        <f>HYPERLINK("E:\附赠：Excel模板\Excel实战技巧精粹：Excel模板大全1000例\街道年目标管理责任表.xls","街道年目标管理责任表.xls")</f>
        <v>街道年目标管理责任表.xls</v>
      </c>
      <c r="Q1020">
        <v>0.03</v>
      </c>
      <c r="R1020" s="7" t="str">
        <f t="shared" si="19"/>
        <v>E:\附赠：Excel模板\Excel实战技巧精粹：Excel模板大全1000例</v>
      </c>
      <c r="S1020" s="9">
        <v>43600.3821412037</v>
      </c>
      <c r="T1020" s="9">
        <v>43390.514212963</v>
      </c>
    </row>
    <row r="1021" spans="14:20">
      <c r="N1021" s="7" t="str">
        <f>HYPERLINK("E:\附赠：Excel模板\Excel实战技巧精粹：Excel模板大全1000例\装饰装修室内设计大赛申报表.xls","装饰装修室内设计大赛申报表.xls")</f>
        <v>装饰装修室内设计大赛申报表.xls</v>
      </c>
      <c r="Q1021">
        <v>0.02</v>
      </c>
      <c r="R1021" s="7" t="str">
        <f t="shared" si="19"/>
        <v>E:\附赠：Excel模板\Excel实战技巧精粹：Excel模板大全1000例</v>
      </c>
      <c r="S1021" s="9">
        <v>43600.3821412037</v>
      </c>
      <c r="T1021" s="9">
        <v>43390.5134027778</v>
      </c>
    </row>
    <row r="1022" spans="14:20">
      <c r="N1022" s="7" t="str">
        <f>HYPERLINK("E:\附赠：Excel模板\Excel实战技巧精粹：Excel模板大全1000例\西部地区“两基”攻坚规划总表.xls","西部地区“两基”攻坚规划总表.xls")</f>
        <v>西部地区“两基”攻坚规划总表.xls</v>
      </c>
      <c r="Q1022">
        <v>0.02</v>
      </c>
      <c r="R1022" s="7" t="str">
        <f t="shared" si="19"/>
        <v>E:\附赠：Excel模板\Excel实战技巧精粹：Excel模板大全1000例</v>
      </c>
      <c r="S1022" s="9">
        <v>43600.3821412037</v>
      </c>
      <c r="T1022" s="9">
        <v>43390.51375</v>
      </c>
    </row>
    <row r="1023" spans="14:20">
      <c r="N1023" s="7" t="str">
        <f>HYPERLINK("E:\附赠：Excel模板\Excel实战技巧精粹：Excel模板大全1000例\规范收入单位银行账户登记及收入收缴情况登记表.xls","规范收入单位银行账户登记及收入收缴情况登记表.xls")</f>
        <v>规范收入单位银行账户登记及收入收缴情况登记表.xls</v>
      </c>
      <c r="Q1023">
        <v>0.02</v>
      </c>
      <c r="R1023" s="7" t="str">
        <f t="shared" si="19"/>
        <v>E:\附赠：Excel模板\Excel实战技巧精粹：Excel模板大全1000例</v>
      </c>
      <c r="S1023" s="9">
        <v>43600.3821412037</v>
      </c>
      <c r="T1023" s="9">
        <v>43390.514375</v>
      </c>
    </row>
    <row r="1024" spans="14:20">
      <c r="N1024" s="7" t="str">
        <f>HYPERLINK("E:\附赠：Excel模板\Excel实战技巧精粹：Excel模板大全1000例\视听阅览室多媒体资源目录表.xls","视听阅览室多媒体资源目录表.xls")</f>
        <v>视听阅览室多媒体资源目录表.xls</v>
      </c>
      <c r="Q1024">
        <v>0.02</v>
      </c>
      <c r="R1024" s="7" t="str">
        <f t="shared" si="19"/>
        <v>E:\附赠：Excel模板\Excel实战技巧精粹：Excel模板大全1000例</v>
      </c>
      <c r="S1024" s="9">
        <v>43600.3821412037</v>
      </c>
      <c r="T1024" s="9">
        <v>43390.5138425926</v>
      </c>
    </row>
    <row r="1025" spans="14:20">
      <c r="N1025" s="7" t="str">
        <f>HYPERLINK("E:\附赠：Excel模板\Excel实战技巧精粹：Excel模板大全1000例\计划学员信息纪录表.xls","计划学员信息纪录表.xls")</f>
        <v>计划学员信息纪录表.xls</v>
      </c>
      <c r="Q1025">
        <v>0.02</v>
      </c>
      <c r="R1025" s="7" t="str">
        <f t="shared" si="19"/>
        <v>E:\附赠：Excel模板\Excel实战技巧精粹：Excel模板大全1000例</v>
      </c>
      <c r="S1025" s="9">
        <v>43600.3821412037</v>
      </c>
      <c r="T1025" s="9">
        <v>43390.5142824074</v>
      </c>
    </row>
    <row r="1026" spans="14:20">
      <c r="N1026" s="7" t="str">
        <f>HYPERLINK("E:\附赠：Excel模板\Excel实战技巧精粹：Excel模板大全1000例\计算机金融（专科）毕业设计参考题目.xls","计算机金融（专科）毕业设计参考题目.xls")</f>
        <v>计算机金融（专科）毕业设计参考题目.xls</v>
      </c>
      <c r="Q1026">
        <v>0.04</v>
      </c>
      <c r="R1026" s="7" t="str">
        <f t="shared" si="19"/>
        <v>E:\附赠：Excel模板\Excel实战技巧精粹：Excel模板大全1000例</v>
      </c>
      <c r="S1026" s="9">
        <v>43600.3821412037</v>
      </c>
      <c r="T1026" s="9">
        <v>43390.5142824074</v>
      </c>
    </row>
    <row r="1027" spans="14:20">
      <c r="N1027" s="7" t="str">
        <f>HYPERLINK("E:\附赠：Excel模板\Excel实战技巧精粹：Excel模板大全1000例\订货单.xls","订货单.xls")</f>
        <v>订货单.xls</v>
      </c>
      <c r="Q1027">
        <v>0.02</v>
      </c>
      <c r="R1027" s="7" t="str">
        <f t="shared" si="19"/>
        <v>E:\附赠：Excel模板\Excel实战技巧精粹：Excel模板大全1000例</v>
      </c>
      <c r="S1027" s="9">
        <v>43600.3821412037</v>
      </c>
      <c r="T1027" s="9">
        <v>43390.5144675926</v>
      </c>
    </row>
    <row r="1028" spans="14:20">
      <c r="N1028" s="7" t="str">
        <f>HYPERLINK("E:\附赠：Excel模板\Excel实战技巧精粹：Excel模板大全1000例\订阅杂志登记表.xls","订阅杂志登记表.xls")</f>
        <v>订阅杂志登记表.xls</v>
      </c>
      <c r="Q1028">
        <v>0.01</v>
      </c>
      <c r="R1028" s="7" t="str">
        <f t="shared" si="19"/>
        <v>E:\附赠：Excel模板\Excel实战技巧精粹：Excel模板大全1000例</v>
      </c>
      <c r="S1028" s="9">
        <v>43600.3821412037</v>
      </c>
      <c r="T1028" s="9">
        <v>43390.5144907407</v>
      </c>
    </row>
    <row r="1029" spans="14:20">
      <c r="N1029" s="7" t="str">
        <f>HYPERLINK("E:\附赠：Excel模板\Excel实战技巧精粹：Excel模板大全1000例\设备资产清单.xls","设备资产清单.xls")</f>
        <v>设备资产清单.xls</v>
      </c>
      <c r="Q1029">
        <v>0.02</v>
      </c>
      <c r="R1029" s="7" t="str">
        <f t="shared" si="19"/>
        <v>E:\附赠：Excel模板\Excel实战技巧精粹：Excel模板大全1000例</v>
      </c>
      <c r="S1029" s="9">
        <v>43600.3821412037</v>
      </c>
      <c r="T1029" s="9">
        <v>43390.5139351852</v>
      </c>
    </row>
    <row r="1030" spans="14:20">
      <c r="N1030" s="7" t="str">
        <f>HYPERLINK("E:\附赠：Excel模板\Excel实战技巧精粹：Excel模板大全1000例\证券业利润费用表.xls","证券业利润费用表.xls")</f>
        <v>证券业利润费用表.xls</v>
      </c>
      <c r="Q1030">
        <v>0.02</v>
      </c>
      <c r="R1030" s="7" t="str">
        <f t="shared" si="19"/>
        <v>E:\附赠：Excel模板\Excel实战技巧精粹：Excel模板大全1000例</v>
      </c>
      <c r="S1030" s="9">
        <v>43600.3821412037</v>
      </c>
      <c r="T1030" s="9">
        <v>43390.5134722222</v>
      </c>
    </row>
    <row r="1031" spans="14:20">
      <c r="N1031" s="7" t="str">
        <f>HYPERLINK("E:\附赠：Excel模板\Excel实战技巧精粹：Excel模板大全1000例\证券业务统计表.xls","证券业务统计表.xls")</f>
        <v>证券业务统计表.xls</v>
      </c>
      <c r="Q1031">
        <v>0.02</v>
      </c>
      <c r="R1031" s="7" t="str">
        <f t="shared" si="19"/>
        <v>E:\附赠：Excel模板\Excel实战技巧精粹：Excel模板大全1000例</v>
      </c>
      <c r="S1031" s="9">
        <v>43600.3821412037</v>
      </c>
      <c r="T1031" s="9">
        <v>43390.5134722222</v>
      </c>
    </row>
    <row r="1032" spans="14:20">
      <c r="N1032" s="7" t="str">
        <f>HYPERLINK("E:\附赠：Excel模板\Excel实战技巧精粹：Excel模板大全1000例\证券业经济普查－普查表填报说明.xls","证券业经济普查－普查表填报说明.xls")</f>
        <v>证券业经济普查－普查表填报说明.xls</v>
      </c>
      <c r="Q1032">
        <v>0.07</v>
      </c>
      <c r="R1032" s="7" t="str">
        <f t="shared" si="19"/>
        <v>E:\附赠：Excel模板\Excel实战技巧精粹：Excel模板大全1000例</v>
      </c>
      <c r="S1032" s="9">
        <v>43600.3821412037</v>
      </c>
      <c r="T1032" s="9">
        <v>43390.5134722222</v>
      </c>
    </row>
    <row r="1033" spans="14:20">
      <c r="N1033" s="7" t="str">
        <f>HYPERLINK("E:\附赠：Excel模板\Excel实战技巧精粹：Excel模板大全1000例\证券业资产负债表.xls","证券业资产负债表.xls")</f>
        <v>证券业资产负债表.xls</v>
      </c>
      <c r="Q1033">
        <v>0.02</v>
      </c>
      <c r="R1033" s="7" t="str">
        <f t="shared" si="19"/>
        <v>E:\附赠：Excel模板\Excel实战技巧精粹：Excel模板大全1000例</v>
      </c>
      <c r="S1033" s="9">
        <v>43600.3821412037</v>
      </c>
      <c r="T1033" s="9">
        <v>43390.5134722222</v>
      </c>
    </row>
    <row r="1034" spans="14:20">
      <c r="N1034" s="7" t="str">
        <f>HYPERLINK("E:\附赠：Excel模板\Excel实战技巧精粹：Excel模板大全1000例\课程开考科目.xls","课程开考科目.xls")</f>
        <v>课程开考科目.xls</v>
      </c>
      <c r="Q1034">
        <v>0.03</v>
      </c>
      <c r="R1034" s="7" t="str">
        <f t="shared" si="19"/>
        <v>E:\附赠：Excel模板\Excel实战技巧精粹：Excel模板大全1000例</v>
      </c>
      <c r="S1034" s="9">
        <v>43600.3821412037</v>
      </c>
      <c r="T1034" s="9">
        <v>43390.5141666667</v>
      </c>
    </row>
    <row r="1035" spans="14:20">
      <c r="N1035" s="7" t="str">
        <f>HYPERLINK("E:\附赠：Excel模板\Excel实战技巧精粹：Excel模板大全1000例\课程的实验教学开出情况一览表.xls","课程的实验教学开出情况一览表.xls")</f>
        <v>课程的实验教学开出情况一览表.xls</v>
      </c>
      <c r="Q1035">
        <v>0.02</v>
      </c>
      <c r="R1035" s="7" t="str">
        <f t="shared" si="19"/>
        <v>E:\附赠：Excel模板\Excel实战技巧精粹：Excel模板大全1000例</v>
      </c>
      <c r="S1035" s="9">
        <v>43600.3821412037</v>
      </c>
      <c r="T1035" s="9">
        <v>43390.5141666667</v>
      </c>
    </row>
    <row r="1036" spans="14:20">
      <c r="N1036" s="7" t="str">
        <f>HYPERLINK("E:\附赠：Excel模板\Excel实战技巧精粹：Excel模板大全1000例\课程表（土地与资源）.xls","课程表（土地与资源）.xls")</f>
        <v>课程表（土地与资源）.xls</v>
      </c>
      <c r="Q1036">
        <v>0.03</v>
      </c>
      <c r="R1036" s="7" t="str">
        <f t="shared" si="19"/>
        <v>E:\附赠：Excel模板\Excel实战技巧精粹：Excel模板大全1000例</v>
      </c>
      <c r="S1036" s="9">
        <v>43600.3821412037</v>
      </c>
      <c r="T1036" s="9">
        <v>43390.5141666667</v>
      </c>
    </row>
    <row r="1037" spans="14:20">
      <c r="N1037" s="7" t="str">
        <f>HYPERLINK("E:\附赠：Excel模板\Excel实战技巧精粹：Excel模板大全1000例\课程负责人统计表.xls","课程负责人统计表.xls")</f>
        <v>课程负责人统计表.xls</v>
      </c>
      <c r="Q1037">
        <v>0.02</v>
      </c>
      <c r="R1037" s="7" t="str">
        <f t="shared" si="19"/>
        <v>E:\附赠：Excel模板\Excel实战技巧精粹：Excel模板大全1000例</v>
      </c>
      <c r="S1037" s="9">
        <v>43600.3821412037</v>
      </c>
      <c r="T1037" s="9">
        <v>43390.5141666667</v>
      </c>
    </row>
    <row r="1038" spans="14:20">
      <c r="N1038" s="7" t="str">
        <f>HYPERLINK("E:\附赠：Excel模板\Excel实战技巧精粹：Excel模板大全1000例\课表.xls","课表.xls")</f>
        <v>课表.xls</v>
      </c>
      <c r="Q1038">
        <v>0.02</v>
      </c>
      <c r="R1038" s="7" t="str">
        <f t="shared" si="19"/>
        <v>E:\附赠：Excel模板\Excel实战技巧精粹：Excel模板大全1000例</v>
      </c>
      <c r="S1038" s="9">
        <v>43600.3821412037</v>
      </c>
      <c r="T1038" s="9">
        <v>43390.5141666667</v>
      </c>
    </row>
    <row r="1039" spans="14:20">
      <c r="N1039" s="7" t="str">
        <f>HYPERLINK("E:\附赠：Excel模板\Excel实战技巧精粹：Excel模板大全1000例\调帐申请单.xls","调帐申请单.xls")</f>
        <v>调帐申请单.xls</v>
      </c>
      <c r="Q1039">
        <v>0.01</v>
      </c>
      <c r="R1039" s="7" t="str">
        <f t="shared" si="19"/>
        <v>E:\附赠：Excel模板\Excel实战技巧精粹：Excel模板大全1000例</v>
      </c>
      <c r="S1039" s="9">
        <v>43600.3821412037</v>
      </c>
      <c r="T1039" s="9">
        <v>43390.5144907407</v>
      </c>
    </row>
    <row r="1040" spans="14:20">
      <c r="N1040" s="7" t="str">
        <f>HYPERLINK("E:\附赠：Excel模板\Excel实战技巧精粹：Excel模板大全1000例\財務業務指標.xls","財務業務指標.xls")</f>
        <v>財務業務指標.xls</v>
      </c>
      <c r="Q1040">
        <v>0.02</v>
      </c>
      <c r="R1040" s="7" t="str">
        <f t="shared" si="19"/>
        <v>E:\附赠：Excel模板\Excel实战技巧精粹：Excel模板大全1000例</v>
      </c>
      <c r="S1040" s="9">
        <v>43600.3821412037</v>
      </c>
      <c r="T1040" s="9">
        <v>43390.5133564815</v>
      </c>
    </row>
    <row r="1041" spans="14:20">
      <c r="N1041" s="7" t="str">
        <f>HYPERLINK("E:\附赠：Excel模板\Excel实战技巧精粹：Excel模板大全1000例\財務管理授課大鋼.xls","財務管理授課大鋼.xls")</f>
        <v>財務管理授課大鋼.xls</v>
      </c>
      <c r="Q1041">
        <v>0.02</v>
      </c>
      <c r="R1041" s="7" t="str">
        <f t="shared" si="19"/>
        <v>E:\附赠：Excel模板\Excel实战技巧精粹：Excel模板大全1000例</v>
      </c>
      <c r="S1041" s="9">
        <v>43600.3821412037</v>
      </c>
      <c r="T1041" s="9">
        <v>43390.5133796296</v>
      </c>
    </row>
    <row r="1042" spans="14:20">
      <c r="N1042" s="7" t="str">
        <f>HYPERLINK("E:\附赠：Excel模板\Excel实战技巧精粹：Excel模板大全1000例\财产保险公司业务统计表.xls","财产保险公司业务统计表.xls")</f>
        <v>财产保险公司业务统计表.xls</v>
      </c>
      <c r="Q1042">
        <v>0.02</v>
      </c>
      <c r="R1042" s="7" t="str">
        <f t="shared" si="19"/>
        <v>E:\附赠：Excel模板\Excel实战技巧精粹：Excel模板大全1000例</v>
      </c>
      <c r="S1042" s="9">
        <v>43600.3821412037</v>
      </c>
      <c r="T1042" s="9">
        <v>43390.5146527778</v>
      </c>
    </row>
    <row r="1043" spans="14:20">
      <c r="N1043" s="7" t="str">
        <f>HYPERLINK("E:\附赠：Excel模板\Excel实战技巧精粹：Excel模板大全1000例\财产保险公司分险种监管业务统计报表.xls","财产保险公司分险种监管业务统计报表.xls")</f>
        <v>财产保险公司分险种监管业务统计报表.xls</v>
      </c>
      <c r="Q1043">
        <v>0.02</v>
      </c>
      <c r="R1043" s="7" t="str">
        <f t="shared" si="19"/>
        <v>E:\附赠：Excel模板\Excel实战技巧精粹：Excel模板大全1000例</v>
      </c>
      <c r="S1043" s="9">
        <v>43600.3821412037</v>
      </c>
      <c r="T1043" s="9">
        <v>43390.5146527778</v>
      </c>
    </row>
    <row r="1044" spans="14:20">
      <c r="N1044" s="7" t="str">
        <f>HYPERLINK("E:\附赠：Excel模板\Excel实战技巧精粹：Excel模板大全1000例\财产保险公司机动车险经营结构情况统计表.xls","财产保险公司机动车险经营结构情况统计表.xls")</f>
        <v>财产保险公司机动车险经营结构情况统计表.xls</v>
      </c>
      <c r="Q1044">
        <v>0.02</v>
      </c>
      <c r="R1044" s="7" t="str">
        <f t="shared" si="19"/>
        <v>E:\附赠：Excel模板\Excel实战技巧精粹：Excel模板大全1000例</v>
      </c>
      <c r="S1044" s="9">
        <v>43600.3821412037</v>
      </c>
      <c r="T1044" s="9">
        <v>43390.5146527778</v>
      </c>
    </row>
    <row r="1045" spans="14:20">
      <c r="N1045" s="7" t="str">
        <f>HYPERLINK("E:\附赠：Excel模板\Excel实战技巧精粹：Excel模板大全1000例\财会机构及人员情况表.xls","财会机构及人员情况表.xls")</f>
        <v>财会机构及人员情况表.xls</v>
      </c>
      <c r="Q1045">
        <v>0.02</v>
      </c>
      <c r="R1045" s="7" t="str">
        <f t="shared" si="19"/>
        <v>E:\附赠：Excel模板\Excel实战技巧精粹：Excel模板大全1000例</v>
      </c>
      <c r="S1045" s="9">
        <v>43600.3821412037</v>
      </c>
      <c r="T1045" s="9">
        <v>43390.5146527778</v>
      </c>
    </row>
    <row r="1046" spans="14:20">
      <c r="N1046" s="7" t="str">
        <f>HYPERLINK("E:\附赠：Excel模板\Excel实战技巧精粹：Excel模板大全1000例\财务业务报价单.xls","财务业务报价单.xls")</f>
        <v>财务业务报价单.xls</v>
      </c>
      <c r="Q1046">
        <v>0.03</v>
      </c>
      <c r="R1046" s="7" t="str">
        <f t="shared" si="19"/>
        <v>E:\附赠：Excel模板\Excel实战技巧精粹：Excel模板大全1000例</v>
      </c>
      <c r="S1046" s="9">
        <v>43600.3821412037</v>
      </c>
      <c r="T1046" s="9">
        <v>43390.5146296296</v>
      </c>
    </row>
    <row r="1047" spans="14:20">
      <c r="N1047" s="7" t="str">
        <f>HYPERLINK("E:\附赠：Excel模板\Excel实战技巧精粹：Excel模板大全1000例\财务信息化建设基本情况调查表.xls","财务信息化建设基本情况调查表.xls")</f>
        <v>财务信息化建设基本情况调查表.xls</v>
      </c>
      <c r="Q1047">
        <v>0.02</v>
      </c>
      <c r="R1047" s="7" t="str">
        <f t="shared" ref="R1047:R1110" si="20">HYPERLINK("E:\附赠：Excel模板\Excel实战技巧精粹：Excel模板大全1000例","E:\附赠：Excel模板\Excel实战技巧精粹：Excel模板大全1000例")</f>
        <v>E:\附赠：Excel模板\Excel实战技巧精粹：Excel模板大全1000例</v>
      </c>
      <c r="S1047" s="9">
        <v>43600.3821412037</v>
      </c>
      <c r="T1047" s="9">
        <v>43390.5146296296</v>
      </c>
    </row>
    <row r="1048" spans="14:20">
      <c r="N1048" s="7" t="str">
        <f>HYPERLINK("E:\附赠：Excel模板\Excel实战技巧精粹：Excel模板大全1000例\财务决算审批表.xls","财务决算审批表.xls")</f>
        <v>财务决算审批表.xls</v>
      </c>
      <c r="Q1048">
        <v>0.02</v>
      </c>
      <c r="R1048" s="7" t="str">
        <f t="shared" si="20"/>
        <v>E:\附赠：Excel模板\Excel实战技巧精粹：Excel模板大全1000例</v>
      </c>
      <c r="S1048" s="9">
        <v>43600.3821412037</v>
      </c>
      <c r="T1048" s="9">
        <v>43390.5146527778</v>
      </c>
    </row>
    <row r="1049" spans="14:20">
      <c r="N1049" s="7" t="str">
        <f>HYPERLINK("E:\附赠：Excel模板\Excel实战技巧精粹：Excel模板大全1000例\财务决算批复表.xls","财务决算批复表.xls")</f>
        <v>财务决算批复表.xls</v>
      </c>
      <c r="Q1049">
        <v>0.02</v>
      </c>
      <c r="R1049" s="7" t="str">
        <f t="shared" si="20"/>
        <v>E:\附赠：Excel模板\Excel实战技巧精粹：Excel模板大全1000例</v>
      </c>
      <c r="S1049" s="9">
        <v>43600.3821412037</v>
      </c>
      <c r="T1049" s="9">
        <v>43390.5146527778</v>
      </c>
    </row>
    <row r="1050" spans="14:20">
      <c r="N1050" s="7" t="str">
        <f>HYPERLINK("E:\附赠：Excel模板\Excel实战技巧精粹：Excel模板大全1000例\财务工作考核条例.xls","财务工作考核条例.xls")</f>
        <v>财务工作考核条例.xls</v>
      </c>
      <c r="Q1050">
        <v>0.02</v>
      </c>
      <c r="R1050" s="7" t="str">
        <f t="shared" si="20"/>
        <v>E:\附赠：Excel模板\Excel实战技巧精粹：Excel模板大全1000例</v>
      </c>
      <c r="S1050" s="9">
        <v>43600.3821412037</v>
      </c>
      <c r="T1050" s="9">
        <v>43390.5146527778</v>
      </c>
    </row>
    <row r="1051" spans="14:20">
      <c r="N1051" s="7" t="str">
        <f>HYPERLINK("E:\附赠：Excel模板\Excel实战技巧精粹：Excel模板大全1000例\财务报告.xls","财务报告.xls")</f>
        <v>财务报告.xls</v>
      </c>
      <c r="Q1051">
        <v>0.01</v>
      </c>
      <c r="R1051" s="7" t="str">
        <f t="shared" si="20"/>
        <v>E:\附赠：Excel模板\Excel实战技巧精粹：Excel模板大全1000例</v>
      </c>
      <c r="S1051" s="9">
        <v>43600.3821412037</v>
      </c>
      <c r="T1051" s="9">
        <v>43390.5146527778</v>
      </c>
    </row>
    <row r="1052" spans="14:20">
      <c r="N1052" s="7" t="str">
        <f>HYPERLINK("E:\附赠：Excel模板\Excel实战技巧精粹：Excel模板大全1000例\财务报表.xls","财务报表.xls")</f>
        <v>财务报表.xls</v>
      </c>
      <c r="Q1052">
        <v>0.04</v>
      </c>
      <c r="R1052" s="7" t="str">
        <f t="shared" si="20"/>
        <v>E:\附赠：Excel模板\Excel实战技巧精粹：Excel模板大全1000例</v>
      </c>
      <c r="S1052" s="9">
        <v>43600.3821412037</v>
      </c>
      <c r="T1052" s="9">
        <v>43390.5146527778</v>
      </c>
    </row>
    <row r="1053" spans="14:20">
      <c r="N1053" s="7" t="str">
        <f>HYPERLINK("E:\附赠：Excel模板\Excel实战技巧精粹：Excel模板大全1000例\财务指标比较分析表.xls","财务指标比较分析表.xls")</f>
        <v>财务指标比较分析表.xls</v>
      </c>
      <c r="Q1053">
        <v>0.02</v>
      </c>
      <c r="R1053" s="7" t="str">
        <f t="shared" si="20"/>
        <v>E:\附赠：Excel模板\Excel实战技巧精粹：Excel模板大全1000例</v>
      </c>
      <c r="S1053" s="9">
        <v>43600.3821412037</v>
      </c>
      <c r="T1053" s="9">
        <v>43390.5146296296</v>
      </c>
    </row>
    <row r="1054" spans="14:20">
      <c r="N1054" s="7" t="str">
        <f>HYPERLINK("E:\附赠：Excel模板\Excel实战技巧精粹：Excel模板大全1000例\财务收支计划表.xls","财务收支计划表.xls")</f>
        <v>财务收支计划表.xls</v>
      </c>
      <c r="Q1054">
        <v>0.02</v>
      </c>
      <c r="R1054" s="7" t="str">
        <f t="shared" si="20"/>
        <v>E:\附赠：Excel模板\Excel实战技巧精粹：Excel模板大全1000例</v>
      </c>
      <c r="S1054" s="9">
        <v>43600.3821412037</v>
      </c>
      <c r="T1054" s="9">
        <v>43390.5146527778</v>
      </c>
    </row>
    <row r="1055" spans="14:20">
      <c r="N1055" s="7" t="str">
        <f>HYPERLINK("E:\附赠：Excel模板\Excel实战技巧精粹：Excel模板大全1000例\财务检查情况登记表.xls","财务检查情况登记表.xls")</f>
        <v>财务检查情况登记表.xls</v>
      </c>
      <c r="Q1055">
        <v>0.02</v>
      </c>
      <c r="R1055" s="7" t="str">
        <f t="shared" si="20"/>
        <v>E:\附赠：Excel模板\Excel实战技巧精粹：Excel模板大全1000例</v>
      </c>
      <c r="S1055" s="9">
        <v>43600.3821412037</v>
      </c>
      <c r="T1055" s="9">
        <v>43390.5146527778</v>
      </c>
    </row>
    <row r="1056" spans="14:20">
      <c r="N1056" s="7" t="str">
        <f>HYPERLINK("E:\附赠：Excel模板\Excel实战技巧精粹：Excel模板大全1000例\财务比率表.xls","财务比率表.xls")</f>
        <v>财务比率表.xls</v>
      </c>
      <c r="Q1056">
        <v>0.06</v>
      </c>
      <c r="R1056" s="7" t="str">
        <f t="shared" si="20"/>
        <v>E:\附赠：Excel模板\Excel实战技巧精粹：Excel模板大全1000例</v>
      </c>
      <c r="S1056" s="9">
        <v>43600.3821412037</v>
      </c>
      <c r="T1056" s="9">
        <v>43390.5146527778</v>
      </c>
    </row>
    <row r="1057" spans="14:20">
      <c r="N1057" s="7" t="str">
        <f>HYPERLINK("E:\附赠：Excel模板\Excel实战技巧精粹：Excel模板大全1000例\财务管理专业教学培养方案.xls","财务管理专业教学培养方案.xls")</f>
        <v>财务管理专业教学培养方案.xls</v>
      </c>
      <c r="Q1057">
        <v>0.02</v>
      </c>
      <c r="R1057" s="7" t="str">
        <f t="shared" si="20"/>
        <v>E:\附赠：Excel模板\Excel实战技巧精粹：Excel模板大全1000例</v>
      </c>
      <c r="S1057" s="9">
        <v>43600.3821412037</v>
      </c>
      <c r="T1057" s="9">
        <v>43390.5146527778</v>
      </c>
    </row>
    <row r="1058" spans="14:20">
      <c r="N1058" s="7" t="str">
        <f>HYPERLINK("E:\附赠：Excel模板\Excel实战技巧精粹：Excel模板大全1000例\财务管理（本）专业教学计划表.xls","财务管理（本）专业教学计划表.xls")</f>
        <v>财务管理（本）专业教学计划表.xls</v>
      </c>
      <c r="Q1058">
        <v>0.04</v>
      </c>
      <c r="R1058" s="7" t="str">
        <f t="shared" si="20"/>
        <v>E:\附赠：Excel模板\Excel实战技巧精粹：Excel模板大全1000例</v>
      </c>
      <c r="S1058" s="9">
        <v>43600.3821412037</v>
      </c>
      <c r="T1058" s="9">
        <v>43390.5146527778</v>
      </c>
    </row>
    <row r="1059" spans="14:20">
      <c r="N1059" s="7" t="str">
        <f>HYPERLINK("E:\附赠：Excel模板\Excel实战技巧精粹：Excel模板大全1000例\财务系统调查表.xls","财务系统调查表.xls")</f>
        <v>财务系统调查表.xls</v>
      </c>
      <c r="Q1059">
        <v>0.02</v>
      </c>
      <c r="R1059" s="7" t="str">
        <f t="shared" si="20"/>
        <v>E:\附赠：Excel模板\Excel实战技巧精粹：Excel模板大全1000例</v>
      </c>
      <c r="S1059" s="9">
        <v>43600.3821412037</v>
      </c>
      <c r="T1059" s="9">
        <v>43390.5146296296</v>
      </c>
    </row>
    <row r="1060" spans="14:20">
      <c r="N1060" s="7" t="str">
        <f>HYPERLINK("E:\附赠：Excel模板\Excel实战技巧精粹：Excel模板大全1000例\财政、财务收支审计情况审核表.xls","财政、财务收支审计情况审核表.xls")</f>
        <v>财政、财务收支审计情况审核表.xls</v>
      </c>
      <c r="Q1060">
        <v>0.02</v>
      </c>
      <c r="R1060" s="7" t="str">
        <f t="shared" si="20"/>
        <v>E:\附赠：Excel模板\Excel实战技巧精粹：Excel模板大全1000例</v>
      </c>
      <c r="S1060" s="9">
        <v>43600.3821412037</v>
      </c>
      <c r="T1060" s="9">
        <v>43390.5146296296</v>
      </c>
    </row>
    <row r="1061" spans="14:20">
      <c r="N1061" s="7" t="str">
        <f>HYPERLINK("E:\附赠：Excel模板\Excel实战技巧精粹：Excel模板大全1000例\财政一般预算收支决算总表.xls","财政一般预算收支决算总表.xls")</f>
        <v>财政一般预算收支决算总表.xls</v>
      </c>
      <c r="Q1061">
        <v>0.02</v>
      </c>
      <c r="R1061" s="7" t="str">
        <f t="shared" si="20"/>
        <v>E:\附赠：Excel模板\Excel实战技巧精粹：Excel模板大全1000例</v>
      </c>
      <c r="S1061" s="9">
        <v>43600.3821412037</v>
      </c>
      <c r="T1061" s="9">
        <v>43390.5146296296</v>
      </c>
    </row>
    <row r="1062" spans="14:20">
      <c r="N1062" s="7" t="str">
        <f>HYPERLINK("E:\附赠：Excel模板\Excel实战技巧精粹：Excel模板大全1000例\财政专户资金分类快报表.xls","财政专户资金分类快报表.xls")</f>
        <v>财政专户资金分类快报表.xls</v>
      </c>
      <c r="Q1062">
        <v>0.02</v>
      </c>
      <c r="R1062" s="7" t="str">
        <f t="shared" si="20"/>
        <v>E:\附赠：Excel模板\Excel实战技巧精粹：Excel模板大全1000例</v>
      </c>
      <c r="S1062" s="9">
        <v>43600.3821412037</v>
      </c>
      <c r="T1062" s="9">
        <v>43390.5146064815</v>
      </c>
    </row>
    <row r="1063" spans="14:20">
      <c r="N1063" s="7" t="str">
        <f>HYPERLINK("E:\附赠：Excel模板\Excel实战技巧精粹：Excel模板大全1000例\财政专项资金申报项目情况表.xls","财政专项资金申报项目情况表.xls")</f>
        <v>财政专项资金申报项目情况表.xls</v>
      </c>
      <c r="Q1063">
        <v>0.02</v>
      </c>
      <c r="R1063" s="7" t="str">
        <f t="shared" si="20"/>
        <v>E:\附赠：Excel模板\Excel实战技巧精粹：Excel模板大全1000例</v>
      </c>
      <c r="S1063" s="9">
        <v>43600.3821412037</v>
      </c>
      <c r="T1063" s="9">
        <v>43390.5146064815</v>
      </c>
    </row>
    <row r="1064" spans="14:20">
      <c r="N1064" s="7" t="str">
        <f>HYPERLINK("E:\附赠：Excel模板\Excel实战技巧精粹：Excel模板大全1000例\财政专项资金申报项目汇总表.xls","财政专项资金申报项目汇总表.xls")</f>
        <v>财政专项资金申报项目汇总表.xls</v>
      </c>
      <c r="Q1064">
        <v>0.02</v>
      </c>
      <c r="R1064" s="7" t="str">
        <f t="shared" si="20"/>
        <v>E:\附赠：Excel模板\Excel实战技巧精粹：Excel模板大全1000例</v>
      </c>
      <c r="S1064" s="9">
        <v>43600.3821412037</v>
      </c>
      <c r="T1064" s="9">
        <v>43390.5146064815</v>
      </c>
    </row>
    <row r="1065" spans="14:20">
      <c r="N1065" s="7" t="str">
        <f>HYPERLINK("E:\附赠：Excel模板\Excel实战技巧精粹：Excel模板大全1000例\财政专项资金申请书.xls","财政专项资金申请书.xls")</f>
        <v>财政专项资金申请书.xls</v>
      </c>
      <c r="Q1065">
        <v>0.02</v>
      </c>
      <c r="R1065" s="7" t="str">
        <f t="shared" si="20"/>
        <v>E:\附赠：Excel模板\Excel实战技巧精粹：Excel模板大全1000例</v>
      </c>
      <c r="S1065" s="9">
        <v>43600.3821412037</v>
      </c>
      <c r="T1065" s="9">
        <v>43390.5146064815</v>
      </c>
    </row>
    <row r="1066" spans="14:20">
      <c r="N1066" s="7" t="str">
        <f>HYPERLINK("E:\附赠：Excel模板\Excel实战技巧精粹：Excel模板大全1000例\财政国库管理制度改革范围划分建议表.xls","财政国库管理制度改革范围划分建议表.xls")</f>
        <v>财政国库管理制度改革范围划分建议表.xls</v>
      </c>
      <c r="Q1066">
        <v>0.02</v>
      </c>
      <c r="R1066" s="7" t="str">
        <f t="shared" si="20"/>
        <v>E:\附赠：Excel模板\Excel实战技巧精粹：Excel模板大全1000例</v>
      </c>
      <c r="S1066" s="9">
        <v>43600.3821412037</v>
      </c>
      <c r="T1066" s="9">
        <v>43390.5146296296</v>
      </c>
    </row>
    <row r="1067" spans="14:20">
      <c r="N1067" s="7" t="str">
        <f>HYPERLINK("E:\附赠：Excel模板\Excel实战技巧精粹：Excel模板大全1000例\财政性建设项目阶段式审核流程总表.xls","财政性建设项目阶段式审核流程总表.xls")</f>
        <v>财政性建设项目阶段式审核流程总表.xls</v>
      </c>
      <c r="Q1067">
        <v>0.04</v>
      </c>
      <c r="R1067" s="7" t="str">
        <f t="shared" si="20"/>
        <v>E:\附赠：Excel模板\Excel实战技巧精粹：Excel模板大全1000例</v>
      </c>
      <c r="S1067" s="9">
        <v>43600.3821412037</v>
      </c>
      <c r="T1067" s="9">
        <v>43390.5146296296</v>
      </c>
    </row>
    <row r="1068" spans="14:20">
      <c r="N1068" s="7" t="str">
        <f>HYPERLINK("E:\附赠：Excel模板\Excel实战技巧精粹：Excel模板大全1000例\财政票据使用情况表.xls","财政票据使用情况表.xls")</f>
        <v>财政票据使用情况表.xls</v>
      </c>
      <c r="Q1068">
        <v>0.02</v>
      </c>
      <c r="R1068" s="7" t="str">
        <f t="shared" si="20"/>
        <v>E:\附赠：Excel模板\Excel实战技巧精粹：Excel模板大全1000例</v>
      </c>
      <c r="S1068" s="9">
        <v>43600.3821412037</v>
      </c>
      <c r="T1068" s="9">
        <v>43390.5146296296</v>
      </c>
    </row>
    <row r="1069" spans="14:20">
      <c r="N1069" s="7" t="str">
        <f>HYPERLINK("E:\附赠：Excel模板\Excel实战技巧精粹：Excel模板大全1000例\财政票据核销登记表.xls","财政票据核销登记表.xls")</f>
        <v>财政票据核销登记表.xls</v>
      </c>
      <c r="Q1069">
        <v>0.02</v>
      </c>
      <c r="R1069" s="7" t="str">
        <f t="shared" si="20"/>
        <v>E:\附赠：Excel模板\Excel实战技巧精粹：Excel模板大全1000例</v>
      </c>
      <c r="S1069" s="9">
        <v>43600.3821412037</v>
      </c>
      <c r="T1069" s="9">
        <v>43390.5146296296</v>
      </c>
    </row>
    <row r="1070" spans="14:20">
      <c r="N1070" s="7" t="str">
        <f>HYPERLINK("E:\附赠：Excel模板\Excel实战技巧精粹：Excel模板大全1000例\财政票据注册登记表.xls","财政票据注册登记表.xls")</f>
        <v>财政票据注册登记表.xls</v>
      </c>
      <c r="Q1070">
        <v>0.02</v>
      </c>
      <c r="R1070" s="7" t="str">
        <f t="shared" si="20"/>
        <v>E:\附赠：Excel模板\Excel实战技巧精粹：Excel模板大全1000例</v>
      </c>
      <c r="S1070" s="9">
        <v>43600.3821412037</v>
      </c>
      <c r="T1070" s="9">
        <v>43390.5146296296</v>
      </c>
    </row>
    <row r="1071" spans="14:20">
      <c r="N1071" s="7" t="str">
        <f>HYPERLINK("E:\附赠：Excel模板\Excel实战技巧精粹：Excel模板大全1000例\财政资金决算汇总表.xls","财政资金决算汇总表.xls")</f>
        <v>财政资金决算汇总表.xls</v>
      </c>
      <c r="Q1071">
        <v>0.02</v>
      </c>
      <c r="R1071" s="7" t="str">
        <f t="shared" si="20"/>
        <v>E:\附赠：Excel模板\Excel实战技巧精粹：Excel模板大全1000例</v>
      </c>
      <c r="S1071" s="9">
        <v>43600.3821412037</v>
      </c>
      <c r="T1071" s="9">
        <v>43390.5146064815</v>
      </c>
    </row>
    <row r="1072" spans="14:20">
      <c r="N1072" s="7" t="str">
        <f>HYPERLINK("E:\附赠：Excel模板\Excel实战技巧精粹：Excel模板大全1000例\财政资金支持技术创新项目检查汇总表.xls","财政资金支持技术创新项目检查汇总表.xls")</f>
        <v>财政资金支持技术创新项目检查汇总表.xls</v>
      </c>
      <c r="Q1072">
        <v>0.02</v>
      </c>
      <c r="R1072" s="7" t="str">
        <f t="shared" si="20"/>
        <v>E:\附赠：Excel模板\Excel实战技巧精粹：Excel模板大全1000例</v>
      </c>
      <c r="S1072" s="9">
        <v>43600.3821412037</v>
      </c>
      <c r="T1072" s="9">
        <v>43390.5146064815</v>
      </c>
    </row>
    <row r="1073" spans="14:20">
      <c r="N1073" s="7" t="str">
        <f>HYPERLINK("E:\附赠：Excel模板\Excel实战技巧精粹：Excel模板大全1000例\财政采购验收单.xls","财政采购验收单.xls")</f>
        <v>财政采购验收单.xls</v>
      </c>
      <c r="Q1073">
        <v>0.03</v>
      </c>
      <c r="R1073" s="7" t="str">
        <f t="shared" si="20"/>
        <v>E:\附赠：Excel模板\Excel实战技巧精粹：Excel模板大全1000例</v>
      </c>
      <c r="S1073" s="9">
        <v>43600.3821412037</v>
      </c>
      <c r="T1073" s="9">
        <v>43390.5146296296</v>
      </c>
    </row>
    <row r="1074" spans="14:20">
      <c r="N1074" s="7" t="str">
        <f>HYPERLINK("E:\附赠：Excel模板\Excel实战技巧精粹：Excel模板大全1000例\财政预算信用等级申请评定表.xls","财政预算信用等级申请评定表.xls")</f>
        <v>财政预算信用等级申请评定表.xls</v>
      </c>
      <c r="Q1074">
        <v>0.03</v>
      </c>
      <c r="R1074" s="7" t="str">
        <f t="shared" si="20"/>
        <v>E:\附赠：Excel模板\Excel实战技巧精粹：Excel模板大全1000例</v>
      </c>
      <c r="S1074" s="9">
        <v>43600.3821412037</v>
      </c>
      <c r="T1074" s="9">
        <v>43390.5146296296</v>
      </c>
    </row>
    <row r="1075" spans="14:20">
      <c r="N1075" s="7" t="str">
        <f>HYPERLINK("E:\附赠：Excel模板\Excel实战技巧精粹：Excel模板大全1000例\货币投资情况明细表.xls","货币投资情况明细表.xls")</f>
        <v>货币投资情况明细表.xls</v>
      </c>
      <c r="Q1075">
        <v>0.01</v>
      </c>
      <c r="R1075" s="7" t="str">
        <f t="shared" si="20"/>
        <v>E:\附赠：Excel模板\Excel实战技巧精粹：Excel模板大全1000例</v>
      </c>
      <c r="S1075" s="9">
        <v>43600.3821412037</v>
      </c>
      <c r="T1075" s="9">
        <v>43390.5143287037</v>
      </c>
    </row>
    <row r="1076" spans="14:20">
      <c r="N1076" s="7" t="str">
        <f>HYPERLINK("E:\附赠：Excel模板\Excel实战技巧精粹：Excel模板大全1000例\货币资产及存货调查表.xls","货币资产及存货调查表.xls")</f>
        <v>货币资产及存货调查表.xls</v>
      </c>
      <c r="Q1076">
        <v>0.02</v>
      </c>
      <c r="R1076" s="7" t="str">
        <f t="shared" si="20"/>
        <v>E:\附赠：Excel模板\Excel实战技巧精粹：Excel模板大全1000例</v>
      </c>
      <c r="S1076" s="9">
        <v>43600.3821412037</v>
      </c>
      <c r="T1076" s="9">
        <v>43390.5143287037</v>
      </c>
    </row>
    <row r="1077" spans="14:20">
      <c r="N1077" s="7" t="str">
        <f>HYPERLINK("E:\附赠：Excel模板\Excel实战技巧精粹：Excel模板大全1000例\贫困学生登记表.xls","贫困学生登记表.xls")</f>
        <v>贫困学生登记表.xls</v>
      </c>
      <c r="Q1077">
        <v>0.02</v>
      </c>
      <c r="R1077" s="7" t="str">
        <f t="shared" si="20"/>
        <v>E:\附赠：Excel模板\Excel实战技巧精粹：Excel模板大全1000例</v>
      </c>
      <c r="S1077" s="9">
        <v>43600.3821412037</v>
      </c>
      <c r="T1077" s="9">
        <v>43390.5140509259</v>
      </c>
    </row>
    <row r="1078" spans="14:20">
      <c r="N1078" s="7" t="str">
        <f>HYPERLINK("E:\附赠：Excel模板\Excel实战技巧精粹：Excel模板大全1000例\贫困家庭子女实行免费教育学生名册.xls","贫困家庭子女实行免费教育学生名册.xls")</f>
        <v>贫困家庭子女实行免费教育学生名册.xls</v>
      </c>
      <c r="Q1078">
        <v>0.02</v>
      </c>
      <c r="R1078" s="7" t="str">
        <f t="shared" si="20"/>
        <v>E:\附赠：Excel模板\Excel实战技巧精粹：Excel模板大全1000例</v>
      </c>
      <c r="S1078" s="9">
        <v>43600.3821412037</v>
      </c>
      <c r="T1078" s="9">
        <v>43390.5140277778</v>
      </c>
    </row>
    <row r="1079" spans="14:20">
      <c r="N1079" s="7" t="str">
        <f>HYPERLINK("E:\附赠：Excel模板\Excel实战技巧精粹：Excel模板大全1000例\贫困家庭经济困难学生免杂费资金分配表.xls","贫困家庭经济困难学生免杂费资金分配表.xls")</f>
        <v>贫困家庭经济困难学生免杂费资金分配表.xls</v>
      </c>
      <c r="Q1079">
        <v>0.02</v>
      </c>
      <c r="R1079" s="7" t="str">
        <f t="shared" si="20"/>
        <v>E:\附赠：Excel模板\Excel实战技巧精粹：Excel模板大全1000例</v>
      </c>
      <c r="S1079" s="9">
        <v>43600.3821412037</v>
      </c>
      <c r="T1079" s="9">
        <v>43390.5140509259</v>
      </c>
    </row>
    <row r="1080" spans="14:20">
      <c r="N1080" s="7" t="str">
        <f>HYPERLINK("E:\附赠：Excel模板\Excel实战技巧精粹：Excel模板大全1000例\贫困户家庭情况一览表.xls","贫困户家庭情况一览表.xls")</f>
        <v>贫困户家庭情况一览表.xls</v>
      </c>
      <c r="Q1080">
        <v>0.01</v>
      </c>
      <c r="R1080" s="7" t="str">
        <f t="shared" si="20"/>
        <v>E:\附赠：Excel模板\Excel实战技巧精粹：Excel模板大全1000例</v>
      </c>
      <c r="S1080" s="9">
        <v>43600.3821412037</v>
      </c>
      <c r="T1080" s="9">
        <v>43390.5140509259</v>
      </c>
    </row>
    <row r="1081" spans="14:20">
      <c r="N1081" s="7" t="str">
        <f>HYPERLINK("E:\附赠：Excel模板\Excel实战技巧精粹：Excel模板大全1000例\购房家庭贷款贴息申请表.xls","购房家庭贷款贴息申请表.xls")</f>
        <v>购房家庭贷款贴息申请表.xls</v>
      </c>
      <c r="Q1081">
        <v>0.02</v>
      </c>
      <c r="R1081" s="7" t="str">
        <f t="shared" si="20"/>
        <v>E:\附赠：Excel模板\Excel实战技巧精粹：Excel模板大全1000例</v>
      </c>
      <c r="S1081" s="9">
        <v>43600.3821412037</v>
      </c>
      <c r="T1081" s="9">
        <v>43390.514375</v>
      </c>
    </row>
    <row r="1082" spans="14:20">
      <c r="N1082" s="7" t="str">
        <f>HYPERLINK("E:\附赠：Excel模板\Excel实战技巧精粹：Excel模板大全1000例\购车分期付款计算表.xls","购车分期付款计算表.xls")</f>
        <v>购车分期付款计算表.xls</v>
      </c>
      <c r="Q1082">
        <v>0.03</v>
      </c>
      <c r="R1082" s="7" t="str">
        <f t="shared" si="20"/>
        <v>E:\附赠：Excel模板\Excel实战技巧精粹：Excel模板大全1000例</v>
      </c>
      <c r="S1082" s="9">
        <v>43600.3821412037</v>
      </c>
      <c r="T1082" s="9">
        <v>43390.514375</v>
      </c>
    </row>
    <row r="1083" spans="14:20">
      <c r="N1083" s="7" t="str">
        <f>HYPERLINK("E:\附赠：Excel模板\Excel实战技巧精粹：Excel模板大全1000例\贷款协定执行情况表.xls","贷款协定执行情况表.xls")</f>
        <v>贷款协定执行情况表.xls</v>
      </c>
      <c r="Q1083">
        <v>0.02</v>
      </c>
      <c r="R1083" s="7" t="str">
        <f t="shared" si="20"/>
        <v>E:\附赠：Excel模板\Excel实战技巧精粹：Excel模板大全1000例</v>
      </c>
      <c r="S1083" s="9">
        <v>43600.3821412037</v>
      </c>
      <c r="T1083" s="9">
        <v>43390.5145138889</v>
      </c>
    </row>
    <row r="1084" spans="14:20">
      <c r="N1084" s="7" t="str">
        <f>HYPERLINK("E:\附赠：Excel模板\Excel实战技巧精粹：Excel模板大全1000例\费用滚动预算.xls","费用滚动预算.xls")</f>
        <v>费用滚动预算.xls</v>
      </c>
      <c r="Q1084">
        <v>0.04</v>
      </c>
      <c r="R1084" s="7" t="str">
        <f t="shared" si="20"/>
        <v>E:\附赠：Excel模板\Excel实战技巧精粹：Excel模板大全1000例</v>
      </c>
      <c r="S1084" s="9">
        <v>43600.3821412037</v>
      </c>
      <c r="T1084" s="9">
        <v>43390.5144444444</v>
      </c>
    </row>
    <row r="1085" spans="14:20">
      <c r="N1085" s="7" t="str">
        <f>HYPERLINK("E:\附赠：Excel模板\Excel实战技巧精粹：Excel模板大全1000例\资产减值准备明细表.xls","资产减值准备明细表.xls")</f>
        <v>资产减值准备明细表.xls</v>
      </c>
      <c r="Q1085">
        <v>0.02</v>
      </c>
      <c r="R1085" s="7" t="str">
        <f t="shared" si="20"/>
        <v>E:\附赠：Excel模板\Excel实战技巧精粹：Excel模板大全1000例</v>
      </c>
      <c r="S1085" s="9">
        <v>43600.3821412037</v>
      </c>
      <c r="T1085" s="9">
        <v>43390.5134027778</v>
      </c>
    </row>
    <row r="1086" spans="14:20">
      <c r="N1086" s="7" t="str">
        <f>HYPERLINK("E:\附赠：Excel模板\Excel实战技巧精粹：Excel模板大全1000例\资产清查表.xls","资产清查表.xls")</f>
        <v>资产清查表.xls</v>
      </c>
      <c r="Q1086">
        <v>0.02</v>
      </c>
      <c r="R1086" s="7" t="str">
        <f t="shared" si="20"/>
        <v>E:\附赠：Excel模板\Excel实战技巧精粹：Excel模板大全1000例</v>
      </c>
      <c r="S1086" s="9">
        <v>43600.3821412037</v>
      </c>
      <c r="T1086" s="9">
        <v>43390.5133796296</v>
      </c>
    </row>
    <row r="1087" spans="14:20">
      <c r="N1087" s="7" t="str">
        <f>HYPERLINK("E:\附赠：Excel模板\Excel实战技巧精粹：Excel模板大全1000例\资产管理公司资产处置公示.xls","资产管理公司资产处置公示.xls")</f>
        <v>资产管理公司资产处置公示.xls</v>
      </c>
      <c r="Q1087">
        <v>0.05</v>
      </c>
      <c r="R1087" s="7" t="str">
        <f t="shared" si="20"/>
        <v>E:\附赠：Excel模板\Excel实战技巧精粹：Excel模板大全1000例</v>
      </c>
      <c r="S1087" s="9">
        <v>43600.3821412037</v>
      </c>
      <c r="T1087" s="9">
        <v>43390.5134027778</v>
      </c>
    </row>
    <row r="1088" spans="14:20">
      <c r="N1088" s="7" t="str">
        <f>HYPERLINK("E:\附赠：Excel模板\Excel实战技巧精粹：Excel模板大全1000例\资产评估结果汇总表.xls","资产评估结果汇总表.xls")</f>
        <v>资产评估结果汇总表.xls</v>
      </c>
      <c r="Q1088">
        <v>0.01</v>
      </c>
      <c r="R1088" s="7" t="str">
        <f t="shared" si="20"/>
        <v>E:\附赠：Excel模板\Excel实战技巧精粹：Excel模板大全1000例</v>
      </c>
      <c r="S1088" s="9">
        <v>43600.3821412037</v>
      </c>
      <c r="T1088" s="9">
        <v>43390.5134027778</v>
      </c>
    </row>
    <row r="1089" spans="14:20">
      <c r="N1089" s="7" t="str">
        <f>HYPERLINK("E:\附赠：Excel模板\Excel实战技巧精粹：Excel模板大全1000例\资产评估项目基本情况.xls","资产评估项目基本情况.xls")</f>
        <v>资产评估项目基本情况.xls</v>
      </c>
      <c r="Q1089">
        <v>0.02</v>
      </c>
      <c r="R1089" s="7" t="str">
        <f t="shared" si="20"/>
        <v>E:\附赠：Excel模板\Excel实战技巧精粹：Excel模板大全1000例</v>
      </c>
      <c r="S1089" s="9">
        <v>43600.3821412037</v>
      </c>
      <c r="T1089" s="9">
        <v>43390.5133796296</v>
      </c>
    </row>
    <row r="1090" spans="14:20">
      <c r="N1090" s="7" t="str">
        <f>HYPERLINK("E:\附赠：Excel模板\Excel实战技巧精粹：Excel模板大全1000例\资产评估项目核准申请表.xls","资产评估项目核准申请表.xls")</f>
        <v>资产评估项目核准申请表.xls</v>
      </c>
      <c r="Q1090">
        <v>0.02</v>
      </c>
      <c r="R1090" s="7" t="str">
        <f t="shared" si="20"/>
        <v>E:\附赠：Excel模板\Excel实战技巧精粹：Excel模板大全1000例</v>
      </c>
      <c r="S1090" s="9">
        <v>43600.3821412037</v>
      </c>
      <c r="T1090" s="9">
        <v>43390.5134027778</v>
      </c>
    </row>
    <row r="1091" spans="14:20">
      <c r="N1091" s="7" t="str">
        <f>HYPERLINK("E:\附赠：Excel模板\Excel实战技巧精粹：Excel模板大全1000例\资产负债表1.xls","资产负债表1.xls")</f>
        <v>资产负债表1.xls</v>
      </c>
      <c r="Q1091">
        <v>0.02</v>
      </c>
      <c r="R1091" s="7" t="str">
        <f t="shared" si="20"/>
        <v>E:\附赠：Excel模板\Excel实战技巧精粹：Excel模板大全1000例</v>
      </c>
      <c r="S1091" s="9">
        <v>43600.3821412037</v>
      </c>
      <c r="T1091" s="9">
        <v>43390.5134027778</v>
      </c>
    </row>
    <row r="1092" spans="14:20">
      <c r="N1092" s="7" t="str">
        <f>HYPERLINK("E:\附赠：Excel模板\Excel实战技巧精粹：Excel模板大全1000例\资产负债表10.xls","资产负债表10.xls")</f>
        <v>资产负债表10.xls</v>
      </c>
      <c r="Q1092">
        <v>0.02</v>
      </c>
      <c r="R1092" s="7" t="str">
        <f t="shared" si="20"/>
        <v>E:\附赠：Excel模板\Excel实战技巧精粹：Excel模板大全1000例</v>
      </c>
      <c r="S1092" s="9">
        <v>43600.3821412037</v>
      </c>
      <c r="T1092" s="9">
        <v>43390.5134027778</v>
      </c>
    </row>
    <row r="1093" spans="14:20">
      <c r="N1093" s="7" t="str">
        <f>HYPERLINK("E:\附赠：Excel模板\Excel实战技巧精粹：Excel模板大全1000例\资产负债表11.xls","资产负债表11.xls")</f>
        <v>资产负债表11.xls</v>
      </c>
      <c r="Q1093">
        <v>0.02</v>
      </c>
      <c r="R1093" s="7" t="str">
        <f t="shared" si="20"/>
        <v>E:\附赠：Excel模板\Excel实战技巧精粹：Excel模板大全1000例</v>
      </c>
      <c r="S1093" s="9">
        <v>43600.3821412037</v>
      </c>
      <c r="T1093" s="9">
        <v>43390.5134027778</v>
      </c>
    </row>
    <row r="1094" spans="14:20">
      <c r="N1094" s="7" t="str">
        <f>HYPERLINK("E:\附赠：Excel模板\Excel实战技巧精粹：Excel模板大全1000例\资产负债表2.xls","资产负债表2.xls")</f>
        <v>资产负债表2.xls</v>
      </c>
      <c r="Q1094">
        <v>0.03</v>
      </c>
      <c r="R1094" s="7" t="str">
        <f t="shared" si="20"/>
        <v>E:\附赠：Excel模板\Excel实战技巧精粹：Excel模板大全1000例</v>
      </c>
      <c r="S1094" s="9">
        <v>43600.3821412037</v>
      </c>
      <c r="T1094" s="9">
        <v>43390.5134027778</v>
      </c>
    </row>
    <row r="1095" spans="14:20">
      <c r="N1095" s="7" t="str">
        <f>HYPERLINK("E:\附赠：Excel模板\Excel实战技巧精粹：Excel模板大全1000例\资产负债表3.xls","资产负债表3.xls")</f>
        <v>资产负债表3.xls</v>
      </c>
      <c r="Q1095">
        <v>0.03</v>
      </c>
      <c r="R1095" s="7" t="str">
        <f t="shared" si="20"/>
        <v>E:\附赠：Excel模板\Excel实战技巧精粹：Excel模板大全1000例</v>
      </c>
      <c r="S1095" s="9">
        <v>43600.3821412037</v>
      </c>
      <c r="T1095" s="9">
        <v>43390.5134027778</v>
      </c>
    </row>
    <row r="1096" spans="14:20">
      <c r="N1096" s="7" t="str">
        <f>HYPERLINK("E:\附赠：Excel模板\Excel实战技巧精粹：Excel模板大全1000例\资产负债表4.xls","资产负债表4.xls")</f>
        <v>资产负债表4.xls</v>
      </c>
      <c r="Q1096">
        <v>0.08</v>
      </c>
      <c r="R1096" s="7" t="str">
        <f t="shared" si="20"/>
        <v>E:\附赠：Excel模板\Excel实战技巧精粹：Excel模板大全1000例</v>
      </c>
      <c r="S1096" s="9">
        <v>43600.3821412037</v>
      </c>
      <c r="T1096" s="9">
        <v>43390.5134027778</v>
      </c>
    </row>
    <row r="1097" spans="14:20">
      <c r="N1097" s="7" t="str">
        <f>HYPERLINK("E:\附赠：Excel模板\Excel实战技巧精粹：Excel模板大全1000例\资产负债表5.xls","资产负债表5.xls")</f>
        <v>资产负债表5.xls</v>
      </c>
      <c r="Q1097">
        <v>0.05</v>
      </c>
      <c r="R1097" s="7" t="str">
        <f t="shared" si="20"/>
        <v>E:\附赠：Excel模板\Excel实战技巧精粹：Excel模板大全1000例</v>
      </c>
      <c r="S1097" s="9">
        <v>43600.3821412037</v>
      </c>
      <c r="T1097" s="9">
        <v>43390.5134027778</v>
      </c>
    </row>
    <row r="1098" spans="14:20">
      <c r="N1098" s="7" t="str">
        <f>HYPERLINK("E:\附赠：Excel模板\Excel实战技巧精粹：Excel模板大全1000例\资产负债表6.xls","资产负债表6.xls")</f>
        <v>资产负债表6.xls</v>
      </c>
      <c r="Q1098">
        <v>0.03</v>
      </c>
      <c r="R1098" s="7" t="str">
        <f t="shared" si="20"/>
        <v>E:\附赠：Excel模板\Excel实战技巧精粹：Excel模板大全1000例</v>
      </c>
      <c r="S1098" s="9">
        <v>43600.3821412037</v>
      </c>
      <c r="T1098" s="9">
        <v>43390.5134027778</v>
      </c>
    </row>
    <row r="1099" spans="14:20">
      <c r="N1099" s="7" t="str">
        <f>HYPERLINK("E:\附赠：Excel模板\Excel实战技巧精粹：Excel模板大全1000例\资产负债表7.xls","资产负债表7.xls")</f>
        <v>资产负债表7.xls</v>
      </c>
      <c r="Q1099">
        <v>0.03</v>
      </c>
      <c r="R1099" s="7" t="str">
        <f t="shared" si="20"/>
        <v>E:\附赠：Excel模板\Excel实战技巧精粹：Excel模板大全1000例</v>
      </c>
      <c r="S1099" s="9">
        <v>43600.3821412037</v>
      </c>
      <c r="T1099" s="9">
        <v>43390.5134027778</v>
      </c>
    </row>
    <row r="1100" spans="14:20">
      <c r="N1100" s="7" t="str">
        <f>HYPERLINK("E:\附赠：Excel模板\Excel实战技巧精粹：Excel模板大全1000例\资产负债表8.xls","资产负债表8.xls")</f>
        <v>资产负债表8.xls</v>
      </c>
      <c r="Q1100">
        <v>0.02</v>
      </c>
      <c r="R1100" s="7" t="str">
        <f t="shared" si="20"/>
        <v>E:\附赠：Excel模板\Excel实战技巧精粹：Excel模板大全1000例</v>
      </c>
      <c r="S1100" s="9">
        <v>43600.3821412037</v>
      </c>
      <c r="T1100" s="9">
        <v>43390.5134027778</v>
      </c>
    </row>
    <row r="1101" spans="14:20">
      <c r="N1101" s="7" t="str">
        <f>HYPERLINK("E:\附赠：Excel模板\Excel实战技巧精粹：Excel模板大全1000例\资产负债表9.xls","资产负债表9.xls")</f>
        <v>资产负债表9.xls</v>
      </c>
      <c r="Q1101">
        <v>0.02</v>
      </c>
      <c r="R1101" s="7" t="str">
        <f t="shared" si="20"/>
        <v>E:\附赠：Excel模板\Excel实战技巧精粹：Excel模板大全1000例</v>
      </c>
      <c r="S1101" s="9">
        <v>43600.3821412037</v>
      </c>
      <c r="T1101" s="9">
        <v>43390.5134027778</v>
      </c>
    </row>
    <row r="1102" spans="14:20">
      <c r="N1102" s="7" t="str">
        <f>HYPERLINK("E:\附赠：Excel模板\Excel实战技巧精粹：Excel模板大全1000例\资金周报表.xls","资金周报表.xls")</f>
        <v>资金周报表.xls</v>
      </c>
      <c r="Q1102">
        <v>0.02</v>
      </c>
      <c r="R1102" s="7" t="str">
        <f t="shared" si="20"/>
        <v>E:\附赠：Excel模板\Excel实战技巧精粹：Excel模板大全1000例</v>
      </c>
      <c r="S1102" s="9">
        <v>43600.3821412037</v>
      </c>
      <c r="T1102" s="9">
        <v>43390.5133796296</v>
      </c>
    </row>
    <row r="1103" spans="14:20">
      <c r="N1103" s="7" t="str">
        <f>HYPERLINK("E:\附赠：Excel模板\Excel实战技巧精粹：Excel模板大全1000例\资金平衡表.xls","资金平衡表.xls")</f>
        <v>资金平衡表.xls</v>
      </c>
      <c r="Q1103">
        <v>0.03</v>
      </c>
      <c r="R1103" s="7" t="str">
        <f t="shared" si="20"/>
        <v>E:\附赠：Excel模板\Excel实战技巧精粹：Excel模板大全1000例</v>
      </c>
      <c r="S1103" s="9">
        <v>43600.3821412037</v>
      </c>
      <c r="T1103" s="9">
        <v>43390.5133796296</v>
      </c>
    </row>
    <row r="1104" spans="14:20">
      <c r="N1104" s="7" t="str">
        <f>HYPERLINK("E:\附赠：Excel模板\Excel实战技巧精粹：Excel模板大全1000例\资金报表.xls","资金报表.xls")</f>
        <v>资金报表.xls</v>
      </c>
      <c r="Q1104">
        <v>0.02</v>
      </c>
      <c r="R1104" s="7" t="str">
        <f t="shared" si="20"/>
        <v>E:\附赠：Excel模板\Excel实战技巧精粹：Excel模板大全1000例</v>
      </c>
      <c r="S1104" s="9">
        <v>43600.3821412037</v>
      </c>
      <c r="T1104" s="9">
        <v>43390.5133796296</v>
      </c>
    </row>
    <row r="1105" spans="14:20">
      <c r="N1105" s="7" t="str">
        <f>HYPERLINK("E:\附赠：Excel模板\Excel实战技巧精粹：Excel模板大全1000例\资金核实申报表.xls","资金核实申报表.xls")</f>
        <v>资金核实申报表.xls</v>
      </c>
      <c r="Q1105">
        <v>0.02</v>
      </c>
      <c r="R1105" s="7" t="str">
        <f t="shared" si="20"/>
        <v>E:\附赠：Excel模板\Excel实战技巧精粹：Excel模板大全1000例</v>
      </c>
      <c r="S1105" s="9">
        <v>43600.3821412037</v>
      </c>
      <c r="T1105" s="9">
        <v>43390.5133796296</v>
      </c>
    </row>
    <row r="1106" spans="14:20">
      <c r="N1106" s="7" t="str">
        <f>HYPERLINK("E:\附赠：Excel模板\Excel实战技巧精粹：Excel模板大全1000例\资金活动表.xls","资金活动表.xls")</f>
        <v>资金活动表.xls</v>
      </c>
      <c r="Q1106">
        <v>0.02</v>
      </c>
      <c r="R1106" s="7" t="str">
        <f t="shared" si="20"/>
        <v>E:\附赠：Excel模板\Excel实战技巧精粹：Excel模板大全1000例</v>
      </c>
      <c r="S1106" s="9">
        <v>43600.3821412037</v>
      </c>
      <c r="T1106" s="9">
        <v>43390.5133796296</v>
      </c>
    </row>
    <row r="1107" spans="14:20">
      <c r="N1107" s="7" t="str">
        <f>HYPERLINK("E:\附赠：Excel模板\Excel实战技巧精粹：Excel模板大全1000例\资金登记.xls","资金登记.xls")</f>
        <v>资金登记.xls</v>
      </c>
      <c r="Q1107">
        <v>0.02</v>
      </c>
      <c r="R1107" s="7" t="str">
        <f t="shared" si="20"/>
        <v>E:\附赠：Excel模板\Excel实战技巧精粹：Excel模板大全1000例</v>
      </c>
      <c r="S1107" s="9">
        <v>43600.3821412037</v>
      </c>
      <c r="T1107" s="9">
        <v>43390.5133796296</v>
      </c>
    </row>
    <row r="1108" spans="14:20">
      <c r="N1108" s="7" t="str">
        <f>HYPERLINK("E:\附赠：Excel模板\Excel实战技巧精粹：Excel模板大全1000例\资金管理状况表.xls","资金管理状况表.xls")</f>
        <v>资金管理状况表.xls</v>
      </c>
      <c r="Q1108">
        <v>0.02</v>
      </c>
      <c r="R1108" s="7" t="str">
        <f t="shared" si="20"/>
        <v>E:\附赠：Excel模板\Excel实战技巧精粹：Excel模板大全1000例</v>
      </c>
      <c r="S1108" s="9">
        <v>43600.3821412037</v>
      </c>
      <c r="T1108" s="9">
        <v>43390.5133796296</v>
      </c>
    </row>
    <row r="1109" spans="14:20">
      <c r="N1109" s="7" t="str">
        <f>HYPERLINK("E:\附赠：Excel模板\Excel实战技巧精粹：Excel模板大全1000例\赊销审核表.xls","赊销审核表.xls")</f>
        <v>赊销审核表.xls</v>
      </c>
      <c r="Q1109">
        <v>0.02</v>
      </c>
      <c r="R1109" s="7" t="str">
        <f t="shared" si="20"/>
        <v>E:\附赠：Excel模板\Excel实战技巧精粹：Excel模板大全1000例</v>
      </c>
      <c r="S1109" s="9">
        <v>43600.3821412037</v>
      </c>
      <c r="T1109" s="9">
        <v>43390.5139351852</v>
      </c>
    </row>
    <row r="1110" spans="14:20">
      <c r="N1110" s="7" t="str">
        <f>HYPERLINK("E:\附赠：Excel模板\Excel实战技巧精粹：Excel模板大全1000例\赴俄罗斯个人资料表.xls","赴俄罗斯个人资料表.xls")</f>
        <v>赴俄罗斯个人资料表.xls</v>
      </c>
      <c r="Q1110">
        <v>0.02</v>
      </c>
      <c r="R1110" s="7" t="str">
        <f t="shared" si="20"/>
        <v>E:\附赠：Excel模板\Excel实战技巧精粹：Excel模板大全1000例</v>
      </c>
      <c r="S1110" s="9">
        <v>43600.3821412037</v>
      </c>
      <c r="T1110" s="9">
        <v>43390.5144444444</v>
      </c>
    </row>
    <row r="1111" spans="14:20">
      <c r="N1111" s="7" t="str">
        <f>HYPERLINK("E:\附赠：Excel模板\Excel实战技巧精粹：Excel模板大全1000例\趋势分析表.xls","趋势分析表.xls")</f>
        <v>趋势分析表.xls</v>
      </c>
      <c r="Q1111">
        <v>0.02</v>
      </c>
      <c r="R1111" s="7" t="str">
        <f t="shared" ref="R1111:R1174" si="21">HYPERLINK("E:\附赠：Excel模板\Excel实战技巧精粹：Excel模板大全1000例","E:\附赠：Excel模板\Excel实战技巧精粹：Excel模板大全1000例")</f>
        <v>E:\附赠：Excel模板\Excel实战技巧精粹：Excel模板大全1000例</v>
      </c>
      <c r="S1111" s="9">
        <v>43600.3821412037</v>
      </c>
      <c r="T1111" s="9">
        <v>43390.5139814815</v>
      </c>
    </row>
    <row r="1112" spans="14:20">
      <c r="N1112" s="7" t="str">
        <f>HYPERLINK("E:\附赠：Excel模板\Excel实战技巧精粹：Excel模板大全1000例\跆拳道馆学员登记表.xls","跆拳道馆学员登记表.xls")</f>
        <v>跆拳道馆学员登记表.xls</v>
      </c>
      <c r="Q1112">
        <v>0.02</v>
      </c>
      <c r="R1112" s="7" t="str">
        <f t="shared" si="21"/>
        <v>E:\附赠：Excel模板\Excel实战技巧精粹：Excel模板大全1000例</v>
      </c>
      <c r="S1112" s="9">
        <v>43600.3821412037</v>
      </c>
      <c r="T1112" s="9">
        <v>43390.5133796296</v>
      </c>
    </row>
    <row r="1113" spans="14:20">
      <c r="N1113" s="7" t="str">
        <f>HYPERLINK("E:\附赠：Excel模板\Excel实战技巧精粹：Excel模板大全1000例\路网建设报表.xls","路网建设报表.xls")</f>
        <v>路网建设报表.xls</v>
      </c>
      <c r="Q1113">
        <v>0.1</v>
      </c>
      <c r="R1113" s="7" t="str">
        <f t="shared" si="21"/>
        <v>E:\附赠：Excel模板\Excel实战技巧精粹：Excel模板大全1000例</v>
      </c>
      <c r="S1113" s="9">
        <v>43600.3821412037</v>
      </c>
      <c r="T1113" s="9">
        <v>43390.5141203704</v>
      </c>
    </row>
    <row r="1114" spans="14:20">
      <c r="N1114" s="7" t="str">
        <f>HYPERLINK("E:\附赠：Excel模板\Excel实战技巧精粹：Excel模板大全1000例\车辆、设备类资产情况明细表.xls","车辆、设备类资产情况明细表.xls")</f>
        <v>车辆、设备类资产情况明细表.xls</v>
      </c>
      <c r="Q1114">
        <v>0.01</v>
      </c>
      <c r="R1114" s="7" t="str">
        <f t="shared" si="21"/>
        <v>E:\附赠：Excel模板\Excel实战技巧精粹：Excel模板大全1000例</v>
      </c>
      <c r="S1114" s="9">
        <v>43600.3821412037</v>
      </c>
      <c r="T1114" s="9">
        <v>43390.5145833333</v>
      </c>
    </row>
    <row r="1115" spans="14:20">
      <c r="N1115" s="7" t="str">
        <f>HYPERLINK("E:\附赠：Excel模板\Excel实战技巧精粹：Excel模板大全1000例\轮渡码头客运航班公告.xls","轮渡码头客运航班公告.xls")</f>
        <v>轮渡码头客运航班公告.xls</v>
      </c>
      <c r="Q1115">
        <v>0.01</v>
      </c>
      <c r="R1115" s="7" t="str">
        <f t="shared" si="21"/>
        <v>E:\附赠：Excel模板\Excel实战技巧精粹：Excel模板大全1000例</v>
      </c>
      <c r="S1115" s="9">
        <v>43600.3821412037</v>
      </c>
      <c r="T1115" s="9">
        <v>43390.5140972222</v>
      </c>
    </row>
    <row r="1116" spans="14:20">
      <c r="N1116" s="7" t="str">
        <f>HYPERLINK("E:\附赠：Excel模板\Excel实战技巧精粹：Excel模板大全1000例\运输主要统计指标年报.xls","运输主要统计指标年报.xls")</f>
        <v>运输主要统计指标年报.xls</v>
      </c>
      <c r="Q1116">
        <v>0.02</v>
      </c>
      <c r="R1116" s="7" t="str">
        <f t="shared" si="21"/>
        <v>E:\附赠：Excel模板\Excel实战技巧精粹：Excel模板大全1000例</v>
      </c>
      <c r="S1116" s="9">
        <v>43600.3821412037</v>
      </c>
      <c r="T1116" s="9">
        <v>43390.5134953704</v>
      </c>
    </row>
    <row r="1117" spans="14:20">
      <c r="N1117" s="7" t="str">
        <f>HYPERLINK("E:\附赠：Excel模板\Excel实战技巧精粹：Excel模板大全1000例\近三年选用教材情况一览表.xls","近三年选用教材情况一览表.xls")</f>
        <v>近三年选用教材情况一览表.xls</v>
      </c>
      <c r="Q1117">
        <v>0.02</v>
      </c>
      <c r="R1117" s="7" t="str">
        <f t="shared" si="21"/>
        <v>E:\附赠：Excel模板\Excel实战技巧精粹：Excel模板大全1000例</v>
      </c>
      <c r="S1117" s="9">
        <v>43600.3821412037</v>
      </c>
      <c r="T1117" s="9">
        <v>43390.514212963</v>
      </c>
    </row>
    <row r="1118" spans="14:20">
      <c r="N1118" s="7" t="str">
        <f>HYPERLINK("E:\附赠：Excel模板\Excel实战技巧精粹：Excel模板大全1000例\进出口商品网上交易会申请表.xls","进出口商品网上交易会申请表.xls")</f>
        <v>进出口商品网上交易会申请表.xls</v>
      </c>
      <c r="Q1118">
        <v>0.02</v>
      </c>
      <c r="R1118" s="7" t="str">
        <f t="shared" si="21"/>
        <v>E:\附赠：Excel模板\Excel实战技巧精粹：Excel模板大全1000例</v>
      </c>
      <c r="S1118" s="9">
        <v>43600.3821412037</v>
      </c>
      <c r="T1118" s="9">
        <v>43390.514212963</v>
      </c>
    </row>
    <row r="1119" spans="14:20">
      <c r="N1119" s="7" t="str">
        <f>HYPERLINK("E:\附赠：Excel模板\Excel实战技巧精粹：Excel模板大全1000例\进货销货通知.xls","进货销货通知.xls")</f>
        <v>进货销货通知.xls</v>
      </c>
      <c r="Q1119">
        <v>0.02</v>
      </c>
      <c r="R1119" s="7" t="str">
        <f t="shared" si="21"/>
        <v>E:\附赠：Excel模板\Excel实战技巧精粹：Excel模板大全1000例</v>
      </c>
      <c r="S1119" s="9">
        <v>43600.3821412037</v>
      </c>
      <c r="T1119" s="9">
        <v>43390.514212963</v>
      </c>
    </row>
    <row r="1120" spans="14:20">
      <c r="N1120" s="7" t="str">
        <f>HYPERLINK("E:\附赠：Excel模板\Excel实战技巧精粹：Excel模板大全1000例\违纪情况统计表.xls","违纪情况统计表.xls")</f>
        <v>违纪情况统计表.xls</v>
      </c>
      <c r="Q1120">
        <v>0.02</v>
      </c>
      <c r="R1120" s="7" t="str">
        <f t="shared" si="21"/>
        <v>E:\附赠：Excel模板\Excel实战技巧精粹：Excel模板大全1000例</v>
      </c>
      <c r="S1120" s="9">
        <v>43600.3821412037</v>
      </c>
      <c r="T1120" s="9">
        <v>43390.5137731481</v>
      </c>
    </row>
    <row r="1121" spans="14:20">
      <c r="N1121" s="7" t="str">
        <f>HYPERLINK("E:\附赠：Excel模板\Excel实战技巧精粹：Excel模板大全1000例\退赔外汇.xls","退赔外汇.xls")</f>
        <v>退赔外汇.xls</v>
      </c>
      <c r="Q1121">
        <v>0.02</v>
      </c>
      <c r="R1121" s="7" t="str">
        <f t="shared" si="21"/>
        <v>E:\附赠：Excel模板\Excel实战技巧精粹：Excel模板大全1000例</v>
      </c>
      <c r="S1121" s="9">
        <v>43600.3821412037</v>
      </c>
      <c r="T1121" s="9">
        <v>43390.5137962963</v>
      </c>
    </row>
    <row r="1122" spans="14:20">
      <c r="N1122" s="7" t="str">
        <f>HYPERLINK("E:\附赠：Excel模板\Excel实战技巧精粹：Excel模板大全1000例\选用外文原版教材一览表.xls","选用外文原版教材一览表.xls")</f>
        <v>选用外文原版教材一览表.xls</v>
      </c>
      <c r="Q1122">
        <v>0.02</v>
      </c>
      <c r="R1122" s="7" t="str">
        <f t="shared" si="21"/>
        <v>E:\附赠：Excel模板\Excel实战技巧精粹：Excel模板大全1000例</v>
      </c>
      <c r="S1122" s="9">
        <v>43600.3821412037</v>
      </c>
      <c r="T1122" s="9">
        <v>43390.5136574074</v>
      </c>
    </row>
    <row r="1123" spans="14:20">
      <c r="N1123" s="7" t="str">
        <f>HYPERLINK("E:\附赠：Excel模板\Excel实战技巧精粹：Excel模板大全1000例\道路养护投资情况年报.xls","道路养护投资情况年报.xls")</f>
        <v>道路养护投资情况年报.xls</v>
      </c>
      <c r="Q1123">
        <v>0.02</v>
      </c>
      <c r="R1123" s="7" t="str">
        <f t="shared" si="21"/>
        <v>E:\附赠：Excel模板\Excel实战技巧精粹：Excel模板大全1000例</v>
      </c>
      <c r="S1123" s="9">
        <v>43600.3821412037</v>
      </c>
      <c r="T1123" s="9">
        <v>43390.5144907407</v>
      </c>
    </row>
    <row r="1124" spans="14:20">
      <c r="N1124" s="7" t="str">
        <f>HYPERLINK("E:\附赠：Excel模板\Excel实战技巧精粹：Excel模板大全1000例\邮政电信企业补充指标表.xls","邮政电信企业补充指标表.xls")</f>
        <v>邮政电信企业补充指标表.xls</v>
      </c>
      <c r="Q1124">
        <v>0.02</v>
      </c>
      <c r="R1124" s="7" t="str">
        <f t="shared" si="21"/>
        <v>E:\附赠：Excel模板\Excel实战技巧精粹：Excel模板大全1000例</v>
      </c>
      <c r="S1124" s="9">
        <v>43600.3821412037</v>
      </c>
      <c r="T1124" s="9">
        <v>43390.5135185185</v>
      </c>
    </row>
    <row r="1125" spans="14:20">
      <c r="N1125" s="7" t="str">
        <f>HYPERLINK("E:\附赠：Excel模板\Excel实战技巧精粹：Excel模板大全1000例\部直属企事业单位情况统计表.xls","部直属企事业单位情况统计表.xls")</f>
        <v>部直属企事业单位情况统计表.xls</v>
      </c>
      <c r="Q1125">
        <v>0.02</v>
      </c>
      <c r="R1125" s="7" t="str">
        <f t="shared" si="21"/>
        <v>E:\附赠：Excel模板\Excel实战技巧精粹：Excel模板大全1000例</v>
      </c>
      <c r="S1125" s="9">
        <v>43600.3821412037</v>
      </c>
      <c r="T1125" s="9">
        <v>43390.5146527778</v>
      </c>
    </row>
    <row r="1126" spans="14:20">
      <c r="N1126" s="7" t="str">
        <f>HYPERLINK("E:\附赠：Excel模板\Excel实战技巧精粹：Excel模板大全1000例\部门包干经费预算安排汇总表.xls","部门包干经费预算安排汇总表.xls")</f>
        <v>部门包干经费预算安排汇总表.xls</v>
      </c>
      <c r="Q1126">
        <v>0.03</v>
      </c>
      <c r="R1126" s="7" t="str">
        <f t="shared" si="21"/>
        <v>E:\附赠：Excel模板\Excel实战技巧精粹：Excel模板大全1000例</v>
      </c>
      <c r="S1126" s="9">
        <v>43600.3821412037</v>
      </c>
      <c r="T1126" s="9">
        <v>43390.5146759259</v>
      </c>
    </row>
    <row r="1127" spans="14:20">
      <c r="N1127" s="7" t="str">
        <f>HYPERLINK("E:\附赠：Excel模板\Excel实战技巧精粹：Excel模板大全1000例\部门日报表.xls","部门日报表.xls")</f>
        <v>部门日报表.xls</v>
      </c>
      <c r="Q1127">
        <v>0.01</v>
      </c>
      <c r="R1127" s="7" t="str">
        <f t="shared" si="21"/>
        <v>E:\附赠：Excel模板\Excel实战技巧精粹：Excel模板大全1000例</v>
      </c>
      <c r="S1127" s="9">
        <v>43600.3821412037</v>
      </c>
      <c r="T1127" s="9">
        <v>43390.5146759259</v>
      </c>
    </row>
    <row r="1128" spans="14:20">
      <c r="N1128" s="7" t="str">
        <f>HYPERLINK("E:\附赠：Excel模板\Excel实战技巧精粹：Excel模板大全1000例\部门电话分布一览表.xls","部门电话分布一览表.xls")</f>
        <v>部门电话分布一览表.xls</v>
      </c>
      <c r="Q1128">
        <v>0.03</v>
      </c>
      <c r="R1128" s="7" t="str">
        <f t="shared" si="21"/>
        <v>E:\附赠：Excel模板\Excel实战技巧精粹：Excel模板大全1000例</v>
      </c>
      <c r="S1128" s="9">
        <v>43600.3821412037</v>
      </c>
      <c r="T1128" s="9">
        <v>43390.5146759259</v>
      </c>
    </row>
    <row r="1129" spans="14:20">
      <c r="N1129" s="7" t="str">
        <f>HYPERLINK("E:\附赠：Excel模板\Excel实战技巧精粹：Excel模板大全1000例\部门预算单位非税收入资金管理台账.xls","部门预算单位非税收入资金管理台账.xls")</f>
        <v>部门预算单位非税收入资金管理台账.xls</v>
      </c>
      <c r="Q1129">
        <v>0.02</v>
      </c>
      <c r="R1129" s="7" t="str">
        <f t="shared" si="21"/>
        <v>E:\附赠：Excel模板\Excel实战技巧精粹：Excel模板大全1000例</v>
      </c>
      <c r="S1129" s="9">
        <v>43600.3821412037</v>
      </c>
      <c r="T1129" s="9">
        <v>43390.5146527778</v>
      </c>
    </row>
    <row r="1130" spans="14:20">
      <c r="N1130" s="7" t="str">
        <f>HYPERLINK("E:\附赠：Excel模板\Excel实战技巧精粹：Excel模板大全1000例\部门（单位）票据领用情况表.xls","部门（单位）票据领用情况表.xls")</f>
        <v>部门（单位）票据领用情况表.xls</v>
      </c>
      <c r="Q1130">
        <v>0.02</v>
      </c>
      <c r="R1130" s="7" t="str">
        <f t="shared" si="21"/>
        <v>E:\附赠：Excel模板\Excel实战技巧精粹：Excel模板大全1000例</v>
      </c>
      <c r="S1130" s="9">
        <v>43600.3821412037</v>
      </c>
      <c r="T1130" s="9">
        <v>43390.5146759259</v>
      </c>
    </row>
    <row r="1131" spans="14:20">
      <c r="N1131" s="7" t="str">
        <f>HYPERLINK("E:\附赠：Excel模板\Excel实战技巧精粹：Excel模板大全1000例\采购.xls","采购.xls")</f>
        <v>采购.xls</v>
      </c>
      <c r="Q1131">
        <v>0.03</v>
      </c>
      <c r="R1131" s="7" t="str">
        <f t="shared" si="21"/>
        <v>E:\附赠：Excel模板\Excel实战技巧精粹：Excel模板大全1000例</v>
      </c>
      <c r="S1131" s="9">
        <v>43600.3821412037</v>
      </c>
      <c r="T1131" s="9">
        <v>43390.5146064815</v>
      </c>
    </row>
    <row r="1132" spans="14:20">
      <c r="N1132" s="7" t="str">
        <f>HYPERLINK("E:\附赠：Excel模板\Excel实战技巧精粹：Excel模板大全1000例\采购报表.xls","采购报表.xls")</f>
        <v>采购报表.xls</v>
      </c>
      <c r="Q1132">
        <v>0.03</v>
      </c>
      <c r="R1132" s="7" t="str">
        <f t="shared" si="21"/>
        <v>E:\附赠：Excel模板\Excel实战技巧精粹：Excel模板大全1000例</v>
      </c>
      <c r="S1132" s="9">
        <v>43600.3821412037</v>
      </c>
      <c r="T1132" s="9">
        <v>43390.5146064815</v>
      </c>
    </row>
    <row r="1133" spans="14:20">
      <c r="N1133" s="7" t="str">
        <f>HYPERLINK("E:\附赠：Excel模板\Excel实战技巧精粹：Excel模板大全1000例\采购目录及采购限额标准和公开招标数额表.xls","采购目录及采购限额标准和公开招标数额表.xls")</f>
        <v>采购目录及采购限额标准和公开招标数额表.xls</v>
      </c>
      <c r="Q1133">
        <v>0.03</v>
      </c>
      <c r="R1133" s="7" t="str">
        <f t="shared" si="21"/>
        <v>E:\附赠：Excel模板\Excel实战技巧精粹：Excel模板大全1000例</v>
      </c>
      <c r="S1133" s="9">
        <v>43600.3821412037</v>
      </c>
      <c r="T1133" s="9">
        <v>43390.5146296296</v>
      </c>
    </row>
    <row r="1134" spans="14:20">
      <c r="N1134" s="7" t="str">
        <f>HYPERLINK("E:\附赠：Excel模板\Excel实战技巧精粹：Excel模板大全1000例\重点建设学科“软件”投入与执行情况验收表.xls","重点建设学科“软件”投入与执行情况验收表.xls")</f>
        <v>重点建设学科“软件”投入与执行情况验收表.xls</v>
      </c>
      <c r="Q1134">
        <v>0.02</v>
      </c>
      <c r="R1134" s="7" t="str">
        <f t="shared" si="21"/>
        <v>E:\附赠：Excel模板\Excel实战技巧精粹：Excel模板大全1000例</v>
      </c>
      <c r="S1134" s="9">
        <v>43600.3821412037</v>
      </c>
      <c r="T1134" s="9">
        <v>43390.5134259259</v>
      </c>
    </row>
    <row r="1135" spans="14:20">
      <c r="N1135" s="7" t="str">
        <f>HYPERLINK("E:\附赠：Excel模板\Excel实战技巧精粹：Excel模板大全1000例\重点建设教材申报选题表.xls","重点建设教材申报选题表.xls")</f>
        <v>重点建设教材申报选题表.xls</v>
      </c>
      <c r="Q1135">
        <v>0.02</v>
      </c>
      <c r="R1135" s="7" t="str">
        <f t="shared" si="21"/>
        <v>E:\附赠：Excel模板\Excel实战技巧精粹：Excel模板大全1000例</v>
      </c>
      <c r="S1135" s="9">
        <v>43600.3821412037</v>
      </c>
      <c r="T1135" s="9">
        <v>43390.5134259259</v>
      </c>
    </row>
    <row r="1136" spans="14:20">
      <c r="N1136" s="7" t="str">
        <f>HYPERLINK("E:\附赠：Excel模板\Excel实战技巧精粹：Excel模板大全1000例\金融业中英文对照.xls","金融业中英文对照.xls")</f>
        <v>金融业中英文对照.xls</v>
      </c>
      <c r="Q1136">
        <v>0.03</v>
      </c>
      <c r="R1136" s="7" t="str">
        <f t="shared" si="21"/>
        <v>E:\附赠：Excel模板\Excel实战技巧精粹：Excel模板大全1000例</v>
      </c>
      <c r="S1136" s="9">
        <v>43600.3821412037</v>
      </c>
      <c r="T1136" s="9">
        <v>43390.514212963</v>
      </c>
    </row>
    <row r="1137" spans="14:20">
      <c r="N1137" s="7" t="str">
        <f>HYPERLINK("E:\附赠：Excel模板\Excel实战技巧精粹：Excel模板大全1000例\金融机构甄别可疑外汇资金交易报告表.xls","金融机构甄别可疑外汇资金交易报告表.xls")</f>
        <v>金融机构甄别可疑外汇资金交易报告表.xls</v>
      </c>
      <c r="Q1137">
        <v>0.02</v>
      </c>
      <c r="R1137" s="7" t="str">
        <f t="shared" si="21"/>
        <v>E:\附赠：Excel模板\Excel实战技巧精粹：Excel模板大全1000例</v>
      </c>
      <c r="S1137" s="9">
        <v>43600.3821527778</v>
      </c>
      <c r="T1137" s="9">
        <v>43390.514212963</v>
      </c>
    </row>
    <row r="1138" spans="14:20">
      <c r="N1138" s="7" t="str">
        <f>HYPERLINK("E:\附赠：Excel模板\Excel实战技巧精粹：Excel模板大全1000例\金融系统行业标准一览表.xls","金融系统行业标准一览表.xls")</f>
        <v>金融系统行业标准一览表.xls</v>
      </c>
      <c r="Q1138">
        <v>0.01</v>
      </c>
      <c r="R1138" s="7" t="str">
        <f t="shared" si="21"/>
        <v>E:\附赠：Excel模板\Excel实战技巧精粹：Excel模板大全1000例</v>
      </c>
      <c r="S1138" s="9">
        <v>43600.3821527778</v>
      </c>
      <c r="T1138" s="9">
        <v>43390.514212963</v>
      </c>
    </row>
    <row r="1139" spans="14:20">
      <c r="N1139" s="7" t="str">
        <f>HYPERLINK("E:\附赠：Excel模板\Excel实战技巧精粹：Excel模板大全1000例\铁路运输主要财务指标.xls","铁路运输主要财务指标.xls")</f>
        <v>铁路运输主要财务指标.xls</v>
      </c>
      <c r="Q1139">
        <v>0.02</v>
      </c>
      <c r="R1139" s="7" t="str">
        <f t="shared" si="21"/>
        <v>E:\附赠：Excel模板\Excel实战技巧精粹：Excel模板大全1000例</v>
      </c>
      <c r="S1139" s="9">
        <v>43600.3821527778</v>
      </c>
      <c r="T1139" s="9">
        <v>43390.5137962963</v>
      </c>
    </row>
    <row r="1140" spans="14:20">
      <c r="N1140" s="7" t="str">
        <f>HYPERLINK("E:\附赠：Excel模板\Excel实战技巧精粹：Excel模板大全1000例\铁路运输企业补充指标表.xls","铁路运输企业补充指标表.xls")</f>
        <v>铁路运输企业补充指标表.xls</v>
      </c>
      <c r="Q1140">
        <v>0.02</v>
      </c>
      <c r="R1140" s="7" t="str">
        <f t="shared" si="21"/>
        <v>E:\附赠：Excel模板\Excel实战技巧精粹：Excel模板大全1000例</v>
      </c>
      <c r="S1140" s="9">
        <v>43600.3821527778</v>
      </c>
      <c r="T1140" s="9">
        <v>43390.5137962963</v>
      </c>
    </row>
    <row r="1141" spans="14:20">
      <c r="N1141" s="7" t="str">
        <f>HYPERLINK("E:\附赠：Excel模板\Excel实战技巧精粹：Excel模板大全1000例\银行助学贷款申请审批表.xls","银行助学贷款申请审批表.xls")</f>
        <v>银行助学贷款申请审批表.xls</v>
      </c>
      <c r="Q1141">
        <v>0.03</v>
      </c>
      <c r="R1141" s="7" t="str">
        <f t="shared" si="21"/>
        <v>E:\附赠：Excel模板\Excel实战技巧精粹：Excel模板大全1000例</v>
      </c>
      <c r="S1141" s="9">
        <v>43600.3821527778</v>
      </c>
      <c r="T1141" s="9">
        <v>43390.5135185185</v>
      </c>
    </row>
    <row r="1142" spans="14:20">
      <c r="N1142" s="7" t="str">
        <f>HYPERLINK("E:\附赠：Excel模板\Excel实战技巧精粹：Excel模板大全1000例\银行及其他金融机构利润费用表.xls","银行及其他金融机构利润费用表.xls")</f>
        <v>银行及其他金融机构利润费用表.xls</v>
      </c>
      <c r="Q1142">
        <v>0.02</v>
      </c>
      <c r="R1142" s="7" t="str">
        <f t="shared" si="21"/>
        <v>E:\附赠：Excel模板\Excel实战技巧精粹：Excel模板大全1000例</v>
      </c>
      <c r="S1142" s="9">
        <v>43600.3821527778</v>
      </c>
      <c r="T1142" s="9">
        <v>43390.5135185185</v>
      </c>
    </row>
    <row r="1143" spans="14:20">
      <c r="N1143" s="7" t="str">
        <f>HYPERLINK("E:\附赠：Excel模板\Excel实战技巧精粹：Excel模板大全1000例\银行及其他金融机构资产负债表.xls","银行及其他金融机构资产负债表.xls")</f>
        <v>银行及其他金融机构资产负债表.xls</v>
      </c>
      <c r="Q1143">
        <v>0.02</v>
      </c>
      <c r="R1143" s="7" t="str">
        <f t="shared" si="21"/>
        <v>E:\附赠：Excel模板\Excel实战技巧精粹：Excel模板大全1000例</v>
      </c>
      <c r="S1143" s="9">
        <v>43600.3821527778</v>
      </c>
      <c r="T1143" s="9">
        <v>43390.5135416667</v>
      </c>
    </row>
    <row r="1144" spans="14:20">
      <c r="N1144" s="7" t="str">
        <f>HYPERLINK("E:\附赠：Excel模板\Excel实战技巧精粹：Excel模板大全1000例\销售报表.xls","销售报表.xls")</f>
        <v>销售报表.xls</v>
      </c>
      <c r="Q1144">
        <v>0.06</v>
      </c>
      <c r="R1144" s="7" t="str">
        <f t="shared" si="21"/>
        <v>E:\附赠：Excel模板\Excel实战技巧精粹：Excel模板大全1000例</v>
      </c>
      <c r="S1144" s="9">
        <v>43600.3821527778</v>
      </c>
      <c r="T1144" s="9">
        <v>43390.5136805556</v>
      </c>
    </row>
    <row r="1145" spans="14:20">
      <c r="N1145" s="7" t="str">
        <f>HYPERLINK("E:\附赠：Excel模板\Excel实战技巧精粹：Excel模板大全1000例\镇(街道、区)主要经济指标考核基础表.xls","镇(街道、区)主要经济指标考核基础表.xls")</f>
        <v>镇(街道、区)主要经济指标考核基础表.xls</v>
      </c>
      <c r="Q1145">
        <v>0.05</v>
      </c>
      <c r="R1145" s="7" t="str">
        <f t="shared" si="21"/>
        <v>E:\附赠：Excel模板\Excel实战技巧精粹：Excel模板大全1000例</v>
      </c>
      <c r="S1145" s="9">
        <v>43600.3821527778</v>
      </c>
      <c r="T1145" s="9">
        <v>43390.5134953704</v>
      </c>
    </row>
    <row r="1146" spans="14:20">
      <c r="N1146" s="7" t="str">
        <f>HYPERLINK("E:\附赠：Excel模板\Excel实战技巧精粹：Excel模板大全1000例\长期投资明细表.xls","长期投资明细表.xls")</f>
        <v>长期投资明细表.xls</v>
      </c>
      <c r="Q1146">
        <v>0.02</v>
      </c>
      <c r="R1146" s="7" t="str">
        <f t="shared" si="21"/>
        <v>E:\附赠：Excel模板\Excel实战技巧精粹：Excel模板大全1000例</v>
      </c>
      <c r="S1146" s="9">
        <v>43600.3821527778</v>
      </c>
      <c r="T1146" s="9">
        <v>43390.5146296296</v>
      </c>
    </row>
    <row r="1147" spans="14:20">
      <c r="N1147" s="7" t="str">
        <f>HYPERLINK("E:\附赠：Excel模板\Excel实战技巧精粹：Excel模板大全1000例\限额以上批发贸易业财务状况和经济效益.xls","限额以上批发贸易业财务状况和经济效益.xls")</f>
        <v>限额以上批发贸易业财务状况和经济效益.xls</v>
      </c>
      <c r="Q1147">
        <v>0.04</v>
      </c>
      <c r="R1147" s="7" t="str">
        <f t="shared" si="21"/>
        <v>E:\附赠：Excel模板\Excel实战技巧精粹：Excel模板大全1000例</v>
      </c>
      <c r="S1147" s="9">
        <v>43600.3821527778</v>
      </c>
      <c r="T1147" s="9">
        <v>43390.5137268519</v>
      </c>
    </row>
    <row r="1148" spans="14:20">
      <c r="N1148" s="7" t="str">
        <f>HYPERLINK("E:\附赠：Excel模板\Excel实战技巧精粹：Excel模板大全1000例\限额以上餐饮企业主要财务指标.xls","限额以上餐饮企业主要财务指标.xls")</f>
        <v>限额以上餐饮企业主要财务指标.xls</v>
      </c>
      <c r="Q1148">
        <v>0.03</v>
      </c>
      <c r="R1148" s="7" t="str">
        <f t="shared" si="21"/>
        <v>E:\附赠：Excel模板\Excel实战技巧精粹：Excel模板大全1000例</v>
      </c>
      <c r="S1148" s="9">
        <v>43600.3821527778</v>
      </c>
      <c r="T1148" s="9">
        <v>43390.5137268519</v>
      </c>
    </row>
    <row r="1149" spans="14:20">
      <c r="N1149" s="7" t="str">
        <f>HYPERLINK("E:\附赠：Excel模板\Excel实战技巧精粹：Excel模板大全1000例\限额以上餐饮企业主要财务指标情况.xls","限额以上餐饮企业主要财务指标情况.xls")</f>
        <v>限额以上餐饮企业主要财务指标情况.xls</v>
      </c>
      <c r="Q1149">
        <v>0.03</v>
      </c>
      <c r="R1149" s="7" t="str">
        <f t="shared" si="21"/>
        <v>E:\附赠：Excel模板\Excel实战技巧精粹：Excel模板大全1000例</v>
      </c>
      <c r="S1149" s="9">
        <v>43600.3821527778</v>
      </c>
      <c r="T1149" s="9">
        <v>43390.5137268519</v>
      </c>
    </row>
    <row r="1150" spans="14:20">
      <c r="N1150" s="7" t="str">
        <f>HYPERLINK("E:\附赠：Excel模板\Excel实战技巧精粹：Excel模板大全1000例\集团应届大学生招生需求总汇表.xls","集团应届大学生招生需求总汇表.xls")</f>
        <v>集团应届大学生招生需求总汇表.xls</v>
      </c>
      <c r="Q1150">
        <v>0.02</v>
      </c>
      <c r="R1150" s="7" t="str">
        <f t="shared" si="21"/>
        <v>E:\附赠：Excel模板\Excel实战技巧精粹：Excel模板大全1000例</v>
      </c>
      <c r="S1150" s="9">
        <v>43600.3821527778</v>
      </c>
      <c r="T1150" s="9">
        <v>43390.5142824074</v>
      </c>
    </row>
    <row r="1151" spans="14:20">
      <c r="N1151" s="7" t="str">
        <f>HYPERLINK("E:\附赠：Excel模板\Excel实战技巧精粹：Excel模板大全1000例\非保证类房贷险业务统计表.xls","非保证类房贷险业务统计表.xls")</f>
        <v>非保证类房贷险业务统计表.xls</v>
      </c>
      <c r="Q1151">
        <v>0.02</v>
      </c>
      <c r="R1151" s="7" t="str">
        <f t="shared" si="21"/>
        <v>E:\附赠：Excel模板\Excel实战技巧精粹：Excel模板大全1000例</v>
      </c>
      <c r="S1151" s="9">
        <v>43600.3821527778</v>
      </c>
      <c r="T1151" s="9">
        <v>43390.5144444444</v>
      </c>
    </row>
    <row r="1152" spans="14:20">
      <c r="N1152" s="7" t="str">
        <f>HYPERLINK("E:\附赠：Excel模板\Excel实战技巧精粹：Excel模板大全1000例\非经营费用明细表.xls","非经营费用明细表.xls")</f>
        <v>非经营费用明细表.xls</v>
      </c>
      <c r="Q1152">
        <v>0.02</v>
      </c>
      <c r="R1152" s="7" t="str">
        <f t="shared" si="21"/>
        <v>E:\附赠：Excel模板\Excel实战技巧精粹：Excel模板大全1000例</v>
      </c>
      <c r="S1152" s="9">
        <v>43600.3821527778</v>
      </c>
      <c r="T1152" s="9">
        <v>43390.5144444444</v>
      </c>
    </row>
    <row r="1153" spans="14:20">
      <c r="N1153" s="7" t="str">
        <f>HYPERLINK("E:\附赠：Excel模板\Excel实战技巧精粹：Excel模板大全1000例\面向社会公开招考国家公务员计划申报表.xls","面向社会公开招考国家公务员计划申报表.xls")</f>
        <v>面向社会公开招考国家公务员计划申报表.xls</v>
      </c>
      <c r="Q1153">
        <v>0.02</v>
      </c>
      <c r="R1153" s="7" t="str">
        <f t="shared" si="21"/>
        <v>E:\附赠：Excel模板\Excel实战技巧精粹：Excel模板大全1000例</v>
      </c>
      <c r="S1153" s="9">
        <v>43600.3821527778</v>
      </c>
      <c r="T1153" s="9">
        <v>43390.5140972222</v>
      </c>
    </row>
    <row r="1154" spans="14:20">
      <c r="N1154" s="7" t="str">
        <f>HYPERLINK("E:\附赠：Excel模板\Excel实战技巧精粹：Excel模板大全1000例\项目依托单位及管理员名录.xls","项目依托单位及管理员名录.xls")</f>
        <v>项目依托单位及管理员名录.xls</v>
      </c>
      <c r="Q1154">
        <v>0.02</v>
      </c>
      <c r="R1154" s="7" t="str">
        <f t="shared" si="21"/>
        <v>E:\附赠：Excel模板\Excel实战技巧精粹：Excel模板大全1000例</v>
      </c>
      <c r="S1154" s="9">
        <v>43600.3821527778</v>
      </c>
      <c r="T1154" s="9">
        <v>43390.5137037037</v>
      </c>
    </row>
    <row r="1155" spans="14:20">
      <c r="N1155" s="7" t="str">
        <f>HYPERLINK("E:\附赠：Excel模板\Excel实战技巧精粹：Excel模板大全1000例\项目基本情况表.xls","项目基本情况表.xls")</f>
        <v>项目基本情况表.xls</v>
      </c>
      <c r="Q1155">
        <v>0.02</v>
      </c>
      <c r="R1155" s="7" t="str">
        <f t="shared" si="21"/>
        <v>E:\附赠：Excel模板\Excel实战技巧精粹：Excel模板大全1000例</v>
      </c>
      <c r="S1155" s="9">
        <v>43600.3821527778</v>
      </c>
      <c r="T1155" s="9">
        <v>43390.5137037037</v>
      </c>
    </row>
    <row r="1156" spans="14:20">
      <c r="N1156" s="7" t="str">
        <f>HYPERLINK("E:\附赠：Excel模板\Excel实战技巧精粹：Excel模板大全1000例\项目工作量统计表.xls","项目工作量统计表.xls")</f>
        <v>项目工作量统计表.xls</v>
      </c>
      <c r="Q1156">
        <v>0.02</v>
      </c>
      <c r="R1156" s="7" t="str">
        <f t="shared" si="21"/>
        <v>E:\附赠：Excel模板\Excel实战技巧精粹：Excel模板大全1000例</v>
      </c>
      <c r="S1156" s="9">
        <v>43600.3821527778</v>
      </c>
      <c r="T1156" s="9">
        <v>43390.5137037037</v>
      </c>
    </row>
    <row r="1157" spans="14:20">
      <c r="N1157" s="7" t="str">
        <f>HYPERLINK("E:\附赠：Excel模板\Excel实战技巧精粹：Excel模板大全1000例\项目投资现金流量表.xls","项目投资现金流量表.xls")</f>
        <v>项目投资现金流量表.xls</v>
      </c>
      <c r="Q1157">
        <v>0.01</v>
      </c>
      <c r="R1157" s="7" t="str">
        <f t="shared" si="21"/>
        <v>E:\附赠：Excel模板\Excel实战技巧精粹：Excel模板大全1000例</v>
      </c>
      <c r="S1157" s="9">
        <v>43600.3821527778</v>
      </c>
      <c r="T1157" s="9">
        <v>43390.5137037037</v>
      </c>
    </row>
    <row r="1158" spans="14:20">
      <c r="N1158" s="7" t="str">
        <f>HYPERLINK("E:\附赠：Excel模板\Excel实战技巧精粹：Excel模板大全1000例\项目损益表.xls","项目损益表.xls")</f>
        <v>项目损益表.xls</v>
      </c>
      <c r="Q1158">
        <v>0.01</v>
      </c>
      <c r="R1158" s="7" t="str">
        <f t="shared" si="21"/>
        <v>E:\附赠：Excel模板\Excel实战技巧精粹：Excel模板大全1000例</v>
      </c>
      <c r="S1158" s="9">
        <v>43600.3821527778</v>
      </c>
      <c r="T1158" s="9">
        <v>43390.5137037037</v>
      </c>
    </row>
    <row r="1159" spans="14:20">
      <c r="N1159" s="7" t="str">
        <f>HYPERLINK("E:\附赠：Excel模板\Excel实战技巧精粹：Excel模板大全1000例\项目支出预算情况表.xls","项目支出预算情况表.xls")</f>
        <v>项目支出预算情况表.xls</v>
      </c>
      <c r="Q1159">
        <v>0.02</v>
      </c>
      <c r="R1159" s="7" t="str">
        <f t="shared" si="21"/>
        <v>E:\附赠：Excel模板\Excel实战技巧精粹：Excel模板大全1000例</v>
      </c>
      <c r="S1159" s="9">
        <v>43600.3821527778</v>
      </c>
      <c r="T1159" s="9">
        <v>43390.5137037037</v>
      </c>
    </row>
    <row r="1160" spans="14:20">
      <c r="N1160" s="7" t="str">
        <f>HYPERLINK("E:\附赠：Excel模板\Excel实战技巧精粹：Excel模板大全1000例\项目支出预算明细表.xls","项目支出预算明细表.xls")</f>
        <v>项目支出预算明细表.xls</v>
      </c>
      <c r="Q1160">
        <v>0.02</v>
      </c>
      <c r="R1160" s="7" t="str">
        <f t="shared" si="21"/>
        <v>E:\附赠：Excel模板\Excel实战技巧精粹：Excel模板大全1000例</v>
      </c>
      <c r="S1160" s="9">
        <v>43600.3821527778</v>
      </c>
      <c r="T1160" s="9">
        <v>43390.5137037037</v>
      </c>
    </row>
    <row r="1161" spans="14:20">
      <c r="N1161" s="7" t="str">
        <f>HYPERLINK("E:\附赠：Excel模板\Excel实战技巧精粹：Excel模板大全1000例\项目支出预算申报说明书.xls","项目支出预算申报说明书.xls")</f>
        <v>项目支出预算申报说明书.xls</v>
      </c>
      <c r="Q1161">
        <v>0.01</v>
      </c>
      <c r="R1161" s="7" t="str">
        <f t="shared" si="21"/>
        <v>E:\附赠：Excel模板\Excel实战技巧精粹：Excel模板大全1000例</v>
      </c>
      <c r="S1161" s="9">
        <v>43600.3821527778</v>
      </c>
      <c r="T1161" s="9">
        <v>43390.5137037037</v>
      </c>
    </row>
    <row r="1162" spans="14:20">
      <c r="N1162" s="7" t="str">
        <f>HYPERLINK("E:\附赠：Excel模板\Excel实战技巧精粹：Excel模板大全1000例\项目数据汇总表.xls","项目数据汇总表.xls")</f>
        <v>项目数据汇总表.xls</v>
      </c>
      <c r="Q1162">
        <v>0.02</v>
      </c>
      <c r="R1162" s="7" t="str">
        <f t="shared" si="21"/>
        <v>E:\附赠：Excel模板\Excel实战技巧精粹：Excel模板大全1000例</v>
      </c>
      <c r="S1162" s="9">
        <v>43600.3821527778</v>
      </c>
      <c r="T1162" s="9">
        <v>43390.5137037037</v>
      </c>
    </row>
    <row r="1163" spans="14:20">
      <c r="N1163" s="7" t="str">
        <f>HYPERLINK("E:\附赠：Excel模板\Excel实战技巧精粹：Excel模板大全1000例\项目经费支出明细表.xls","项目经费支出明细表.xls")</f>
        <v>项目经费支出明细表.xls</v>
      </c>
      <c r="Q1163">
        <v>0.03</v>
      </c>
      <c r="R1163" s="7" t="str">
        <f t="shared" si="21"/>
        <v>E:\附赠：Excel模板\Excel实战技巧精粹：Excel模板大全1000例</v>
      </c>
      <c r="S1163" s="9">
        <v>43600.3821527778</v>
      </c>
      <c r="T1163" s="9">
        <v>43390.5137037037</v>
      </c>
    </row>
    <row r="1164" spans="14:20">
      <c r="N1164" s="7" t="str">
        <f>HYPERLINK("E:\附赠：Excel模板\Excel实战技巧精粹：Excel模板大全1000例\项目经费收入明细表.xls","项目经费收入明细表.xls")</f>
        <v>项目经费收入明细表.xls</v>
      </c>
      <c r="Q1164">
        <v>0.02</v>
      </c>
      <c r="R1164" s="7" t="str">
        <f t="shared" si="21"/>
        <v>E:\附赠：Excel模板\Excel实战技巧精粹：Excel模板大全1000例</v>
      </c>
      <c r="S1164" s="9">
        <v>43600.3821527778</v>
      </c>
      <c r="T1164" s="9">
        <v>43390.5137037037</v>
      </c>
    </row>
    <row r="1165" spans="14:20">
      <c r="N1165" s="7" t="str">
        <f>HYPERLINK("E:\附赠：Excel模板\Excel实战技巧精粹：Excel模板大全1000例\项目经费收支总表.xls","项目经费收支总表.xls")</f>
        <v>项目经费收支总表.xls</v>
      </c>
      <c r="Q1165">
        <v>0.02</v>
      </c>
      <c r="R1165" s="7" t="str">
        <f t="shared" si="21"/>
        <v>E:\附赠：Excel模板\Excel实战技巧精粹：Excel模板大全1000例</v>
      </c>
      <c r="S1165" s="9">
        <v>43600.3821527778</v>
      </c>
      <c r="T1165" s="9">
        <v>43390.5137037037</v>
      </c>
    </row>
    <row r="1166" spans="14:20">
      <c r="N1166" s="7" t="str">
        <f>HYPERLINK("E:\附赠：Excel模板\Excel实战技巧精粹：Excel模板大全1000例\项目经费预算及拨款计划.xls","项目经费预算及拨款计划.xls")</f>
        <v>项目经费预算及拨款计划.xls</v>
      </c>
      <c r="Q1166">
        <v>0.02</v>
      </c>
      <c r="R1166" s="7" t="str">
        <f t="shared" si="21"/>
        <v>E:\附赠：Excel模板\Excel实战技巧精粹：Excel模板大全1000例</v>
      </c>
      <c r="S1166" s="9">
        <v>43600.3821527778</v>
      </c>
      <c r="T1166" s="9">
        <v>43390.5137037037</v>
      </c>
    </row>
    <row r="1167" spans="14:20">
      <c r="N1167" s="7" t="str">
        <f>HYPERLINK("E:\附赠：Excel模板\Excel实战技巧精粹：Excel模板大全1000例\项目评审报告.xls","项目评审报告.xls")</f>
        <v>项目评审报告.xls</v>
      </c>
      <c r="Q1167">
        <v>0.03</v>
      </c>
      <c r="R1167" s="7" t="str">
        <f t="shared" si="21"/>
        <v>E:\附赠：Excel模板\Excel实战技巧精粹：Excel模板大全1000例</v>
      </c>
      <c r="S1167" s="9">
        <v>43600.3821527778</v>
      </c>
      <c r="T1167" s="9">
        <v>43390.5137037037</v>
      </c>
    </row>
    <row r="1168" spans="14:20">
      <c r="N1168" s="7" t="str">
        <f>HYPERLINK("E:\附赠：Excel模板\Excel实战技巧精粹：Excel模板大全1000例\项目负责人名单.xls","项目负责人名单.xls")</f>
        <v>项目负责人名单.xls</v>
      </c>
      <c r="Q1168">
        <v>0.03</v>
      </c>
      <c r="R1168" s="7" t="str">
        <f t="shared" si="21"/>
        <v>E:\附赠：Excel模板\Excel实战技巧精粹：Excel模板大全1000例</v>
      </c>
      <c r="S1168" s="9">
        <v>43600.3821527778</v>
      </c>
      <c r="T1168" s="9">
        <v>43390.5137268519</v>
      </c>
    </row>
    <row r="1169" spans="14:20">
      <c r="N1169" s="7" t="str">
        <f>HYPERLINK("E:\附赠：Excel模板\Excel实战技巧精粹：Excel模板大全1000例\项目进度表.xls","项目进度表.xls")</f>
        <v>项目进度表.xls</v>
      </c>
      <c r="Q1169">
        <v>0.02</v>
      </c>
      <c r="R1169" s="7" t="str">
        <f t="shared" si="21"/>
        <v>E:\附赠：Excel模板\Excel实战技巧精粹：Excel模板大全1000例</v>
      </c>
      <c r="S1169" s="9">
        <v>43600.3821527778</v>
      </c>
      <c r="T1169" s="9">
        <v>43390.5137037037</v>
      </c>
    </row>
    <row r="1170" spans="14:20">
      <c r="N1170" s="7" t="str">
        <f>HYPERLINK("E:\附赠：Excel模板\Excel实战技巧精粹：Excel模板大全1000例\项目进度表1.xls","项目进度表1.xls")</f>
        <v>项目进度表1.xls</v>
      </c>
      <c r="Q1170">
        <v>0.03</v>
      </c>
      <c r="R1170" s="7" t="str">
        <f t="shared" si="21"/>
        <v>E:\附赠：Excel模板\Excel实战技巧精粹：Excel模板大全1000例</v>
      </c>
      <c r="S1170" s="9">
        <v>43600.3821527778</v>
      </c>
      <c r="T1170" s="9">
        <v>43390.5137037037</v>
      </c>
    </row>
    <row r="1171" spans="14:20">
      <c r="N1171" s="7" t="str">
        <f>HYPERLINK("E:\附赠：Excel模板\Excel实战技巧精粹：Excel模板大全1000例\项目进度表2.xls","项目进度表2.xls")</f>
        <v>项目进度表2.xls</v>
      </c>
      <c r="Q1171">
        <v>0.02</v>
      </c>
      <c r="R1171" s="7" t="str">
        <f t="shared" si="21"/>
        <v>E:\附赠：Excel模板\Excel实战技巧精粹：Excel模板大全1000例</v>
      </c>
      <c r="S1171" s="9">
        <v>43600.3821527778</v>
      </c>
      <c r="T1171" s="9">
        <v>43390.5137037037</v>
      </c>
    </row>
    <row r="1172" spans="14:20">
      <c r="N1172" s="7" t="str">
        <f>HYPERLINK("E:\附赠：Excel模板\Excel实战技巧精粹：Excel模板大全1000例\预收、预付帐款明细表.xls","预收、预付帐款明细表.xls")</f>
        <v>预收、预付帐款明细表.xls</v>
      </c>
      <c r="Q1172">
        <v>0.02</v>
      </c>
      <c r="R1172" s="7" t="str">
        <f t="shared" si="21"/>
        <v>E:\附赠：Excel模板\Excel实战技巧精粹：Excel模板大全1000例</v>
      </c>
      <c r="S1172" s="9">
        <v>43600.3821527778</v>
      </c>
      <c r="T1172" s="9">
        <v>43390.5135185185</v>
      </c>
    </row>
    <row r="1173" spans="14:20">
      <c r="N1173" s="7" t="str">
        <f>HYPERLINK("E:\附赠：Excel模板\Excel实战技巧精粹：Excel模板大全1000例\预算内财政支付支出情况表.xls","预算内财政支付支出情况表.xls")</f>
        <v>预算内财政支付支出情况表.xls</v>
      </c>
      <c r="Q1173">
        <v>0.01</v>
      </c>
      <c r="R1173" s="7" t="str">
        <f t="shared" si="21"/>
        <v>E:\附赠：Excel模板\Excel实战技巧精粹：Excel模板大全1000例</v>
      </c>
      <c r="S1173" s="9">
        <v>43600.3821527778</v>
      </c>
      <c r="T1173" s="9">
        <v>43390.5134953704</v>
      </c>
    </row>
    <row r="1174" spans="14:20">
      <c r="N1174" s="7" t="str">
        <f>HYPERLINK("E:\附赠：Excel模板\Excel实战技巧精粹：Excel模板大全1000例\预算单位收入支出情况表.xls","预算单位收入支出情况表.xls")</f>
        <v>预算单位收入支出情况表.xls</v>
      </c>
      <c r="Q1174">
        <v>0.03</v>
      </c>
      <c r="R1174" s="7" t="str">
        <f t="shared" si="21"/>
        <v>E:\附赠：Excel模板\Excel实战技巧精粹：Excel模板大全1000例</v>
      </c>
      <c r="S1174" s="9">
        <v>43600.3821527778</v>
      </c>
      <c r="T1174" s="9">
        <v>43390.5134953704</v>
      </c>
    </row>
    <row r="1175" spans="14:20">
      <c r="N1175" s="7" t="str">
        <f>HYPERLINK("E:\附赠：Excel模板\Excel实战技巧精粹：Excel模板大全1000例\预算单位财政拨款收支情况表.xls","预算单位财政拨款收支情况表.xls")</f>
        <v>预算单位财政拨款收支情况表.xls</v>
      </c>
      <c r="Q1175">
        <v>0.02</v>
      </c>
      <c r="R1175" s="7" t="str">
        <f t="shared" ref="R1175:R1187" si="22">HYPERLINK("E:\附赠：Excel模板\Excel实战技巧精粹：Excel模板大全1000例","E:\附赠：Excel模板\Excel实战技巧精粹：Excel模板大全1000例")</f>
        <v>E:\附赠：Excel模板\Excel实战技巧精粹：Excel模板大全1000例</v>
      </c>
      <c r="S1175" s="9">
        <v>43600.3821527778</v>
      </c>
      <c r="T1175" s="9">
        <v>43390.5134953704</v>
      </c>
    </row>
    <row r="1176" spans="14:20">
      <c r="N1176" s="7" t="str">
        <f>HYPERLINK("E:\附赠：Excel模板\Excel实战技巧精粹：Excel模板大全1000例\预算单位（专项经费）财政直接支付申请书.xls","预算单位（专项经费）财政直接支付申请书.xls")</f>
        <v>预算单位（专项经费）财政直接支付申请书.xls</v>
      </c>
      <c r="Q1176">
        <v>0.02</v>
      </c>
      <c r="R1176" s="7" t="str">
        <f t="shared" si="22"/>
        <v>E:\附赠：Excel模板\Excel实战技巧精粹：Excel模板大全1000例</v>
      </c>
      <c r="S1176" s="9">
        <v>43600.3821527778</v>
      </c>
      <c r="T1176" s="9">
        <v>43390.5135185185</v>
      </c>
    </row>
    <row r="1177" spans="14:20">
      <c r="N1177" s="7" t="str">
        <f>HYPERLINK("E:\附赠：Excel模板\Excel实战技巧精粹：Excel模板大全1000例\预算外资金用款计划表.xls","预算外资金用款计划表.xls")</f>
        <v>预算外资金用款计划表.xls</v>
      </c>
      <c r="Q1177">
        <v>0.02</v>
      </c>
      <c r="R1177" s="7" t="str">
        <f t="shared" si="22"/>
        <v>E:\附赠：Excel模板\Excel实战技巧精粹：Excel模板大全1000例</v>
      </c>
      <c r="S1177" s="9">
        <v>43600.3821527778</v>
      </c>
      <c r="T1177" s="9">
        <v>43390.5134953704</v>
      </c>
    </row>
    <row r="1178" spans="14:20">
      <c r="N1178" s="7" t="str">
        <f>HYPERLINK("E:\附赠：Excel模板\Excel实战技巧精粹：Excel模板大全1000例\预计评估增值表.xls","预计评估增值表.xls")</f>
        <v>预计评估增值表.xls</v>
      </c>
      <c r="Q1178">
        <v>0.02</v>
      </c>
      <c r="R1178" s="7" t="str">
        <f t="shared" si="22"/>
        <v>E:\附赠：Excel模板\Excel实战技巧精粹：Excel模板大全1000例</v>
      </c>
      <c r="S1178" s="9">
        <v>43600.3821527778</v>
      </c>
      <c r="T1178" s="9">
        <v>43390.5135185185</v>
      </c>
    </row>
    <row r="1179" spans="14:20">
      <c r="N1179" s="7" t="str">
        <f>HYPERLINK("E:\附赠：Excel模板\Excel实战技巧精粹：Excel模板大全1000例\预计资产负债简表.xls","预计资产负债简表.xls")</f>
        <v>预计资产负债简表.xls</v>
      </c>
      <c r="Q1179">
        <v>0.02</v>
      </c>
      <c r="R1179" s="7" t="str">
        <f t="shared" si="22"/>
        <v>E:\附赠：Excel模板\Excel实战技巧精粹：Excel模板大全1000例</v>
      </c>
      <c r="S1179" s="9">
        <v>43600.3821527778</v>
      </c>
      <c r="T1179" s="9">
        <v>43390.5135185185</v>
      </c>
    </row>
    <row r="1180" spans="14:20">
      <c r="N1180" s="7" t="str">
        <f>HYPERLINK("E:\附赠：Excel模板\Excel实战技巧精粹：Excel模板大全1000例\风险控制表.xls","风险控制表.xls")</f>
        <v>风险控制表.xls</v>
      </c>
      <c r="Q1180">
        <v>0.03</v>
      </c>
      <c r="R1180" s="7" t="str">
        <f t="shared" si="22"/>
        <v>E:\附赠：Excel模板\Excel实战技巧精粹：Excel模板大全1000例</v>
      </c>
      <c r="S1180" s="9">
        <v>43600.3821527778</v>
      </c>
      <c r="T1180" s="9">
        <v>43390.5144444444</v>
      </c>
    </row>
    <row r="1181" spans="14:20">
      <c r="N1181" s="7" t="str">
        <f>HYPERLINK("E:\附赠：Excel模板\Excel实战技巧精粹：Excel模板大全1000例\风险管理列表.xls","风险管理列表.xls")</f>
        <v>风险管理列表.xls</v>
      </c>
      <c r="Q1181">
        <v>0.02</v>
      </c>
      <c r="R1181" s="7" t="str">
        <f t="shared" si="22"/>
        <v>E:\附赠：Excel模板\Excel实战技巧精粹：Excel模板大全1000例</v>
      </c>
      <c r="S1181" s="9">
        <v>43600.3821527778</v>
      </c>
      <c r="T1181" s="9">
        <v>43390.5144444444</v>
      </c>
    </row>
    <row r="1182" spans="14:20">
      <c r="N1182" s="7" t="str">
        <f>HYPERLINK("E:\附赠：Excel模板\Excel实战技巧精粹：Excel模板大全1000例\食品安全综合评价管理指标细则.xls","食品安全综合评价管理指标细则.xls")</f>
        <v>食品安全综合评价管理指标细则.xls</v>
      </c>
      <c r="Q1182">
        <v>0.06</v>
      </c>
      <c r="R1182" s="7" t="str">
        <f t="shared" si="22"/>
        <v>E:\附赠：Excel模板\Excel实战技巧精粹：Excel模板大全1000例</v>
      </c>
      <c r="S1182" s="9">
        <v>43600.3821527778</v>
      </c>
      <c r="T1182" s="9">
        <v>43390.5138888889</v>
      </c>
    </row>
    <row r="1183" spans="14:20">
      <c r="N1183" s="7" t="str">
        <f>HYPERLINK("E:\附赠：Excel模板\Excel实战技巧精粹：Excel模板大全1000例\食品药品及医疗器械抽验支出明细表.xls","食品药品及医疗器械抽验支出明细表.xls")</f>
        <v>食品药品及医疗器械抽验支出明细表.xls</v>
      </c>
      <c r="Q1183">
        <v>0.02</v>
      </c>
      <c r="R1183" s="7" t="str">
        <f t="shared" si="22"/>
        <v>E:\附赠：Excel模板\Excel实战技巧精粹：Excel模板大全1000例</v>
      </c>
      <c r="S1183" s="9">
        <v>43600.3821527778</v>
      </c>
      <c r="T1183" s="9">
        <v>43390.5138888889</v>
      </c>
    </row>
    <row r="1184" spans="14:20">
      <c r="N1184" s="7" t="str">
        <f>HYPERLINK("E:\附赠：Excel模板\Excel实战技巧精粹：Excel模板大全1000例\首季課程系列表.xls","首季課程系列表.xls")</f>
        <v>首季課程系列表.xls</v>
      </c>
      <c r="Q1184">
        <v>0.11</v>
      </c>
      <c r="R1184" s="7" t="str">
        <f t="shared" si="22"/>
        <v>E:\附赠：Excel模板\Excel实战技巧精粹：Excel模板大全1000例</v>
      </c>
      <c r="S1184" s="9">
        <v>43600.3821527778</v>
      </c>
      <c r="T1184" s="9">
        <v>43390.5138194444</v>
      </c>
    </row>
    <row r="1185" spans="14:20">
      <c r="N1185" s="7" t="str">
        <f>HYPERLINK("E:\附赠：Excel模板\Excel实战技巧精粹：Excel模板大全1000例\香港特别行政区主要统计指标概览.xls","香港特别行政区主要统计指标概览.xls")</f>
        <v>香港特别行政区主要统计指标概览.xls</v>
      </c>
      <c r="Q1185">
        <v>0.02</v>
      </c>
      <c r="R1185" s="7" t="str">
        <f t="shared" si="22"/>
        <v>E:\附赠：Excel模板\Excel实战技巧精粹：Excel模板大全1000例</v>
      </c>
      <c r="S1185" s="9">
        <v>43600.3821527778</v>
      </c>
      <c r="T1185" s="9">
        <v>43390.5137268519</v>
      </c>
    </row>
    <row r="1186" spans="14:20">
      <c r="N1186" s="7" t="str">
        <f>HYPERLINK("E:\附赠：Excel模板\Excel实战技巧精粹：Excel模板大全1000例\高等学校信息化建设情况统计表.xls","高等学校信息化建设情况统计表.xls")</f>
        <v>高等学校信息化建设情况统计表.xls</v>
      </c>
      <c r="Q1186">
        <v>0.02</v>
      </c>
      <c r="R1186" s="7" t="str">
        <f t="shared" si="22"/>
        <v>E:\附赠：Excel模板\Excel实战技巧精粹：Excel模板大全1000例</v>
      </c>
      <c r="S1186" s="9">
        <v>43600.3821527778</v>
      </c>
      <c r="T1186" s="9">
        <v>43390.5144444444</v>
      </c>
    </row>
    <row r="1187" spans="14:20">
      <c r="N1187" s="7" t="str">
        <f>HYPERLINK("E:\附赠：Excel模板\Excel实战技巧精粹：Excel模板大全1000例\高级管理人员费用明细表.xls","高级管理人员费用明细表.xls")</f>
        <v>高级管理人员费用明细表.xls</v>
      </c>
      <c r="Q1187">
        <v>0.02</v>
      </c>
      <c r="R1187" s="7" t="str">
        <f t="shared" si="22"/>
        <v>E:\附赠：Excel模板\Excel实战技巧精粹：Excel模板大全1000例</v>
      </c>
      <c r="S1187" s="9">
        <v>43600.3821527778</v>
      </c>
      <c r="T1187" s="9">
        <v>43390.5144212963</v>
      </c>
    </row>
    <row r="1188" spans="14:20">
      <c r="N1188" t="s">
        <v>15</v>
      </c>
      <c r="Q1188" t="s">
        <v>15</v>
      </c>
      <c r="R1188" t="s">
        <v>15</v>
      </c>
      <c r="S1188" t="s">
        <v>15</v>
      </c>
      <c r="T1188" t="s">
        <v>15</v>
      </c>
    </row>
    <row r="1189" spans="14:20">
      <c r="N1189" t="s">
        <v>15</v>
      </c>
      <c r="Q1189" t="s">
        <v>15</v>
      </c>
      <c r="R1189" t="s">
        <v>15</v>
      </c>
      <c r="S1189" t="s">
        <v>15</v>
      </c>
      <c r="T1189" t="s">
        <v>15</v>
      </c>
    </row>
    <row r="1190" spans="14:20">
      <c r="N1190" s="7" t="str">
        <f>HYPERLINK("E:\附赠：Excel模板\世界500强Excel经典图表模板\Excel经典图表模板\3.1 分档填色经典做法--中国地图 2003.xls","3.1 分档填色经典做法--中国地图 2003.xls")</f>
        <v>3.1 分档填色经典做法--中国地图 2003.xls</v>
      </c>
      <c r="Q1190">
        <v>1.83</v>
      </c>
      <c r="R1190" s="7" t="str">
        <f t="shared" ref="R1190:R1253" si="23">HYPERLINK("E:\附赠：Excel模板\世界500强Excel经典图表模板\Excel经典图表模板","E:\附赠：Excel模板\世界500强Excel经典图表模板\Excel经典图表模板")</f>
        <v>E:\附赠：Excel模板\世界500强Excel经典图表模板\Excel经典图表模板</v>
      </c>
      <c r="S1190" s="9">
        <v>43600.3821990741</v>
      </c>
      <c r="T1190" s="9">
        <v>43390.514837963</v>
      </c>
    </row>
    <row r="1191" spans="14:20">
      <c r="N1191" s="7" t="str">
        <f>HYPERLINK("E:\附赠：Excel模板\世界500强Excel经典图表模板\Excel经典图表模板\EXCEL_图表提高教程(动态图表).xls","EXCEL_图表提高教程(动态图表).xls")</f>
        <v>EXCEL_图表提高教程(动态图表).xls</v>
      </c>
      <c r="Q1191">
        <v>0.12</v>
      </c>
      <c r="R1191" s="7" t="str">
        <f t="shared" si="23"/>
        <v>E:\附赠：Excel模板\世界500强Excel经典图表模板\Excel经典图表模板</v>
      </c>
      <c r="S1191" s="9">
        <v>43600.3822106481</v>
      </c>
      <c r="T1191" s="9">
        <v>43390.514837963</v>
      </c>
    </row>
    <row r="1192" spans="14:20">
      <c r="N1192" s="7" t="str">
        <f>HYPERLINK("E:\附赠：Excel模板\世界500强Excel经典图表模板\Excel经典图表模板\Excel动态交互雷达图.xls","Excel动态交互雷达图.xls")</f>
        <v>Excel动态交互雷达图.xls</v>
      </c>
      <c r="Q1192">
        <v>0.3</v>
      </c>
      <c r="R1192" s="7" t="str">
        <f t="shared" si="23"/>
        <v>E:\附赠：Excel模板\世界500强Excel经典图表模板\Excel经典图表模板</v>
      </c>
      <c r="S1192" s="9">
        <v>43600.3822106481</v>
      </c>
      <c r="T1192" s="9">
        <v>43390.5148611111</v>
      </c>
    </row>
    <row r="1193" spans="14:20">
      <c r="N1193" s="7" t="str">
        <f>HYPERLINK("E:\附赠：Excel模板\世界500强Excel经典图表模板\Excel经典图表模板\Excel动态杜邦分析.xls","Excel动态杜邦分析.xls")</f>
        <v>Excel动态杜邦分析.xls</v>
      </c>
      <c r="Q1193">
        <v>0.44</v>
      </c>
      <c r="R1193" s="7" t="str">
        <f t="shared" si="23"/>
        <v>E:\附赠：Excel模板\世界500强Excel经典图表模板\Excel经典图表模板</v>
      </c>
      <c r="S1193" s="9">
        <v>43600.3822106481</v>
      </c>
      <c r="T1193" s="9">
        <v>43390.514837963</v>
      </c>
    </row>
    <row r="1194" spans="14:20">
      <c r="N1194" s="7" t="str">
        <f>HYPERLINK("E:\附赠：Excel模板\世界500强Excel经典图表模板\Excel经典图表模板\Excel数据地图.xlsx","Excel数据地图.xlsx")</f>
        <v>Excel数据地图.xlsx</v>
      </c>
      <c r="Q1194">
        <v>0.4</v>
      </c>
      <c r="R1194" s="7" t="str">
        <f t="shared" si="23"/>
        <v>E:\附赠：Excel模板\世界500强Excel经典图表模板\Excel经典图表模板</v>
      </c>
      <c r="S1194" s="9">
        <v>43600.3822106481</v>
      </c>
      <c r="T1194" s="9">
        <v>43390.514837963</v>
      </c>
    </row>
    <row r="1195" spans="14:20">
      <c r="N1195" s="7" t="str">
        <f>HYPERLINK("E:\附赠：Excel模板\世界500强Excel经典图表模板\Excel经典图表模板\HalfDashboard1122.xls","HalfDashboard1122.xls")</f>
        <v>HalfDashboard1122.xls</v>
      </c>
      <c r="Q1195">
        <v>0.32</v>
      </c>
      <c r="R1195" s="7" t="str">
        <f t="shared" si="23"/>
        <v>E:\附赠：Excel模板\世界500强Excel经典图表模板\Excel经典图表模板</v>
      </c>
      <c r="S1195" s="9">
        <v>43600.3822106481</v>
      </c>
      <c r="T1195" s="9">
        <v>43390.514837963</v>
      </c>
    </row>
    <row r="1196" spans="14:20">
      <c r="N1196" s="7" t="str">
        <f>HYPERLINK("E:\附赠：Excel模板\世界500强Excel经典图表模板\Excel经典图表模板\excel动态图表基础教程.xls","excel动态图表基础教程.xls")</f>
        <v>excel动态图表基础教程.xls</v>
      </c>
      <c r="Q1196">
        <v>0.62</v>
      </c>
      <c r="R1196" s="7" t="str">
        <f t="shared" si="23"/>
        <v>E:\附赠：Excel模板\世界500强Excel经典图表模板\Excel经典图表模板</v>
      </c>
      <c r="S1196" s="9">
        <v>43600.3822106481</v>
      </c>
      <c r="T1196" s="9">
        <v>43390.514837963</v>
      </c>
    </row>
    <row r="1197" spans="14:20">
      <c r="N1197" s="7" t="str">
        <f>HYPERLINK("E:\附赠：Excel模板\世界500强Excel经典图表模板\Excel经典图表模板\三维气泡图.xlsx","三维气泡图.xlsx")</f>
        <v>三维气泡图.xlsx</v>
      </c>
      <c r="Q1197">
        <v>0.02</v>
      </c>
      <c r="R1197" s="7" t="str">
        <f t="shared" si="23"/>
        <v>E:\附赠：Excel模板\世界500强Excel经典图表模板\Excel经典图表模板</v>
      </c>
      <c r="S1197" s="9">
        <v>43600.3822106481</v>
      </c>
      <c r="T1197" s="9">
        <v>43390.5147453704</v>
      </c>
    </row>
    <row r="1198" spans="14:20">
      <c r="N1198" s="7" t="str">
        <f>HYPERLINK("E:\附赠：Excel模板\世界500强Excel经典图表模板\Excel经典图表模板\三维气泡图_20171121103247.xlsx","三维气泡图_20171121103247.xlsx")</f>
        <v>三维气泡图_20171121103247.xlsx</v>
      </c>
      <c r="Q1198">
        <v>0.02</v>
      </c>
      <c r="R1198" s="7" t="str">
        <f t="shared" si="23"/>
        <v>E:\附赠：Excel模板\世界500强Excel经典图表模板\Excel经典图表模板</v>
      </c>
      <c r="S1198" s="9">
        <v>43600.3822106481</v>
      </c>
      <c r="T1198" s="9">
        <v>43390.5147453704</v>
      </c>
    </row>
    <row r="1199" spans="14:20">
      <c r="N1199" s="7" t="str">
        <f>HYPERLINK("E:\附赠：Excel模板\世界500强Excel经典图表模板\Excel经典图表模板\世界工资可视化~66个Excel仪表盘Dashboards.rar","世界工资可视化~66个Excel仪表盘Dashboards.rar")</f>
        <v>世界工资可视化~66个Excel仪表盘Dashboards.rar</v>
      </c>
      <c r="Q1199">
        <v>33.38</v>
      </c>
      <c r="R1199" s="7" t="str">
        <f t="shared" si="23"/>
        <v>E:\附赠：Excel模板\世界500强Excel经典图表模板\Excel经典图表模板</v>
      </c>
      <c r="S1199" s="9">
        <v>43600.3822106481</v>
      </c>
      <c r="T1199" s="9">
        <v>43390.515</v>
      </c>
    </row>
    <row r="1200" spans="14:20">
      <c r="N1200" s="7" t="str">
        <f>HYPERLINK("E:\附赠：Excel模板\世界500强Excel经典图表模板\Excel经典图表模板\分类标签间隔式条形图.xlsx","分类标签间隔式条形图.xlsx")</f>
        <v>分类标签间隔式条形图.xlsx</v>
      </c>
      <c r="Q1200">
        <v>0.02</v>
      </c>
      <c r="R1200" s="7" t="str">
        <f t="shared" si="23"/>
        <v>E:\附赠：Excel模板\世界500强Excel经典图表模板\Excel经典图表模板</v>
      </c>
      <c r="S1200" s="9">
        <v>43600.3822106481</v>
      </c>
      <c r="T1200" s="9">
        <v>43390.5147685185</v>
      </c>
    </row>
    <row r="1201" spans="14:20">
      <c r="N1201" s="7" t="str">
        <f>HYPERLINK("E:\附赠：Excel模板\世界500强Excel经典图表模板\Excel经典图表模板\分类标签间隔式条形图_20171121103247.xlsx","分类标签间隔式条形图_20171121103247.xlsx")</f>
        <v>分类标签间隔式条形图_20171121103247.xlsx</v>
      </c>
      <c r="Q1201">
        <v>0.02</v>
      </c>
      <c r="R1201" s="7" t="str">
        <f t="shared" si="23"/>
        <v>E:\附赠：Excel模板\世界500强Excel经典图表模板\Excel经典图表模板</v>
      </c>
      <c r="S1201" s="9">
        <v>43600.3822106481</v>
      </c>
      <c r="T1201" s="9">
        <v>43390.5147685185</v>
      </c>
    </row>
    <row r="1202" spans="14:20">
      <c r="N1202" s="7" t="str">
        <f>HYPERLINK("E:\附赠：Excel模板\世界500强Excel经典图表模板\Excel经典图表模板\动态图表之动态圆环图.xlsx","动态图表之动态圆环图.xlsx")</f>
        <v>动态图表之动态圆环图.xlsx</v>
      </c>
      <c r="Q1202">
        <v>0.02</v>
      </c>
      <c r="R1202" s="7" t="str">
        <f t="shared" si="23"/>
        <v>E:\附赠：Excel模板\世界500强Excel经典图表模板\Excel经典图表模板</v>
      </c>
      <c r="S1202" s="9">
        <v>43600.3822106481</v>
      </c>
      <c r="T1202" s="9">
        <v>43390.5147916667</v>
      </c>
    </row>
    <row r="1203" spans="14:20">
      <c r="N1203" s="7" t="str">
        <f>HYPERLINK("E:\附赠：Excel模板\世界500强Excel经典图表模板\Excel经典图表模板\动态图表之动态圆环图_20171121103247.xlsx","动态图表之动态圆环图_20171121103247.xlsx")</f>
        <v>动态图表之动态圆环图_20171121103247.xlsx</v>
      </c>
      <c r="Q1203">
        <v>0.02</v>
      </c>
      <c r="R1203" s="7" t="str">
        <f t="shared" si="23"/>
        <v>E:\附赠：Excel模板\世界500强Excel经典图表模板\Excel经典图表模板</v>
      </c>
      <c r="S1203" s="9">
        <v>43600.3822106481</v>
      </c>
      <c r="T1203" s="9">
        <v>43390.5147916667</v>
      </c>
    </row>
    <row r="1204" spans="14:20">
      <c r="N1204" s="7" t="str">
        <f>HYPERLINK("E:\附赠：Excel模板\世界500强Excel经典图表模板\Excel经典图表模板\动态图表之动态趋势图.xlsx","动态图表之动态趋势图.xlsx")</f>
        <v>动态图表之动态趋势图.xlsx</v>
      </c>
      <c r="Q1204">
        <v>0.02</v>
      </c>
      <c r="R1204" s="7" t="str">
        <f t="shared" si="23"/>
        <v>E:\附赠：Excel模板\世界500强Excel经典图表模板\Excel经典图表模板</v>
      </c>
      <c r="S1204" s="9">
        <v>43600.3822106481</v>
      </c>
      <c r="T1204" s="9">
        <v>43390.5147916667</v>
      </c>
    </row>
    <row r="1205" spans="14:20">
      <c r="N1205" s="7" t="str">
        <f>HYPERLINK("E:\附赠：Excel模板\世界500强Excel经典图表模板\Excel经典图表模板\动态图表之动态趋势图_20171121103247.xlsx","动态图表之动态趋势图_20171121103247.xlsx")</f>
        <v>动态图表之动态趋势图_20171121103247.xlsx</v>
      </c>
      <c r="Q1205">
        <v>0.02</v>
      </c>
      <c r="R1205" s="7" t="str">
        <f t="shared" si="23"/>
        <v>E:\附赠：Excel模板\世界500强Excel经典图表模板\Excel经典图表模板</v>
      </c>
      <c r="S1205" s="9">
        <v>43600.3822106481</v>
      </c>
      <c r="T1205" s="9">
        <v>43390.5147916667</v>
      </c>
    </row>
    <row r="1206" spans="14:20">
      <c r="N1206" s="7" t="str">
        <f>HYPERLINK("E:\附赠：Excel模板\世界500强Excel经典图表模板\Excel经典图表模板\动态图表之带下拉菜单功能的图表.xlsx","动态图表之带下拉菜单功能的图表.xlsx")</f>
        <v>动态图表之带下拉菜单功能的图表.xlsx</v>
      </c>
      <c r="Q1206">
        <v>0.02</v>
      </c>
      <c r="R1206" s="7" t="str">
        <f t="shared" si="23"/>
        <v>E:\附赠：Excel模板\世界500强Excel经典图表模板\Excel经典图表模板</v>
      </c>
      <c r="S1206" s="9">
        <v>43600.3822106481</v>
      </c>
      <c r="T1206" s="9">
        <v>43390.5147916667</v>
      </c>
    </row>
    <row r="1207" spans="14:20">
      <c r="N1207" s="7" t="str">
        <f>HYPERLINK("E:\附赠：Excel模板\世界500强Excel经典图表模板\Excel经典图表模板\动态图表之带下拉菜单功能的图表_20171121103247.xlsx","动态图表之带下拉菜单功能的图表_20171121103247.xlsx")</f>
        <v>动态图表之带下拉菜单功能的图表_20171121103247.xlsx</v>
      </c>
      <c r="Q1207">
        <v>0.02</v>
      </c>
      <c r="R1207" s="7" t="str">
        <f t="shared" si="23"/>
        <v>E:\附赠：Excel模板\世界500强Excel经典图表模板\Excel经典图表模板</v>
      </c>
      <c r="S1207" s="9">
        <v>43600.3822106481</v>
      </c>
      <c r="T1207" s="9">
        <v>43390.5147916667</v>
      </c>
    </row>
    <row r="1208" spans="14:20">
      <c r="N1208" s="7" t="str">
        <f>HYPERLINK("E:\附赠：Excel模板\世界500强Excel经典图表模板\Excel经典图表模板\动态图表之带复选框功能的图表.xlsx","动态图表之带复选框功能的图表.xlsx")</f>
        <v>动态图表之带复选框功能的图表.xlsx</v>
      </c>
      <c r="Q1208">
        <v>0.02</v>
      </c>
      <c r="R1208" s="7" t="str">
        <f t="shared" si="23"/>
        <v>E:\附赠：Excel模板\世界500强Excel经典图表模板\Excel经典图表模板</v>
      </c>
      <c r="S1208" s="9">
        <v>43600.3822106481</v>
      </c>
      <c r="T1208" s="9">
        <v>43390.5148148148</v>
      </c>
    </row>
    <row r="1209" spans="14:20">
      <c r="N1209" s="7" t="str">
        <f>HYPERLINK("E:\附赠：Excel模板\世界500强Excel经典图表模板\Excel经典图表模板\动态图表之带数字调节按钮的动态折线图.xlsx","动态图表之带数字调节按钮的动态折线图.xlsx")</f>
        <v>动态图表之带数字调节按钮的动态折线图.xlsx</v>
      </c>
      <c r="Q1209">
        <v>0.02</v>
      </c>
      <c r="R1209" s="7" t="str">
        <f t="shared" si="23"/>
        <v>E:\附赠：Excel模板\世界500强Excel经典图表模板\Excel经典图表模板</v>
      </c>
      <c r="S1209" s="9">
        <v>43600.3822106481</v>
      </c>
      <c r="T1209" s="9">
        <v>43390.5148148148</v>
      </c>
    </row>
    <row r="1210" spans="14:20">
      <c r="N1210" s="7" t="str">
        <f>HYPERLINK("E:\附赠：Excel模板\世界500强Excel经典图表模板\Excel经典图表模板\动态图表之带数字调节按钮的动态折线图_20171121103247.xlsx","动态图表之带数字调节按钮的动态折线图_20171121103247.xlsx")</f>
        <v>动态图表之带数字调节按钮的动态折线图_20171121103247.xlsx</v>
      </c>
      <c r="Q1210">
        <v>0.02</v>
      </c>
      <c r="R1210" s="7" t="str">
        <f t="shared" si="23"/>
        <v>E:\附赠：Excel模板\世界500强Excel经典图表模板\Excel经典图表模板</v>
      </c>
      <c r="S1210" s="9">
        <v>43600.3822106481</v>
      </c>
      <c r="T1210" s="9">
        <v>43390.5147916667</v>
      </c>
    </row>
    <row r="1211" spans="14:20">
      <c r="N1211" s="7" t="str">
        <f>HYPERLINK("E:\附赠：Excel模板\世界500强Excel经典图表模板\Excel经典图表模板\动态图表之带数字调节按钮的动态折线图_20171121103248.xlsx","动态图表之带数字调节按钮的动态折线图_20171121103248.xlsx")</f>
        <v>动态图表之带数字调节按钮的动态折线图_20171121103248.xlsx</v>
      </c>
      <c r="Q1211">
        <v>0.02</v>
      </c>
      <c r="R1211" s="7" t="str">
        <f t="shared" si="23"/>
        <v>E:\附赠：Excel模板\世界500强Excel经典图表模板\Excel经典图表模板</v>
      </c>
      <c r="S1211" s="9">
        <v>43600.3822106481</v>
      </c>
      <c r="T1211" s="9">
        <v>43390.5147916667</v>
      </c>
    </row>
    <row r="1212" spans="14:20">
      <c r="N1212" s="7" t="str">
        <f>HYPERLINK("E:\附赠：Excel模板\世界500强Excel经典图表模板\Excel经典图表模板\动态图表之带选项按钮功能的图表.xlsx","动态图表之带选项按钮功能的图表.xlsx")</f>
        <v>动态图表之带选项按钮功能的图表.xlsx</v>
      </c>
      <c r="Q1212">
        <v>0.02</v>
      </c>
      <c r="R1212" s="7" t="str">
        <f t="shared" si="23"/>
        <v>E:\附赠：Excel模板\世界500强Excel经典图表模板\Excel经典图表模板</v>
      </c>
      <c r="S1212" s="9">
        <v>43600.3822106481</v>
      </c>
      <c r="T1212" s="9">
        <v>43390.5147916667</v>
      </c>
    </row>
    <row r="1213" spans="14:20">
      <c r="N1213" s="7" t="str">
        <f>HYPERLINK("E:\附赠：Excel模板\世界500强Excel经典图表模板\Excel经典图表模板\动态图表小结（Index和Offset函数详解）.xlsx","动态图表小结（Index和Offset函数详解）.xlsx")</f>
        <v>动态图表小结（Index和Offset函数详解）.xlsx</v>
      </c>
      <c r="Q1213">
        <v>0.01</v>
      </c>
      <c r="R1213" s="7" t="str">
        <f t="shared" si="23"/>
        <v>E:\附赠：Excel模板\世界500强Excel经典图表模板\Excel经典图表模板</v>
      </c>
      <c r="S1213" s="9">
        <v>43600.3822106481</v>
      </c>
      <c r="T1213" s="9">
        <v>43390.5148148148</v>
      </c>
    </row>
    <row r="1214" spans="14:20">
      <c r="N1214" s="7" t="str">
        <f>HYPERLINK("E:\附赠：Excel模板\世界500强Excel经典图表模板\Excel经典图表模板\动态图表小结（Index和Offset函数详解）_20171121103247.xlsx","动态图表小结（Index和Offset函数详解）_20171121103247.xlsx")</f>
        <v>动态图表小结（Index和Offset函数详解）_20171121103247.xlsx</v>
      </c>
      <c r="Q1214">
        <v>0.01</v>
      </c>
      <c r="R1214" s="7" t="str">
        <f t="shared" si="23"/>
        <v>E:\附赠：Excel模板\世界500强Excel经典图表模板\Excel经典图表模板</v>
      </c>
      <c r="S1214" s="9">
        <v>43600.3822106481</v>
      </c>
      <c r="T1214" s="9">
        <v>43390.5148148148</v>
      </c>
    </row>
    <row r="1215" spans="14:20">
      <c r="N1215" s="7" t="str">
        <f>HYPERLINK("E:\附赠：Excel模板\世界500强Excel经典图表模板\Excel经典图表模板\十字矩阵图.xls","十字矩阵图.xls")</f>
        <v>十字矩阵图.xls</v>
      </c>
      <c r="Q1215">
        <v>0.01</v>
      </c>
      <c r="R1215" s="7" t="str">
        <f t="shared" si="23"/>
        <v>E:\附赠：Excel模板\世界500强Excel经典图表模板\Excel经典图表模板</v>
      </c>
      <c r="S1215" s="9">
        <v>43600.3822106481</v>
      </c>
      <c r="T1215" s="9">
        <v>43390.5147453704</v>
      </c>
    </row>
    <row r="1216" spans="14:20">
      <c r="N1216" s="7" t="str">
        <f>HYPERLINK("E:\附赠：Excel模板\世界500强Excel经典图表模板\Excel经典图表模板\半径不等的扇形图 南丁格尔玫瑰图 风玫瑰图 极区图 ExcelPro图表博客.xls","半径不等的扇形图 南丁格尔玫瑰图 风玫瑰图 极区图 ExcelPro图表博客.xls")</f>
        <v>半径不等的扇形图 南丁格尔玫瑰图 风玫瑰图 极区图 ExcelPro图表博客.xls</v>
      </c>
      <c r="Q1216">
        <v>1.73</v>
      </c>
      <c r="R1216" s="7" t="str">
        <f t="shared" si="23"/>
        <v>E:\附赠：Excel模板\世界500强Excel经典图表模板\Excel经典图表模板</v>
      </c>
      <c r="S1216" s="9">
        <v>43600.3822106481</v>
      </c>
      <c r="T1216" s="9">
        <v>43390.514837963</v>
      </c>
    </row>
    <row r="1217" spans="14:20">
      <c r="N1217" s="7" t="str">
        <f>HYPERLINK("E:\附赠：Excel模板\世界500强Excel经典图表模板\Excel经典图表模板\双坐标图.xlsx","双坐标图.xlsx")</f>
        <v>双坐标图.xlsx</v>
      </c>
      <c r="Q1217">
        <v>0.03</v>
      </c>
      <c r="R1217" s="7" t="str">
        <f t="shared" si="23"/>
        <v>E:\附赠：Excel模板\世界500强Excel经典图表模板\Excel经典图表模板</v>
      </c>
      <c r="S1217" s="9">
        <v>43600.3822106481</v>
      </c>
      <c r="T1217" s="9">
        <v>43390.5147453704</v>
      </c>
    </row>
    <row r="1218" spans="14:20">
      <c r="N1218" s="7" t="str">
        <f>HYPERLINK("E:\附赠：Excel模板\世界500强Excel经典图表模板\Excel经典图表模板\双层饼图.xlsx","双层饼图.xlsx")</f>
        <v>双层饼图.xlsx</v>
      </c>
      <c r="Q1218">
        <v>0.02</v>
      </c>
      <c r="R1218" s="7" t="str">
        <f t="shared" si="23"/>
        <v>E:\附赠：Excel模板\世界500强Excel经典图表模板\Excel经典图表模板</v>
      </c>
      <c r="S1218" s="9">
        <v>43600.3822106481</v>
      </c>
      <c r="T1218" s="9">
        <v>43390.5147453704</v>
      </c>
    </row>
    <row r="1219" spans="14:20">
      <c r="N1219" s="7" t="str">
        <f>HYPERLINK("E:\附赠：Excel模板\世界500强Excel经典图表模板\Excel经典图表模板\双层饼图_20171121103248.xlsx","双层饼图_20171121103248.xlsx")</f>
        <v>双层饼图_20171121103248.xlsx</v>
      </c>
      <c r="Q1219">
        <v>0.02</v>
      </c>
      <c r="R1219" s="7" t="str">
        <f t="shared" si="23"/>
        <v>E:\附赠：Excel模板\世界500强Excel经典图表模板\Excel经典图表模板</v>
      </c>
      <c r="S1219" s="9">
        <v>43600.3822106481</v>
      </c>
      <c r="T1219" s="9">
        <v>43390.5147453704</v>
      </c>
    </row>
    <row r="1220" spans="14:20">
      <c r="N1220" s="7" t="str">
        <f>HYPERLINK("E:\附赠：Excel模板\世界500强Excel经典图表模板\Excel经典图表模板\图形与图表.xlsx","图形与图表.xlsx")</f>
        <v>图形与图表.xlsx</v>
      </c>
      <c r="Q1220">
        <v>0.03</v>
      </c>
      <c r="R1220" s="7" t="str">
        <f t="shared" si="23"/>
        <v>E:\附赠：Excel模板\世界500强Excel经典图表模板\Excel经典图表模板</v>
      </c>
      <c r="S1220" s="9">
        <v>43600.3822106481</v>
      </c>
      <c r="T1220" s="9">
        <v>43390.5147453704</v>
      </c>
    </row>
    <row r="1221" spans="14:20">
      <c r="N1221" s="7" t="str">
        <f>HYPERLINK("E:\附赠：Excel模板\世界500强Excel经典图表模板\Excel经典图表模板\堆积折线图.xlsx","堆积折线图.xlsx")</f>
        <v>堆积折线图.xlsx</v>
      </c>
      <c r="Q1221">
        <v>0.02</v>
      </c>
      <c r="R1221" s="7" t="str">
        <f t="shared" si="23"/>
        <v>E:\附赠：Excel模板\世界500强Excel经典图表模板\Excel经典图表模板</v>
      </c>
      <c r="S1221" s="9">
        <v>43600.3822106481</v>
      </c>
      <c r="T1221" s="9">
        <v>43390.5147916667</v>
      </c>
    </row>
    <row r="1222" spans="14:20">
      <c r="N1222" s="7" t="str">
        <f>HYPERLINK("E:\附赠：Excel模板\世界500强Excel经典图表模板\Excel经典图表模板\堆积折线图_20171121103248.xlsx","堆积折线图_20171121103248.xlsx")</f>
        <v>堆积折线图_20171121103248.xlsx</v>
      </c>
      <c r="Q1222">
        <v>0.02</v>
      </c>
      <c r="R1222" s="7" t="str">
        <f t="shared" si="23"/>
        <v>E:\附赠：Excel模板\世界500强Excel经典图表模板\Excel经典图表模板</v>
      </c>
      <c r="S1222" s="9">
        <v>43600.3822106481</v>
      </c>
      <c r="T1222" s="9">
        <v>43390.5147916667</v>
      </c>
    </row>
    <row r="1223" spans="14:20">
      <c r="N1223" s="7" t="str">
        <f>HYPERLINK("E:\附赠：Excel模板\世界500强Excel经典图表模板\Excel经典图表模板\堆积条形图.xlsx","堆积条形图.xlsx")</f>
        <v>堆积条形图.xlsx</v>
      </c>
      <c r="Q1223">
        <v>0.02</v>
      </c>
      <c r="R1223" s="7" t="str">
        <f t="shared" si="23"/>
        <v>E:\附赠：Excel模板\世界500强Excel经典图表模板\Excel经典图表模板</v>
      </c>
      <c r="S1223" s="9">
        <v>43600.3822106481</v>
      </c>
      <c r="T1223" s="9">
        <v>43390.5147916667</v>
      </c>
    </row>
    <row r="1224" spans="14:20">
      <c r="N1224" s="7" t="str">
        <f>HYPERLINK("E:\附赠：Excel模板\世界500强Excel经典图表模板\Excel经典图表模板\堆积柱形图.xlsx","堆积柱形图.xlsx")</f>
        <v>堆积柱形图.xlsx</v>
      </c>
      <c r="Q1224">
        <v>0.02</v>
      </c>
      <c r="R1224" s="7" t="str">
        <f t="shared" si="23"/>
        <v>E:\附赠：Excel模板\世界500强Excel经典图表模板\Excel经典图表模板</v>
      </c>
      <c r="S1224" s="9">
        <v>43600.3822106481</v>
      </c>
      <c r="T1224" s="9">
        <v>43390.5147916667</v>
      </c>
    </row>
    <row r="1225" spans="14:20">
      <c r="N1225" s="7" t="str">
        <f>HYPERLINK("E:\附赠：Excel模板\世界500强Excel经典图表模板\Excel经典图表模板\堆积柱形图_20171121103247.xlsx","堆积柱形图_20171121103247.xlsx")</f>
        <v>堆积柱形图_20171121103247.xlsx</v>
      </c>
      <c r="Q1225">
        <v>0.02</v>
      </c>
      <c r="R1225" s="7" t="str">
        <f t="shared" si="23"/>
        <v>E:\附赠：Excel模板\世界500强Excel经典图表模板\Excel经典图表模板</v>
      </c>
      <c r="S1225" s="9">
        <v>43600.3822106481</v>
      </c>
      <c r="T1225" s="9">
        <v>43390.5147916667</v>
      </c>
    </row>
    <row r="1226" spans="14:20">
      <c r="N1226" s="7" t="str">
        <f>HYPERLINK("E:\附赠：Excel模板\世界500强Excel经典图表模板\Excel经典图表模板\复合条饼图.xlsx","复合条饼图.xlsx")</f>
        <v>复合条饼图.xlsx</v>
      </c>
      <c r="Q1226">
        <v>0.02</v>
      </c>
      <c r="R1226" s="7" t="str">
        <f t="shared" si="23"/>
        <v>E:\附赠：Excel模板\世界500强Excel经典图表模板\Excel经典图表模板</v>
      </c>
      <c r="S1226" s="9">
        <v>43600.3822106481</v>
      </c>
      <c r="T1226" s="9">
        <v>43390.5147685185</v>
      </c>
    </row>
    <row r="1227" spans="14:20">
      <c r="N1227" s="7" t="str">
        <f>HYPERLINK("E:\附赠：Excel模板\世界500强Excel经典图表模板\Excel经典图表模板\复合饼图.xlsx","复合饼图.xlsx")</f>
        <v>复合饼图.xlsx</v>
      </c>
      <c r="Q1227">
        <v>0.02</v>
      </c>
      <c r="R1227" s="7" t="str">
        <f t="shared" si="23"/>
        <v>E:\附赠：Excel模板\世界500强Excel经典图表模板\Excel经典图表模板</v>
      </c>
      <c r="S1227" s="9">
        <v>43600.3822106481</v>
      </c>
      <c r="T1227" s="9">
        <v>43390.5147685185</v>
      </c>
    </row>
    <row r="1228" spans="14:20">
      <c r="N1228" s="7" t="str">
        <f>HYPERLINK("E:\附赠：Excel模板\世界500强Excel经典图表模板\Excel经典图表模板\多列堆积柱形图.xlsx","多列堆积柱形图.xlsx")</f>
        <v>多列堆积柱形图.xlsx</v>
      </c>
      <c r="Q1228">
        <v>0.02</v>
      </c>
      <c r="R1228" s="7" t="str">
        <f t="shared" si="23"/>
        <v>E:\附赠：Excel模板\世界500强Excel经典图表模板\Excel经典图表模板</v>
      </c>
      <c r="S1228" s="9">
        <v>43600.3822106481</v>
      </c>
      <c r="T1228" s="9">
        <v>43390.5147685185</v>
      </c>
    </row>
    <row r="1229" spans="14:20">
      <c r="N1229" s="7" t="str">
        <f>HYPERLINK("E:\附赠：Excel模板\世界500强Excel经典图表模板\Excel经典图表模板\多列堆积柱形图_20171121103247.xlsx","多列堆积柱形图_20171121103247.xlsx")</f>
        <v>多列堆积柱形图_20171121103247.xlsx</v>
      </c>
      <c r="Q1229">
        <v>0.02</v>
      </c>
      <c r="R1229" s="7" t="str">
        <f t="shared" si="23"/>
        <v>E:\附赠：Excel模板\世界500强Excel经典图表模板\Excel经典图表模板</v>
      </c>
      <c r="S1229" s="9">
        <v>43600.3822106481</v>
      </c>
      <c r="T1229" s="9">
        <v>43390.5147685185</v>
      </c>
    </row>
    <row r="1230" spans="14:20">
      <c r="N1230" s="7" t="str">
        <f>HYPERLINK("E:\附赠：Excel模板\世界500强Excel经典图表模板\Excel经典图表模板\多列堆积柱形图_20171121103248.xlsx","多列堆积柱形图_20171121103248.xlsx")</f>
        <v>多列堆积柱形图_20171121103248.xlsx</v>
      </c>
      <c r="Q1230">
        <v>0.02</v>
      </c>
      <c r="R1230" s="7" t="str">
        <f t="shared" si="23"/>
        <v>E:\附赠：Excel模板\世界500强Excel经典图表模板\Excel经典图表模板</v>
      </c>
      <c r="S1230" s="9">
        <v>43600.3822106481</v>
      </c>
      <c r="T1230" s="9">
        <v>43390.5147685185</v>
      </c>
    </row>
    <row r="1231" spans="14:20">
      <c r="N1231" s="7" t="str">
        <f>HYPERLINK("E:\附赠：Excel模板\世界500强Excel经典图表模板\Excel经典图表模板\对称条形图.xlsx","对称条形图.xlsx")</f>
        <v>对称条形图.xlsx</v>
      </c>
      <c r="Q1231">
        <v>0.02</v>
      </c>
      <c r="R1231" s="7" t="str">
        <f t="shared" si="23"/>
        <v>E:\附赠：Excel模板\世界500强Excel经典图表模板\Excel经典图表模板</v>
      </c>
      <c r="S1231" s="9">
        <v>43600.3822106481</v>
      </c>
      <c r="T1231" s="9">
        <v>43390.5147916667</v>
      </c>
    </row>
    <row r="1232" spans="14:20">
      <c r="N1232" s="7" t="str">
        <f>HYPERLINK("E:\附赠：Excel模板\世界500强Excel经典图表模板\Excel经典图表模板\对称条形图_20171121103247.xlsx","对称条形图_20171121103247.xlsx")</f>
        <v>对称条形图_20171121103247.xlsx</v>
      </c>
      <c r="Q1232">
        <v>0.02</v>
      </c>
      <c r="R1232" s="7" t="str">
        <f t="shared" si="23"/>
        <v>E:\附赠：Excel模板\世界500强Excel经典图表模板\Excel经典图表模板</v>
      </c>
      <c r="S1232" s="9">
        <v>43600.3822106481</v>
      </c>
      <c r="T1232" s="9">
        <v>43390.5147916667</v>
      </c>
    </row>
    <row r="1233" spans="14:20">
      <c r="N1233" s="7" t="str">
        <f>HYPERLINK("E:\附赠：Excel模板\世界500强Excel经典图表模板\Excel经典图表模板\折线图.xlsx","折线图.xlsx")</f>
        <v>折线图.xlsx</v>
      </c>
      <c r="Q1233">
        <v>0.02</v>
      </c>
      <c r="R1233" s="7" t="str">
        <f t="shared" si="23"/>
        <v>E:\附赠：Excel模板\世界500强Excel经典图表模板\Excel经典图表模板</v>
      </c>
      <c r="S1233" s="9">
        <v>43600.3822106481</v>
      </c>
      <c r="T1233" s="9">
        <v>43390.5147453704</v>
      </c>
    </row>
    <row r="1234" spans="14:20">
      <c r="N1234" s="7" t="str">
        <f>HYPERLINK("E:\附赠：Excel模板\世界500强Excel经典图表模板\Excel经典图表模板\折线图_20171121103248.xlsx","折线图_20171121103248.xlsx")</f>
        <v>折线图_20171121103248.xlsx</v>
      </c>
      <c r="Q1234">
        <v>0.02</v>
      </c>
      <c r="R1234" s="7" t="str">
        <f t="shared" si="23"/>
        <v>E:\附赠：Excel模板\世界500强Excel经典图表模板\Excel经典图表模板</v>
      </c>
      <c r="S1234" s="9">
        <v>43600.3822106481</v>
      </c>
      <c r="T1234" s="9">
        <v>43390.5147453704</v>
      </c>
    </row>
    <row r="1235" spans="14:20">
      <c r="N1235" s="7" t="str">
        <f>HYPERLINK("E:\附赠：Excel模板\世界500强Excel经典图表模板\Excel经典图表模板\折线图_20171121103249.xlsx","折线图_20171121103249.xlsx")</f>
        <v>折线图_20171121103249.xlsx</v>
      </c>
      <c r="Q1235">
        <v>0.02</v>
      </c>
      <c r="R1235" s="7" t="str">
        <f t="shared" si="23"/>
        <v>E:\附赠：Excel模板\世界500强Excel经典图表模板\Excel经典图表模板</v>
      </c>
      <c r="S1235" s="9">
        <v>43600.3822106481</v>
      </c>
      <c r="T1235" s="9">
        <v>43390.5147453704</v>
      </c>
    </row>
    <row r="1236" spans="14:20">
      <c r="N1236" s="7" t="str">
        <f>HYPERLINK("E:\附赠：Excel模板\世界500强Excel经典图表模板\Excel经典图表模板\散点图.xlsx","散点图.xlsx")</f>
        <v>散点图.xlsx</v>
      </c>
      <c r="Q1236">
        <v>0.02</v>
      </c>
      <c r="R1236" s="7" t="str">
        <f t="shared" si="23"/>
        <v>E:\附赠：Excel模板\世界500强Excel经典图表模板\Excel经典图表模板</v>
      </c>
      <c r="S1236" s="9">
        <v>43600.3822106481</v>
      </c>
      <c r="T1236" s="9">
        <v>43390.5147453704</v>
      </c>
    </row>
    <row r="1237" spans="14:20">
      <c r="N1237" s="7" t="str">
        <f>HYPERLINK("E:\附赠：Excel模板\世界500强Excel经典图表模板\Excel经典图表模板\散点图_20171121103247.xlsx","散点图_20171121103247.xlsx")</f>
        <v>散点图_20171121103247.xlsx</v>
      </c>
      <c r="Q1237">
        <v>0.02</v>
      </c>
      <c r="R1237" s="7" t="str">
        <f t="shared" si="23"/>
        <v>E:\附赠：Excel模板\世界500强Excel经典图表模板\Excel经典图表模板</v>
      </c>
      <c r="S1237" s="9">
        <v>43600.3822106481</v>
      </c>
      <c r="T1237" s="9">
        <v>43390.5147453704</v>
      </c>
    </row>
    <row r="1238" spans="14:20">
      <c r="N1238" s="7" t="str">
        <f>HYPERLINK("E:\附赠：Excel模板\世界500强Excel经典图表模板\Excel经典图表模板\柏拉图.xlsx","柏拉图.xlsx")</f>
        <v>柏拉图.xlsx</v>
      </c>
      <c r="Q1238">
        <v>0.04</v>
      </c>
      <c r="R1238" s="7" t="str">
        <f t="shared" si="23"/>
        <v>E:\附赠：Excel模板\世界500强Excel经典图表模板\Excel经典图表模板</v>
      </c>
      <c r="S1238" s="9">
        <v>43600.3822106481</v>
      </c>
      <c r="T1238" s="9">
        <v>43390.514837963</v>
      </c>
    </row>
    <row r="1239" spans="14:20">
      <c r="N1239" s="7" t="str">
        <f>HYPERLINK("E:\附赠：Excel模板\世界500强Excel经典图表模板\Excel经典图表模板\柏拉图_20171121103247.xlsx","柏拉图_20171121103247.xlsx")</f>
        <v>柏拉图_20171121103247.xlsx</v>
      </c>
      <c r="Q1239">
        <v>0.04</v>
      </c>
      <c r="R1239" s="7" t="str">
        <f t="shared" si="23"/>
        <v>E:\附赠：Excel模板\世界500强Excel经典图表模板\Excel经典图表模板</v>
      </c>
      <c r="S1239" s="9">
        <v>43600.3822106481</v>
      </c>
      <c r="T1239" s="9">
        <v>43390.514837963</v>
      </c>
    </row>
    <row r="1240" spans="14:20">
      <c r="N1240" s="7" t="str">
        <f>HYPERLINK("E:\附赠：Excel模板\世界500强Excel经典图表模板\Excel经典图表模板\汽车仪表盘图制作方法（ ringdove）.xlsx","汽车仪表盘图制作方法（ ringdove）.xlsx")</f>
        <v>汽车仪表盘图制作方法（ ringdove）.xlsx</v>
      </c>
      <c r="Q1240">
        <v>0.01</v>
      </c>
      <c r="R1240" s="7" t="str">
        <f t="shared" si="23"/>
        <v>E:\附赠：Excel模板\世界500强Excel经典图表模板\Excel经典图表模板</v>
      </c>
      <c r="S1240" s="9">
        <v>43600.3822106481</v>
      </c>
      <c r="T1240" s="9">
        <v>43390.5147685185</v>
      </c>
    </row>
    <row r="1241" spans="14:20">
      <c r="N1241" s="7" t="str">
        <f>HYPERLINK("E:\附赠：Excel模板\世界500强Excel经典图表模板\Excel经典图表模板\泡泡图.xls","泡泡图.xls")</f>
        <v>泡泡图.xls</v>
      </c>
      <c r="Q1241">
        <v>0.07</v>
      </c>
      <c r="R1241" s="7" t="str">
        <f t="shared" si="23"/>
        <v>E:\附赠：Excel模板\世界500强Excel经典图表模板\Excel经典图表模板</v>
      </c>
      <c r="S1241" s="9">
        <v>43600.3822106481</v>
      </c>
      <c r="T1241" s="9">
        <v>43390.5147685185</v>
      </c>
    </row>
    <row r="1242" spans="14:20">
      <c r="N1242" s="7" t="str">
        <f>HYPERLINK("E:\附赠：Excel模板\世界500强Excel经典图表模板\Excel经典图表模板\漏斗图.xlsx","漏斗图.xlsx")</f>
        <v>漏斗图.xlsx</v>
      </c>
      <c r="Q1242">
        <v>0.02</v>
      </c>
      <c r="R1242" s="7" t="str">
        <f t="shared" si="23"/>
        <v>E:\附赠：Excel模板\世界500强Excel经典图表模板\Excel经典图表模板</v>
      </c>
      <c r="S1242" s="9">
        <v>43600.3822106481</v>
      </c>
      <c r="T1242" s="9">
        <v>43390.5147685185</v>
      </c>
    </row>
    <row r="1243" spans="14:20">
      <c r="N1243" s="7" t="str">
        <f>HYPERLINK("E:\附赠：Excel模板\世界500强Excel经典图表模板\Excel经典图表模板\瀑布图分析成本收益.xlsx","瀑布图分析成本收益.xlsx")</f>
        <v>瀑布图分析成本收益.xlsx</v>
      </c>
      <c r="Q1243">
        <v>0.03</v>
      </c>
      <c r="R1243" s="7" t="str">
        <f t="shared" si="23"/>
        <v>E:\附赠：Excel模板\世界500强Excel经典图表模板\Excel经典图表模板</v>
      </c>
      <c r="S1243" s="9">
        <v>43600.3822106481</v>
      </c>
      <c r="T1243" s="9">
        <v>43390.5147685185</v>
      </c>
    </row>
    <row r="1244" spans="14:20">
      <c r="N1244" s="7" t="str">
        <f>HYPERLINK("E:\附赠：Excel模板\世界500强Excel经典图表模板\Excel经典图表模板\瀑布图分析成本收益_20171121103247.xlsx","瀑布图分析成本收益_20171121103247.xlsx")</f>
        <v>瀑布图分析成本收益_20171121103247.xlsx</v>
      </c>
      <c r="Q1244">
        <v>0.03</v>
      </c>
      <c r="R1244" s="7" t="str">
        <f t="shared" si="23"/>
        <v>E:\附赠：Excel模板\世界500强Excel经典图表模板\Excel经典图表模板</v>
      </c>
      <c r="S1244" s="9">
        <v>43600.3822106481</v>
      </c>
      <c r="T1244" s="9">
        <v>43390.5147685185</v>
      </c>
    </row>
    <row r="1245" spans="14:20">
      <c r="N1245" s="7" t="str">
        <f>HYPERLINK("E:\附赠：Excel模板\世界500强Excel经典图表模板\Excel经典图表模板\甘特图.xlsx","甘特图.xlsx")</f>
        <v>甘特图.xlsx</v>
      </c>
      <c r="Q1245">
        <v>0.03</v>
      </c>
      <c r="R1245" s="7" t="str">
        <f t="shared" si="23"/>
        <v>E:\附赠：Excel模板\世界500强Excel经典图表模板\Excel经典图表模板</v>
      </c>
      <c r="S1245" s="9">
        <v>43600.3822106481</v>
      </c>
      <c r="T1245" s="9">
        <v>43390.5147685185</v>
      </c>
    </row>
    <row r="1246" spans="14:20">
      <c r="N1246" s="7" t="str">
        <f>HYPERLINK("E:\附赠：Excel模板\世界500强Excel经典图表模板\Excel经典图表模板\百分比堆积柱形图.xlsx","百分比堆积柱形图.xlsx")</f>
        <v>百分比堆积柱形图.xlsx</v>
      </c>
      <c r="Q1246">
        <v>0.02</v>
      </c>
      <c r="R1246" s="7" t="str">
        <f t="shared" si="23"/>
        <v>E:\附赠：Excel模板\世界500强Excel经典图表模板\Excel经典图表模板</v>
      </c>
      <c r="S1246" s="9">
        <v>43600.3822106481</v>
      </c>
      <c r="T1246" s="9">
        <v>43390.514837963</v>
      </c>
    </row>
    <row r="1247" spans="14:20">
      <c r="N1247" s="7" t="str">
        <f>HYPERLINK("E:\附赠：Excel模板\世界500强Excel经典图表模板\Excel经典图表模板\百分比堆积柱形图_20171121103247.xlsx","百分比堆积柱形图_20171121103247.xlsx")</f>
        <v>百分比堆积柱形图_20171121103247.xlsx</v>
      </c>
      <c r="Q1247">
        <v>0.02</v>
      </c>
      <c r="R1247" s="7" t="str">
        <f t="shared" si="23"/>
        <v>E:\附赠：Excel模板\世界500强Excel经典图表模板\Excel经典图表模板</v>
      </c>
      <c r="S1247" s="9">
        <v>43600.3822106481</v>
      </c>
      <c r="T1247" s="9">
        <v>43390.5148148148</v>
      </c>
    </row>
    <row r="1248" spans="14:20">
      <c r="N1248" s="7" t="str">
        <f>HYPERLINK("E:\附赠：Excel模板\世界500强Excel经典图表模板\Excel经典图表模板\百分比堆积柱形图_20171121103248.xlsx","百分比堆积柱形图_20171121103248.xlsx")</f>
        <v>百分比堆积柱形图_20171121103248.xlsx</v>
      </c>
      <c r="Q1248">
        <v>0.02</v>
      </c>
      <c r="R1248" s="7" t="str">
        <f t="shared" si="23"/>
        <v>E:\附赠：Excel模板\世界500强Excel经典图表模板\Excel经典图表模板</v>
      </c>
      <c r="S1248" s="9">
        <v>43600.3822106481</v>
      </c>
      <c r="T1248" s="9">
        <v>43390.5148148148</v>
      </c>
    </row>
    <row r="1249" spans="14:20">
      <c r="N1249" s="7" t="str">
        <f>HYPERLINK("E:\附赠：Excel模板\世界500强Excel经典图表模板\Excel经典图表模板\盈亏迷你图.xlsx","盈亏迷你图.xlsx")</f>
        <v>盈亏迷你图.xlsx</v>
      </c>
      <c r="Q1249">
        <v>0.01</v>
      </c>
      <c r="R1249" s="7" t="str">
        <f t="shared" si="23"/>
        <v>E:\附赠：Excel模板\世界500强Excel经典图表模板\Excel经典图表模板</v>
      </c>
      <c r="S1249" s="9">
        <v>43600.3822106481</v>
      </c>
      <c r="T1249" s="9">
        <v>43390.5147453704</v>
      </c>
    </row>
    <row r="1250" spans="14:20">
      <c r="N1250" s="7" t="str">
        <f>HYPERLINK("E:\附赠：Excel模板\世界500强Excel经典图表模板\Excel经典图表模板\盈亏迷你图_20171121103248.xlsx","盈亏迷你图_20171121103248.xlsx")</f>
        <v>盈亏迷你图_20171121103248.xlsx</v>
      </c>
      <c r="Q1250">
        <v>0.01</v>
      </c>
      <c r="R1250" s="7" t="str">
        <f t="shared" si="23"/>
        <v>E:\附赠：Excel模板\世界500强Excel经典图表模板\Excel经典图表模板</v>
      </c>
      <c r="S1250" s="9">
        <v>43600.3822106481</v>
      </c>
      <c r="T1250" s="9">
        <v>43390.5147453704</v>
      </c>
    </row>
    <row r="1251" spans="14:20">
      <c r="N1251" s="7" t="str">
        <f>HYPERLINK("E:\附赠：Excel模板\世界500强Excel经典图表模板\Excel经典图表模板\直方图.xlsx","直方图.xlsx")</f>
        <v>直方图.xlsx</v>
      </c>
      <c r="Q1251">
        <v>0.02</v>
      </c>
      <c r="R1251" s="7" t="str">
        <f t="shared" si="23"/>
        <v>E:\附赠：Excel模板\世界500强Excel经典图表模板\Excel经典图表模板</v>
      </c>
      <c r="S1251" s="9">
        <v>43600.3822106481</v>
      </c>
      <c r="T1251" s="9">
        <v>43390.5147453704</v>
      </c>
    </row>
    <row r="1252" spans="14:20">
      <c r="N1252" s="7" t="str">
        <f>HYPERLINK("E:\附赠：Excel模板\世界500强Excel经典图表模板\Excel经典图表模板\直方图_20171121103248.xlsx","直方图_20171121103248.xlsx")</f>
        <v>直方图_20171121103248.xlsx</v>
      </c>
      <c r="Q1252">
        <v>0.02</v>
      </c>
      <c r="R1252" s="7" t="str">
        <f t="shared" si="23"/>
        <v>E:\附赠：Excel模板\世界500强Excel经典图表模板\Excel经典图表模板</v>
      </c>
      <c r="S1252" s="9">
        <v>43600.3822106481</v>
      </c>
      <c r="T1252" s="9">
        <v>43390.5147453704</v>
      </c>
    </row>
    <row r="1253" spans="14:20">
      <c r="N1253" s="7" t="str">
        <f>HYPERLINK("E:\附赠：Excel模板\世界500强Excel经典图表模板\Excel经典图表模板\管理利剑EXCEL经典图表.xls","管理利剑EXCEL经典图表.xls")</f>
        <v>管理利剑EXCEL经典图表.xls</v>
      </c>
      <c r="Q1253">
        <v>0.49</v>
      </c>
      <c r="R1253" s="7" t="str">
        <f t="shared" si="23"/>
        <v>E:\附赠：Excel模板\世界500强Excel经典图表模板\Excel经典图表模板</v>
      </c>
      <c r="S1253" s="9">
        <v>43600.3822106481</v>
      </c>
      <c r="T1253" s="9">
        <v>43390.5147685185</v>
      </c>
    </row>
    <row r="1254" spans="14:20">
      <c r="N1254" s="7" t="str">
        <f>HYPERLINK("E:\附赠：Excel模板\世界500强Excel经典图表模板\Excel经典图表模板\簇状条形图.xlsx","簇状条形图.xlsx")</f>
        <v>簇状条形图.xlsx</v>
      </c>
      <c r="Q1254">
        <v>0.03</v>
      </c>
      <c r="R1254" s="7" t="str">
        <f t="shared" ref="R1254:R1264" si="24">HYPERLINK("E:\附赠：Excel模板\世界500强Excel经典图表模板\Excel经典图表模板","E:\附赠：Excel模板\世界500强Excel经典图表模板\Excel经典图表模板")</f>
        <v>E:\附赠：Excel模板\世界500强Excel经典图表模板\Excel经典图表模板</v>
      </c>
      <c r="S1254" s="9">
        <v>43600.3822106481</v>
      </c>
      <c r="T1254" s="9">
        <v>43390.5148148148</v>
      </c>
    </row>
    <row r="1255" spans="14:20">
      <c r="N1255" s="7" t="str">
        <f>HYPERLINK("E:\附赠：Excel模板\世界500强Excel经典图表模板\Excel经典图表模板\簇状条形图_20171121103246.xlsx","簇状条形图_20171121103246.xlsx")</f>
        <v>簇状条形图_20171121103246.xlsx</v>
      </c>
      <c r="Q1255">
        <v>0.03</v>
      </c>
      <c r="R1255" s="7" t="str">
        <f t="shared" si="24"/>
        <v>E:\附赠：Excel模板\世界500强Excel经典图表模板\Excel经典图表模板</v>
      </c>
      <c r="S1255" s="9">
        <v>43600.3822106481</v>
      </c>
      <c r="T1255" s="9">
        <v>43390.5148148148</v>
      </c>
    </row>
    <row r="1256" spans="14:20">
      <c r="N1256" s="7" t="str">
        <f>HYPERLINK("E:\附赠：Excel模板\世界500强Excel经典图表模板\Excel经典图表模板\簇状条形图_20171121103248.xlsx","簇状条形图_20171121103248.xlsx")</f>
        <v>簇状条形图_20171121103248.xlsx</v>
      </c>
      <c r="Q1256">
        <v>0.03</v>
      </c>
      <c r="R1256" s="7" t="str">
        <f t="shared" si="24"/>
        <v>E:\附赠：Excel模板\世界500强Excel经典图表模板\Excel经典图表模板</v>
      </c>
      <c r="S1256" s="9">
        <v>43600.3822106481</v>
      </c>
      <c r="T1256" s="9">
        <v>43390.5148148148</v>
      </c>
    </row>
    <row r="1257" spans="14:20">
      <c r="N1257" s="7" t="str">
        <f>HYPERLINK("E:\附赠：Excel模板\世界500强Excel经典图表模板\Excel经典图表模板\簇状柱形图.xlsx","簇状柱形图.xlsx")</f>
        <v>簇状柱形图.xlsx</v>
      </c>
      <c r="Q1257">
        <v>0.03</v>
      </c>
      <c r="R1257" s="7" t="str">
        <f t="shared" si="24"/>
        <v>E:\附赠：Excel模板\世界500强Excel经典图表模板\Excel经典图表模板</v>
      </c>
      <c r="S1257" s="9">
        <v>43600.3822106481</v>
      </c>
      <c r="T1257" s="9">
        <v>43390.5148148148</v>
      </c>
    </row>
    <row r="1258" spans="14:20">
      <c r="N1258" s="7" t="str">
        <f>HYPERLINK("E:\附赠：Excel模板\世界500强Excel经典图表模板\Excel经典图表模板\簇状柱形图_20171121103247.xlsx","簇状柱形图_20171121103247.xlsx")</f>
        <v>簇状柱形图_20171121103247.xlsx</v>
      </c>
      <c r="Q1258">
        <v>0.03</v>
      </c>
      <c r="R1258" s="7" t="str">
        <f t="shared" si="24"/>
        <v>E:\附赠：Excel模板\世界500强Excel经典图表模板\Excel经典图表模板</v>
      </c>
      <c r="S1258" s="9">
        <v>43600.3822106481</v>
      </c>
      <c r="T1258" s="9">
        <v>43390.5148148148</v>
      </c>
    </row>
    <row r="1259" spans="14:20">
      <c r="N1259" s="7" t="str">
        <f>HYPERLINK("E:\附赠：Excel模板\世界500强Excel经典图表模板\Excel经典图表模板\粗边面积图.xlsx","粗边面积图.xlsx")</f>
        <v>粗边面积图.xlsx</v>
      </c>
      <c r="Q1259">
        <v>0.03</v>
      </c>
      <c r="R1259" s="7" t="str">
        <f t="shared" si="24"/>
        <v>E:\附赠：Excel模板\世界500强Excel经典图表模板\Excel经典图表模板</v>
      </c>
      <c r="S1259" s="9">
        <v>43600.3822106481</v>
      </c>
      <c r="T1259" s="9">
        <v>43390.5148148148</v>
      </c>
    </row>
    <row r="1260" spans="14:20">
      <c r="N1260" s="7" t="str">
        <f>HYPERLINK("E:\附赠：Excel模板\世界500强Excel经典图表模板\Excel经典图表模板\粗边面积图_20171121103247.xlsx","粗边面积图_20171121103247.xlsx")</f>
        <v>粗边面积图_20171121103247.xlsx</v>
      </c>
      <c r="Q1260">
        <v>0.03</v>
      </c>
      <c r="R1260" s="7" t="str">
        <f t="shared" si="24"/>
        <v>E:\附赠：Excel模板\世界500强Excel经典图表模板\Excel经典图表模板</v>
      </c>
      <c r="S1260" s="9">
        <v>43600.3822106481</v>
      </c>
      <c r="T1260" s="9">
        <v>43390.5148148148</v>
      </c>
    </row>
    <row r="1261" spans="14:20">
      <c r="N1261" s="7" t="str">
        <f>HYPERLINK("E:\附赠：Excel模板\世界500强Excel经典图表模板\Excel经典图表模板\粗边面积图_20171121103248.xlsx","粗边面积图_20171121103248.xlsx")</f>
        <v>粗边面积图_20171121103248.xlsx</v>
      </c>
      <c r="Q1261">
        <v>0.03</v>
      </c>
      <c r="R1261" s="7" t="str">
        <f t="shared" si="24"/>
        <v>E:\附赠：Excel模板\世界500强Excel经典图表模板\Excel经典图表模板</v>
      </c>
      <c r="S1261" s="9">
        <v>43600.3822106481</v>
      </c>
      <c r="T1261" s="9">
        <v>43390.5148148148</v>
      </c>
    </row>
    <row r="1262" spans="14:20">
      <c r="N1262" s="7" t="str">
        <f>HYPERLINK("E:\附赠：Excel模板\世界500强Excel经典图表模板\Excel经典图表模板\雷达图.xlsx","雷达图.xlsx")</f>
        <v>雷达图.xlsx</v>
      </c>
      <c r="Q1262">
        <v>0.02</v>
      </c>
      <c r="R1262" s="7" t="str">
        <f t="shared" si="24"/>
        <v>E:\附赠：Excel模板\世界500强Excel经典图表模板\Excel经典图表模板</v>
      </c>
      <c r="S1262" s="9">
        <v>43600.3822106481</v>
      </c>
      <c r="T1262" s="9">
        <v>43390.5147685185</v>
      </c>
    </row>
    <row r="1263" spans="14:20">
      <c r="N1263" s="7" t="str">
        <f>HYPERLINK("E:\附赠：Excel模板\世界500强Excel经典图表模板\Excel经典图表模板\饼图和分离型饼图.xlsx","饼图和分离型饼图.xlsx")</f>
        <v>饼图和分离型饼图.xlsx</v>
      </c>
      <c r="Q1263">
        <v>0.02</v>
      </c>
      <c r="R1263" s="7" t="str">
        <f t="shared" si="24"/>
        <v>E:\附赠：Excel模板\世界500强Excel经典图表模板\Excel经典图表模板</v>
      </c>
      <c r="S1263" s="9">
        <v>43600.3822106481</v>
      </c>
      <c r="T1263" s="9">
        <v>43390.5148148148</v>
      </c>
    </row>
    <row r="1264" spans="14:20">
      <c r="N1264" s="7" t="str">
        <f>HYPERLINK("E:\附赠：Excel模板\世界500强Excel经典图表模板\Excel经典图表模板\饼图和分离型饼图_20171121103249.xlsx","饼图和分离型饼图_20171121103249.xlsx")</f>
        <v>饼图和分离型饼图_20171121103249.xlsx</v>
      </c>
      <c r="Q1264">
        <v>0.02</v>
      </c>
      <c r="R1264" s="7" t="str">
        <f t="shared" si="24"/>
        <v>E:\附赠：Excel模板\世界500强Excel经典图表模板\Excel经典图表模板</v>
      </c>
      <c r="S1264" s="9">
        <v>43600.3822106481</v>
      </c>
      <c r="T1264" s="9">
        <v>43390.5148148148</v>
      </c>
    </row>
    <row r="1265" spans="14:20">
      <c r="N1265" t="s">
        <v>15</v>
      </c>
      <c r="Q1265" t="s">
        <v>15</v>
      </c>
      <c r="R1265" t="s">
        <v>15</v>
      </c>
      <c r="S1265" t="s">
        <v>15</v>
      </c>
      <c r="T1265" t="s">
        <v>15</v>
      </c>
    </row>
    <row r="1266" spans="14:20">
      <c r="N1266" t="s">
        <v>15</v>
      </c>
      <c r="Q1266" t="s">
        <v>15</v>
      </c>
      <c r="R1266" t="s">
        <v>15</v>
      </c>
      <c r="S1266" t="s">
        <v>15</v>
      </c>
      <c r="T1266" t="s">
        <v>15</v>
      </c>
    </row>
    <row r="1267" spans="14:20">
      <c r="N1267" s="7" t="str">
        <f>HYPERLINK("E:\附赠：Excel模板\世界500强Excel经典图表模板\矢量图\矢量图表\ILLUS10.jpg","ILLUS10.jpg")</f>
        <v>ILLUS10.jpg</v>
      </c>
      <c r="Q1267">
        <v>0.47</v>
      </c>
      <c r="R1267" s="7" t="str">
        <f t="shared" ref="R1267:R1315" si="25">HYPERLINK("E:\附赠：Excel模板\世界500强Excel经典图表模板\矢量图\矢量图表","E:\附赠：Excel模板\世界500强Excel经典图表模板\矢量图\矢量图表")</f>
        <v>E:\附赠：Excel模板\世界500强Excel经典图表模板\矢量图\矢量图表</v>
      </c>
      <c r="S1267" s="9">
        <v>43600.3822106481</v>
      </c>
      <c r="T1267" s="9">
        <v>43390.518912037</v>
      </c>
    </row>
    <row r="1268" spans="14:20">
      <c r="N1268" s="7" t="str">
        <f>HYPERLINK("E:\附赠：Excel模板\世界500强Excel经典图表模板\矢量图\矢量图表\ILLUS11.jpg","ILLUS11.jpg")</f>
        <v>ILLUS11.jpg</v>
      </c>
      <c r="Q1268">
        <v>0.42</v>
      </c>
      <c r="R1268" s="7" t="str">
        <f t="shared" si="25"/>
        <v>E:\附赠：Excel模板\世界500强Excel经典图表模板\矢量图\矢量图表</v>
      </c>
      <c r="S1268" s="9">
        <v>43600.3822106481</v>
      </c>
      <c r="T1268" s="9">
        <v>43390.518912037</v>
      </c>
    </row>
    <row r="1269" spans="14:20">
      <c r="N1269" s="7" t="str">
        <f>HYPERLINK("E:\附赠：Excel模板\世界500强Excel经典图表模板\矢量图\矢量图表\ILLUS12.jpg","ILLUS12.jpg")</f>
        <v>ILLUS12.jpg</v>
      </c>
      <c r="Q1269">
        <v>0.36</v>
      </c>
      <c r="R1269" s="7" t="str">
        <f t="shared" si="25"/>
        <v>E:\附赠：Excel模板\世界500强Excel经典图表模板\矢量图\矢量图表</v>
      </c>
      <c r="S1269" s="9">
        <v>43600.3822106481</v>
      </c>
      <c r="T1269" s="9">
        <v>43390.518912037</v>
      </c>
    </row>
    <row r="1270" spans="14:20">
      <c r="N1270" s="7" t="str">
        <f>HYPERLINK("E:\附赠：Excel模板\世界500强Excel经典图表模板\矢量图\矢量图表\ILLUS13.jpg","ILLUS13.jpg")</f>
        <v>ILLUS13.jpg</v>
      </c>
      <c r="Q1270">
        <v>0.31</v>
      </c>
      <c r="R1270" s="7" t="str">
        <f t="shared" si="25"/>
        <v>E:\附赠：Excel模板\世界500强Excel经典图表模板\矢量图\矢量图表</v>
      </c>
      <c r="S1270" s="9">
        <v>43600.3822106481</v>
      </c>
      <c r="T1270" s="9">
        <v>43390.518912037</v>
      </c>
    </row>
    <row r="1271" spans="14:20">
      <c r="N1271" s="7" t="str">
        <f>HYPERLINK("E:\附赠：Excel模板\世界500强Excel经典图表模板\矢量图\矢量图表\ILLUS14.jpg","ILLUS14.jpg")</f>
        <v>ILLUS14.jpg</v>
      </c>
      <c r="Q1271">
        <v>0.37</v>
      </c>
      <c r="R1271" s="7" t="str">
        <f t="shared" si="25"/>
        <v>E:\附赠：Excel模板\世界500强Excel经典图表模板\矢量图\矢量图表</v>
      </c>
      <c r="S1271" s="9">
        <v>43600.3822106481</v>
      </c>
      <c r="T1271" s="9">
        <v>43390.518912037</v>
      </c>
    </row>
    <row r="1272" spans="14:20">
      <c r="N1272" s="7" t="str">
        <f>HYPERLINK("E:\附赠：Excel模板\世界500强Excel经典图表模板\矢量图\矢量图表\ILLUS15.jpg","ILLUS15.jpg")</f>
        <v>ILLUS15.jpg</v>
      </c>
      <c r="Q1272">
        <v>0.49</v>
      </c>
      <c r="R1272" s="7" t="str">
        <f t="shared" si="25"/>
        <v>E:\附赠：Excel模板\世界500强Excel经典图表模板\矢量图\矢量图表</v>
      </c>
      <c r="S1272" s="9">
        <v>43600.3822106481</v>
      </c>
      <c r="T1272" s="9">
        <v>43390.518912037</v>
      </c>
    </row>
    <row r="1273" spans="14:20">
      <c r="N1273" s="7" t="str">
        <f>HYPERLINK("E:\附赠：Excel模板\世界500强Excel经典图表模板\矢量图\矢量图表\ILLUS16.jpg","ILLUS16.jpg")</f>
        <v>ILLUS16.jpg</v>
      </c>
      <c r="Q1273">
        <v>0.41</v>
      </c>
      <c r="R1273" s="7" t="str">
        <f t="shared" si="25"/>
        <v>E:\附赠：Excel模板\世界500强Excel经典图表模板\矢量图\矢量图表</v>
      </c>
      <c r="S1273" s="9">
        <v>43600.3822106481</v>
      </c>
      <c r="T1273" s="9">
        <v>43390.5188888889</v>
      </c>
    </row>
    <row r="1274" spans="14:20">
      <c r="N1274" s="7" t="str">
        <f>HYPERLINK("E:\附赠：Excel模板\世界500强Excel经典图表模板\矢量图\矢量图表\ILLUS17.jpg","ILLUS17.jpg")</f>
        <v>ILLUS17.jpg</v>
      </c>
      <c r="Q1274">
        <v>0.33</v>
      </c>
      <c r="R1274" s="7" t="str">
        <f t="shared" si="25"/>
        <v>E:\附赠：Excel模板\世界500强Excel经典图表模板\矢量图\矢量图表</v>
      </c>
      <c r="S1274" s="9">
        <v>43600.3822106481</v>
      </c>
      <c r="T1274" s="9">
        <v>43390.5188888889</v>
      </c>
    </row>
    <row r="1275" spans="14:20">
      <c r="N1275" s="7" t="str">
        <f>HYPERLINK("E:\附赠：Excel模板\世界500强Excel经典图表模板\矢量图\矢量图表\ILLUS18.jpg","ILLUS18.jpg")</f>
        <v>ILLUS18.jpg</v>
      </c>
      <c r="Q1275">
        <v>0.34</v>
      </c>
      <c r="R1275" s="7" t="str">
        <f t="shared" si="25"/>
        <v>E:\附赠：Excel模板\世界500强Excel经典图表模板\矢量图\矢量图表</v>
      </c>
      <c r="S1275" s="9">
        <v>43600.3822106481</v>
      </c>
      <c r="T1275" s="9">
        <v>43390.5188888889</v>
      </c>
    </row>
    <row r="1276" spans="14:20">
      <c r="N1276" s="7" t="str">
        <f>HYPERLINK("E:\附赠：Excel模板\世界500强Excel经典图表模板\矢量图\矢量图表\ILLUS19.jpg","ILLUS19.jpg")</f>
        <v>ILLUS19.jpg</v>
      </c>
      <c r="Q1276">
        <v>0.41</v>
      </c>
      <c r="R1276" s="7" t="str">
        <f t="shared" si="25"/>
        <v>E:\附赠：Excel模板\世界500强Excel经典图表模板\矢量图\矢量图表</v>
      </c>
      <c r="S1276" s="9">
        <v>43600.3822106481</v>
      </c>
      <c r="T1276" s="9">
        <v>43390.5188888889</v>
      </c>
    </row>
    <row r="1277" spans="14:20">
      <c r="N1277" s="7" t="str">
        <f>HYPERLINK("E:\附赠：Excel模板\世界500强Excel经典图表模板\矢量图\矢量图表\ILLUS20.jpg","ILLUS20.jpg")</f>
        <v>ILLUS20.jpg</v>
      </c>
      <c r="Q1277">
        <v>0.39</v>
      </c>
      <c r="R1277" s="7" t="str">
        <f t="shared" si="25"/>
        <v>E:\附赠：Excel模板\世界500强Excel经典图表模板\矢量图\矢量图表</v>
      </c>
      <c r="S1277" s="9">
        <v>43600.3822106481</v>
      </c>
      <c r="T1277" s="9">
        <v>43390.5188888889</v>
      </c>
    </row>
    <row r="1278" spans="14:20">
      <c r="N1278" s="7" t="str">
        <f>HYPERLINK("E:\附赠：Excel模板\世界500强Excel经典图表模板\矢量图\矢量图表\ILLUS21.jpg","ILLUS21.jpg")</f>
        <v>ILLUS21.jpg</v>
      </c>
      <c r="Q1278">
        <v>0.06</v>
      </c>
      <c r="R1278" s="7" t="str">
        <f t="shared" si="25"/>
        <v>E:\附赠：Excel模板\世界500强Excel经典图表模板\矢量图\矢量图表</v>
      </c>
      <c r="S1278" s="9">
        <v>43600.3822106481</v>
      </c>
      <c r="T1278" s="9">
        <v>43390.5188888889</v>
      </c>
    </row>
    <row r="1279" spans="14:20">
      <c r="N1279" s="7" t="str">
        <f>HYPERLINK("E:\附赠：Excel模板\世界500强Excel经典图表模板\矢量图\矢量图表\ILLUS22.jpg","ILLUS22.jpg")</f>
        <v>ILLUS22.jpg</v>
      </c>
      <c r="Q1279">
        <v>0.06</v>
      </c>
      <c r="R1279" s="7" t="str">
        <f t="shared" si="25"/>
        <v>E:\附赠：Excel模板\世界500强Excel经典图表模板\矢量图\矢量图表</v>
      </c>
      <c r="S1279" s="9">
        <v>43600.3822106481</v>
      </c>
      <c r="T1279" s="9">
        <v>43390.5188888889</v>
      </c>
    </row>
    <row r="1280" spans="14:20">
      <c r="N1280" s="7" t="str">
        <f>HYPERLINK("E:\附赠：Excel模板\世界500强Excel经典图表模板\矢量图\矢量图表\ILLUS23.jpg","ILLUS23.jpg")</f>
        <v>ILLUS23.jpg</v>
      </c>
      <c r="Q1280">
        <v>0.07</v>
      </c>
      <c r="R1280" s="7" t="str">
        <f t="shared" si="25"/>
        <v>E:\附赠：Excel模板\世界500强Excel经典图表模板\矢量图\矢量图表</v>
      </c>
      <c r="S1280" s="9">
        <v>43600.3822106481</v>
      </c>
      <c r="T1280" s="9">
        <v>43390.5188888889</v>
      </c>
    </row>
    <row r="1281" spans="14:20">
      <c r="N1281" s="7" t="str">
        <f>HYPERLINK("E:\附赠：Excel模板\世界500强Excel经典图表模板\矢量图\矢量图表\ILLUS24.jpg","ILLUS24.jpg")</f>
        <v>ILLUS24.jpg</v>
      </c>
      <c r="Q1281">
        <v>0.33</v>
      </c>
      <c r="R1281" s="7" t="str">
        <f t="shared" si="25"/>
        <v>E:\附赠：Excel模板\世界500强Excel经典图表模板\矢量图\矢量图表</v>
      </c>
      <c r="S1281" s="9">
        <v>43600.3822106481</v>
      </c>
      <c r="T1281" s="9">
        <v>43390.5188888889</v>
      </c>
    </row>
    <row r="1282" spans="14:20">
      <c r="N1282" s="7" t="str">
        <f>HYPERLINK("E:\附赠：Excel模板\世界500强Excel经典图表模板\矢量图\矢量图表\ILLUS25.jpg","ILLUS25.jpg")</f>
        <v>ILLUS25.jpg</v>
      </c>
      <c r="Q1282">
        <v>0.35</v>
      </c>
      <c r="R1282" s="7" t="str">
        <f t="shared" si="25"/>
        <v>E:\附赠：Excel模板\世界500强Excel经典图表模板\矢量图\矢量图表</v>
      </c>
      <c r="S1282" s="9">
        <v>43600.3822106481</v>
      </c>
      <c r="T1282" s="9">
        <v>43390.5188888889</v>
      </c>
    </row>
    <row r="1283" spans="14:20">
      <c r="N1283" s="7" t="str">
        <f>HYPERLINK("E:\附赠：Excel模板\世界500强Excel经典图表模板\矢量图\矢量图表\ILLUS26.jpg","ILLUS26.jpg")</f>
        <v>ILLUS26.jpg</v>
      </c>
      <c r="Q1283">
        <v>0.05</v>
      </c>
      <c r="R1283" s="7" t="str">
        <f t="shared" si="25"/>
        <v>E:\附赠：Excel模板\世界500强Excel经典图表模板\矢量图\矢量图表</v>
      </c>
      <c r="S1283" s="9">
        <v>43600.3822106481</v>
      </c>
      <c r="T1283" s="9">
        <v>43390.5188888889</v>
      </c>
    </row>
    <row r="1284" spans="14:20">
      <c r="N1284" s="7" t="str">
        <f>HYPERLINK("E:\附赠：Excel模板\世界500强Excel经典图表模板\矢量图\矢量图表\ILLUS27.jpg","ILLUS27.jpg")</f>
        <v>ILLUS27.jpg</v>
      </c>
      <c r="Q1284">
        <v>0.06</v>
      </c>
      <c r="R1284" s="7" t="str">
        <f t="shared" si="25"/>
        <v>E:\附赠：Excel模板\世界500强Excel经典图表模板\矢量图\矢量图表</v>
      </c>
      <c r="S1284" s="9">
        <v>43600.3822106481</v>
      </c>
      <c r="T1284" s="9">
        <v>43390.5188888889</v>
      </c>
    </row>
    <row r="1285" spans="14:20">
      <c r="N1285" s="7" t="str">
        <f>HYPERLINK("E:\附赠：Excel模板\世界500强Excel经典图表模板\矢量图\矢量图表\ILLUS28.jpg","ILLUS28.jpg")</f>
        <v>ILLUS28.jpg</v>
      </c>
      <c r="Q1285">
        <v>0.06</v>
      </c>
      <c r="R1285" s="7" t="str">
        <f t="shared" si="25"/>
        <v>E:\附赠：Excel模板\世界500强Excel经典图表模板\矢量图\矢量图表</v>
      </c>
      <c r="S1285" s="9">
        <v>43600.3822106481</v>
      </c>
      <c r="T1285" s="9">
        <v>43390.5188888889</v>
      </c>
    </row>
    <row r="1286" spans="14:20">
      <c r="N1286" s="7" t="str">
        <f>HYPERLINK("E:\附赠：Excel模板\世界500强Excel经典图表模板\矢量图\矢量图表\ILLUS29.jpg","ILLUS29.jpg")</f>
        <v>ILLUS29.jpg</v>
      </c>
      <c r="Q1286">
        <v>0.42</v>
      </c>
      <c r="R1286" s="7" t="str">
        <f t="shared" si="25"/>
        <v>E:\附赠：Excel模板\世界500强Excel经典图表模板\矢量图\矢量图表</v>
      </c>
      <c r="S1286" s="9">
        <v>43600.3822106481</v>
      </c>
      <c r="T1286" s="9">
        <v>43390.5188888889</v>
      </c>
    </row>
    <row r="1287" spans="14:20">
      <c r="N1287" s="7" t="str">
        <f>HYPERLINK("E:\附赠：Excel模板\世界500强Excel经典图表模板\矢量图\矢量图表\ILLUS30.jpg","ILLUS30.jpg")</f>
        <v>ILLUS30.jpg</v>
      </c>
      <c r="Q1287">
        <v>0.44</v>
      </c>
      <c r="R1287" s="7" t="str">
        <f t="shared" si="25"/>
        <v>E:\附赠：Excel模板\世界500强Excel经典图表模板\矢量图\矢量图表</v>
      </c>
      <c r="S1287" s="9">
        <v>43600.3822106481</v>
      </c>
      <c r="T1287" s="9">
        <v>43390.5188657407</v>
      </c>
    </row>
    <row r="1288" spans="14:20">
      <c r="N1288" s="7" t="str">
        <f>HYPERLINK("E:\附赠：Excel模板\世界500强Excel经典图表模板\矢量图\矢量图表\ILLUS31.jpg","ILLUS31.jpg")</f>
        <v>ILLUS31.jpg</v>
      </c>
      <c r="Q1288">
        <v>0.34</v>
      </c>
      <c r="R1288" s="7" t="str">
        <f t="shared" si="25"/>
        <v>E:\附赠：Excel模板\世界500强Excel经典图表模板\矢量图\矢量图表</v>
      </c>
      <c r="S1288" s="9">
        <v>43600.3822106481</v>
      </c>
      <c r="T1288" s="9">
        <v>43390.5188888889</v>
      </c>
    </row>
    <row r="1289" spans="14:20">
      <c r="N1289" s="7" t="str">
        <f>HYPERLINK("E:\附赠：Excel模板\世界500强Excel经典图表模板\矢量图\矢量图表\ILLUS32.jpg","ILLUS32.jpg")</f>
        <v>ILLUS32.jpg</v>
      </c>
      <c r="Q1289">
        <v>0.05</v>
      </c>
      <c r="R1289" s="7" t="str">
        <f t="shared" si="25"/>
        <v>E:\附赠：Excel模板\世界500强Excel经典图表模板\矢量图\矢量图表</v>
      </c>
      <c r="S1289" s="9">
        <v>43600.3822106481</v>
      </c>
      <c r="T1289" s="9">
        <v>43390.5188657407</v>
      </c>
    </row>
    <row r="1290" spans="14:20">
      <c r="N1290" s="7" t="str">
        <f>HYPERLINK("E:\附赠：Excel模板\世界500强Excel经典图表模板\矢量图\矢量图表\ILLUS33.jpg","ILLUS33.jpg")</f>
        <v>ILLUS33.jpg</v>
      </c>
      <c r="Q1290">
        <v>0.32</v>
      </c>
      <c r="R1290" s="7" t="str">
        <f t="shared" si="25"/>
        <v>E:\附赠：Excel模板\世界500强Excel经典图表模板\矢量图\矢量图表</v>
      </c>
      <c r="S1290" s="9">
        <v>43600.3822106481</v>
      </c>
      <c r="T1290" s="9">
        <v>43390.5188657407</v>
      </c>
    </row>
    <row r="1291" spans="14:20">
      <c r="N1291" s="7" t="str">
        <f>HYPERLINK("E:\附赠：Excel模板\世界500强Excel经典图表模板\矢量图\矢量图表\ILLUS34.jpg","ILLUS34.jpg")</f>
        <v>ILLUS34.jpg</v>
      </c>
      <c r="Q1291">
        <v>0.06</v>
      </c>
      <c r="R1291" s="7" t="str">
        <f t="shared" si="25"/>
        <v>E:\附赠：Excel模板\世界500强Excel经典图表模板\矢量图\矢量图表</v>
      </c>
      <c r="S1291" s="9">
        <v>43600.3822106481</v>
      </c>
      <c r="T1291" s="9">
        <v>43390.5188657407</v>
      </c>
    </row>
    <row r="1292" spans="14:20">
      <c r="N1292" s="7" t="str">
        <f>HYPERLINK("E:\附赠：Excel模板\世界500强Excel经典图表模板\矢量图\矢量图表\ILLUS35.jpg","ILLUS35.jpg")</f>
        <v>ILLUS35.jpg</v>
      </c>
      <c r="Q1292">
        <v>0.46</v>
      </c>
      <c r="R1292" s="7" t="str">
        <f t="shared" si="25"/>
        <v>E:\附赠：Excel模板\世界500强Excel经典图表模板\矢量图\矢量图表</v>
      </c>
      <c r="S1292" s="9">
        <v>43600.3822106481</v>
      </c>
      <c r="T1292" s="9">
        <v>43390.5188657407</v>
      </c>
    </row>
    <row r="1293" spans="14:20">
      <c r="N1293" s="7" t="str">
        <f>HYPERLINK("E:\附赠：Excel模板\世界500强Excel经典图表模板\矢量图\矢量图表\ILLUS36.jpg","ILLUS36.jpg")</f>
        <v>ILLUS36.jpg</v>
      </c>
      <c r="Q1293">
        <v>0.06</v>
      </c>
      <c r="R1293" s="7" t="str">
        <f t="shared" si="25"/>
        <v>E:\附赠：Excel模板\世界500强Excel经典图表模板\矢量图\矢量图表</v>
      </c>
      <c r="S1293" s="9">
        <v>43600.3822106481</v>
      </c>
      <c r="T1293" s="9">
        <v>43390.5188657407</v>
      </c>
    </row>
    <row r="1294" spans="14:20">
      <c r="N1294" s="7" t="str">
        <f>HYPERLINK("E:\附赠：Excel模板\世界500强Excel经典图表模板\矢量图\矢量图表\ILLUS37.jpg","ILLUS37.jpg")</f>
        <v>ILLUS37.jpg</v>
      </c>
      <c r="Q1294">
        <v>0.38</v>
      </c>
      <c r="R1294" s="7" t="str">
        <f t="shared" si="25"/>
        <v>E:\附赠：Excel模板\世界500强Excel经典图表模板\矢量图\矢量图表</v>
      </c>
      <c r="S1294" s="9">
        <v>43600.3822106481</v>
      </c>
      <c r="T1294" s="9">
        <v>43390.5188657407</v>
      </c>
    </row>
    <row r="1295" spans="14:20">
      <c r="N1295" s="7" t="str">
        <f>HYPERLINK("E:\附赠：Excel模板\世界500强Excel经典图表模板\矢量图\矢量图表\ILLUS38.jpg","ILLUS38.jpg")</f>
        <v>ILLUS38.jpg</v>
      </c>
      <c r="Q1295">
        <v>0.06</v>
      </c>
      <c r="R1295" s="7" t="str">
        <f t="shared" si="25"/>
        <v>E:\附赠：Excel模板\世界500强Excel经典图表模板\矢量图\矢量图表</v>
      </c>
      <c r="S1295" s="9">
        <v>43600.3822106481</v>
      </c>
      <c r="T1295" s="9">
        <v>43390.5188657407</v>
      </c>
    </row>
    <row r="1296" spans="14:20">
      <c r="N1296" s="7" t="str">
        <f>HYPERLINK("E:\附赠：Excel模板\世界500强Excel经典图表模板\矢量图\矢量图表\ILLUS39.jpg","ILLUS39.jpg")</f>
        <v>ILLUS39.jpg</v>
      </c>
      <c r="Q1296">
        <v>0.06</v>
      </c>
      <c r="R1296" s="7" t="str">
        <f t="shared" si="25"/>
        <v>E:\附赠：Excel模板\世界500强Excel经典图表模板\矢量图\矢量图表</v>
      </c>
      <c r="S1296" s="9">
        <v>43600.3822106481</v>
      </c>
      <c r="T1296" s="9">
        <v>43390.5188657407</v>
      </c>
    </row>
    <row r="1297" spans="14:20">
      <c r="N1297" s="7" t="str">
        <f>HYPERLINK("E:\附赠：Excel模板\世界500强Excel经典图表模板\矢量图\矢量图表\ILLUS40.jpg","ILLUS40.jpg")</f>
        <v>ILLUS40.jpg</v>
      </c>
      <c r="Q1297">
        <v>0.37</v>
      </c>
      <c r="R1297" s="7" t="str">
        <f t="shared" si="25"/>
        <v>E:\附赠：Excel模板\世界500强Excel经典图表模板\矢量图\矢量图表</v>
      </c>
      <c r="S1297" s="9">
        <v>43600.3822106481</v>
      </c>
      <c r="T1297" s="9">
        <v>43390.5188657407</v>
      </c>
    </row>
    <row r="1298" spans="14:20">
      <c r="N1298" s="7" t="str">
        <f>HYPERLINK("E:\附赠：Excel模板\世界500强Excel经典图表模板\矢量图\矢量图表\ILLUS41.jpg","ILLUS41.jpg")</f>
        <v>ILLUS41.jpg</v>
      </c>
      <c r="Q1298">
        <v>0.06</v>
      </c>
      <c r="R1298" s="7" t="str">
        <f t="shared" si="25"/>
        <v>E:\附赠：Excel模板\世界500强Excel经典图表模板\矢量图\矢量图表</v>
      </c>
      <c r="S1298" s="9">
        <v>43600.3822106481</v>
      </c>
      <c r="T1298" s="9">
        <v>43390.5188657407</v>
      </c>
    </row>
    <row r="1299" spans="14:20">
      <c r="N1299" s="7" t="str">
        <f>HYPERLINK("E:\附赠：Excel模板\世界500强Excel经典图表模板\矢量图\矢量图表\ILLUS42.jpg","ILLUS42.jpg")</f>
        <v>ILLUS42.jpg</v>
      </c>
      <c r="Q1299">
        <v>0.32</v>
      </c>
      <c r="R1299" s="7" t="str">
        <f t="shared" si="25"/>
        <v>E:\附赠：Excel模板\世界500强Excel经典图表模板\矢量图\矢量图表</v>
      </c>
      <c r="S1299" s="9">
        <v>43600.3822106481</v>
      </c>
      <c r="T1299" s="9">
        <v>43390.5188657407</v>
      </c>
    </row>
    <row r="1300" spans="14:20">
      <c r="N1300" s="7" t="str">
        <f>HYPERLINK("E:\附赠：Excel模板\世界500强Excel经典图表模板\矢量图\矢量图表\ILLUS43.jpg","ILLUS43.jpg")</f>
        <v>ILLUS43.jpg</v>
      </c>
      <c r="Q1300">
        <v>0.31</v>
      </c>
      <c r="R1300" s="7" t="str">
        <f t="shared" si="25"/>
        <v>E:\附赠：Excel模板\世界500强Excel经典图表模板\矢量图\矢量图表</v>
      </c>
      <c r="S1300" s="9">
        <v>43600.3822106481</v>
      </c>
      <c r="T1300" s="9">
        <v>43390.5188657407</v>
      </c>
    </row>
    <row r="1301" spans="14:20">
      <c r="N1301" s="7" t="str">
        <f>HYPERLINK("E:\附赠：Excel模板\世界500强Excel经典图表模板\矢量图\矢量图表\ILLUS44.jpg","ILLUS44.jpg")</f>
        <v>ILLUS44.jpg</v>
      </c>
      <c r="Q1301">
        <v>0.05</v>
      </c>
      <c r="R1301" s="7" t="str">
        <f t="shared" si="25"/>
        <v>E:\附赠：Excel模板\世界500强Excel经典图表模板\矢量图\矢量图表</v>
      </c>
      <c r="S1301" s="9">
        <v>43600.3822106481</v>
      </c>
      <c r="T1301" s="9">
        <v>43390.5188657407</v>
      </c>
    </row>
    <row r="1302" spans="14:20">
      <c r="N1302" s="7" t="str">
        <f>HYPERLINK("E:\附赠：Excel模板\世界500强Excel经典图表模板\矢量图\矢量图表\ILLUS45.jpg","ILLUS45.jpg")</f>
        <v>ILLUS45.jpg</v>
      </c>
      <c r="Q1302">
        <v>0.39</v>
      </c>
      <c r="R1302" s="7" t="str">
        <f t="shared" si="25"/>
        <v>E:\附赠：Excel模板\世界500强Excel经典图表模板\矢量图\矢量图表</v>
      </c>
      <c r="S1302" s="9">
        <v>43600.3822106481</v>
      </c>
      <c r="T1302" s="9">
        <v>43390.5188425926</v>
      </c>
    </row>
    <row r="1303" spans="14:20">
      <c r="N1303" s="7" t="str">
        <f>HYPERLINK("E:\附赠：Excel模板\世界500强Excel经典图表模板\矢量图\矢量图表\ILLUS46.jpg","ILLUS46.jpg")</f>
        <v>ILLUS46.jpg</v>
      </c>
      <c r="Q1303">
        <v>0.38</v>
      </c>
      <c r="R1303" s="7" t="str">
        <f t="shared" si="25"/>
        <v>E:\附赠：Excel模板\世界500强Excel经典图表模板\矢量图\矢量图表</v>
      </c>
      <c r="S1303" s="9">
        <v>43600.3822106481</v>
      </c>
      <c r="T1303" s="9">
        <v>43390.5188425926</v>
      </c>
    </row>
    <row r="1304" spans="14:20">
      <c r="N1304" s="7" t="str">
        <f>HYPERLINK("E:\附赠：Excel模板\世界500强Excel经典图表模板\矢量图\矢量图表\ILLUS47.jpg","ILLUS47.jpg")</f>
        <v>ILLUS47.jpg</v>
      </c>
      <c r="Q1304">
        <v>0.34</v>
      </c>
      <c r="R1304" s="7" t="str">
        <f t="shared" si="25"/>
        <v>E:\附赠：Excel模板\世界500强Excel经典图表模板\矢量图\矢量图表</v>
      </c>
      <c r="S1304" s="9">
        <v>43600.3822106481</v>
      </c>
      <c r="T1304" s="9">
        <v>43390.5188425926</v>
      </c>
    </row>
    <row r="1305" spans="14:20">
      <c r="N1305" s="7" t="str">
        <f>HYPERLINK("E:\附赠：Excel模板\世界500强Excel经典图表模板\矢量图\矢量图表\ILLUS48.jpg","ILLUS48.jpg")</f>
        <v>ILLUS48.jpg</v>
      </c>
      <c r="Q1305">
        <v>0.4</v>
      </c>
      <c r="R1305" s="7" t="str">
        <f t="shared" si="25"/>
        <v>E:\附赠：Excel模板\世界500强Excel经典图表模板\矢量图\矢量图表</v>
      </c>
      <c r="S1305" s="9">
        <v>43600.3822106481</v>
      </c>
      <c r="T1305" s="9">
        <v>43390.5188425926</v>
      </c>
    </row>
    <row r="1306" spans="14:20">
      <c r="N1306" s="7" t="str">
        <f>HYPERLINK("E:\附赠：Excel模板\世界500强Excel经典图表模板\矢量图\矢量图表\ILLUS49.jpg","ILLUS49.jpg")</f>
        <v>ILLUS49.jpg</v>
      </c>
      <c r="Q1306">
        <v>0.05</v>
      </c>
      <c r="R1306" s="7" t="str">
        <f t="shared" si="25"/>
        <v>E:\附赠：Excel模板\世界500强Excel经典图表模板\矢量图\矢量图表</v>
      </c>
      <c r="S1306" s="9">
        <v>43600.3822106481</v>
      </c>
      <c r="T1306" s="9">
        <v>43390.5188425926</v>
      </c>
    </row>
    <row r="1307" spans="14:20">
      <c r="N1307" s="7" t="str">
        <f>HYPERLINK("E:\附赠：Excel模板\世界500强Excel经典图表模板\矢量图\矢量图表\ILLUS50.jpg","ILLUS50.jpg")</f>
        <v>ILLUS50.jpg</v>
      </c>
      <c r="Q1307">
        <v>0.05</v>
      </c>
      <c r="R1307" s="7" t="str">
        <f t="shared" si="25"/>
        <v>E:\附赠：Excel模板\世界500强Excel经典图表模板\矢量图\矢量图表</v>
      </c>
      <c r="S1307" s="9">
        <v>43600.3822106481</v>
      </c>
      <c r="T1307" s="9">
        <v>43390.5188425926</v>
      </c>
    </row>
    <row r="1308" spans="14:20">
      <c r="N1308" s="7" t="str">
        <f>HYPERLINK("E:\附赠：Excel模板\世界500强Excel经典图表模板\矢量图\矢量图表\ILLUST2.jpg","ILLUST2.jpg")</f>
        <v>ILLUST2.jpg</v>
      </c>
      <c r="Q1308">
        <v>0.33</v>
      </c>
      <c r="R1308" s="7" t="str">
        <f t="shared" si="25"/>
        <v>E:\附赠：Excel模板\世界500强Excel经典图表模板\矢量图\矢量图表</v>
      </c>
      <c r="S1308" s="9">
        <v>43600.3822106481</v>
      </c>
      <c r="T1308" s="9">
        <v>43390.5188425926</v>
      </c>
    </row>
    <row r="1309" spans="14:20">
      <c r="N1309" s="7" t="str">
        <f>HYPERLINK("E:\附赠：Excel模板\世界500强Excel经典图表模板\矢量图\矢量图表\ILLUST3.jpg","ILLUST3.jpg")</f>
        <v>ILLUST3.jpg</v>
      </c>
      <c r="Q1309">
        <v>0.05</v>
      </c>
      <c r="R1309" s="7" t="str">
        <f t="shared" si="25"/>
        <v>E:\附赠：Excel模板\世界500强Excel经典图表模板\矢量图\矢量图表</v>
      </c>
      <c r="S1309" s="9">
        <v>43600.3822106481</v>
      </c>
      <c r="T1309" s="9">
        <v>43390.5188425926</v>
      </c>
    </row>
    <row r="1310" spans="14:20">
      <c r="N1310" s="7" t="str">
        <f>HYPERLINK("E:\附赠：Excel模板\世界500强Excel经典图表模板\矢量图\矢量图表\ILLUST4.jpg","ILLUST4.jpg")</f>
        <v>ILLUST4.jpg</v>
      </c>
      <c r="Q1310">
        <v>0.32</v>
      </c>
      <c r="R1310" s="7" t="str">
        <f t="shared" si="25"/>
        <v>E:\附赠：Excel模板\世界500强Excel经典图表模板\矢量图\矢量图表</v>
      </c>
      <c r="S1310" s="9">
        <v>43600.3822106481</v>
      </c>
      <c r="T1310" s="9">
        <v>43390.5188425926</v>
      </c>
    </row>
    <row r="1311" spans="14:20">
      <c r="N1311" s="7" t="str">
        <f>HYPERLINK("E:\附赠：Excel模板\世界500强Excel经典图表模板\矢量图\矢量图表\ILLUST5.jpg","ILLUST5.jpg")</f>
        <v>ILLUST5.jpg</v>
      </c>
      <c r="Q1311">
        <v>0.38</v>
      </c>
      <c r="R1311" s="7" t="str">
        <f t="shared" si="25"/>
        <v>E:\附赠：Excel模板\世界500强Excel经典图表模板\矢量图\矢量图表</v>
      </c>
      <c r="S1311" s="9">
        <v>43600.3822106481</v>
      </c>
      <c r="T1311" s="9">
        <v>43390.5188425926</v>
      </c>
    </row>
    <row r="1312" spans="14:20">
      <c r="N1312" s="7" t="str">
        <f>HYPERLINK("E:\附赠：Excel模板\世界500强Excel经典图表模板\矢量图\矢量图表\ILLUST6.jpg","ILLUST6.jpg")</f>
        <v>ILLUST6.jpg</v>
      </c>
      <c r="Q1312">
        <v>0.39</v>
      </c>
      <c r="R1312" s="7" t="str">
        <f t="shared" si="25"/>
        <v>E:\附赠：Excel模板\世界500强Excel经典图表模板\矢量图\矢量图表</v>
      </c>
      <c r="S1312" s="9">
        <v>43600.3822106481</v>
      </c>
      <c r="T1312" s="9">
        <v>43390.5188425926</v>
      </c>
    </row>
    <row r="1313" spans="14:20">
      <c r="N1313" s="7" t="str">
        <f>HYPERLINK("E:\附赠：Excel模板\世界500强Excel经典图表模板\矢量图\矢量图表\ILLUST7.jpg","ILLUST7.jpg")</f>
        <v>ILLUST7.jpg</v>
      </c>
      <c r="Q1313">
        <v>0.06</v>
      </c>
      <c r="R1313" s="7" t="str">
        <f t="shared" si="25"/>
        <v>E:\附赠：Excel模板\世界500强Excel经典图表模板\矢量图\矢量图表</v>
      </c>
      <c r="S1313" s="9">
        <v>43600.3822106481</v>
      </c>
      <c r="T1313" s="9">
        <v>43390.5188425926</v>
      </c>
    </row>
    <row r="1314" spans="14:20">
      <c r="N1314" s="7" t="str">
        <f>HYPERLINK("E:\附赠：Excel模板\世界500强Excel经典图表模板\矢量图\矢量图表\ILLUST8.jpg","ILLUST8.jpg")</f>
        <v>ILLUST8.jpg</v>
      </c>
      <c r="Q1314">
        <v>0.41</v>
      </c>
      <c r="R1314" s="7" t="str">
        <f t="shared" si="25"/>
        <v>E:\附赠：Excel模板\世界500强Excel经典图表模板\矢量图\矢量图表</v>
      </c>
      <c r="S1314" s="9">
        <v>43600.3822106481</v>
      </c>
      <c r="T1314" s="9">
        <v>43390.5188194444</v>
      </c>
    </row>
    <row r="1315" spans="14:20">
      <c r="N1315" s="7" t="str">
        <f>HYPERLINK("E:\附赠：Excel模板\世界500强Excel经典图表模板\矢量图\矢量图表\ILLUST9.jpg","ILLUST9.jpg")</f>
        <v>ILLUST9.jpg</v>
      </c>
      <c r="Q1315">
        <v>0.34</v>
      </c>
      <c r="R1315" s="7" t="str">
        <f t="shared" si="25"/>
        <v>E:\附赠：Excel模板\世界500强Excel经典图表模板\矢量图\矢量图表</v>
      </c>
      <c r="S1315" s="9">
        <v>43600.3822106481</v>
      </c>
      <c r="T1315" s="9">
        <v>43390.5188194444</v>
      </c>
    </row>
    <row r="1316" spans="14:20">
      <c r="N1316" t="s">
        <v>15</v>
      </c>
      <c r="Q1316" t="s">
        <v>15</v>
      </c>
      <c r="R1316" t="s">
        <v>15</v>
      </c>
      <c r="S1316" t="s">
        <v>15</v>
      </c>
      <c r="T1316" t="s">
        <v>15</v>
      </c>
    </row>
    <row r="1317" spans="14:20">
      <c r="N1317" s="7" t="str">
        <f>HYPERLINK("E:\附赠：Excel模板\世界500强Excel经典图表模板\矢量图\矢量图表2\ILLUS10.AI","ILLUS10.AI")</f>
        <v>ILLUS10.AI</v>
      </c>
      <c r="Q1317">
        <v>1.47</v>
      </c>
      <c r="R1317" s="7" t="str">
        <f t="shared" ref="R1317:R1364" si="26">HYPERLINK("E:\附赠：Excel模板\世界500强Excel经典图表模板\矢量图\矢量图表2","E:\附赠：Excel模板\世界500强Excel经典图表模板\矢量图\矢量图表2")</f>
        <v>E:\附赠：Excel模板\世界500强Excel经典图表模板\矢量图\矢量图表2</v>
      </c>
      <c r="S1317" s="9">
        <v>43600.3822106481</v>
      </c>
      <c r="T1317" s="9">
        <v>43390.5188194444</v>
      </c>
    </row>
    <row r="1318" spans="14:20">
      <c r="N1318" s="7" t="str">
        <f>HYPERLINK("E:\附赠：Excel模板\世界500强Excel经典图表模板\矢量图\矢量图表2\ILLUS11.AI","ILLUS11.AI")</f>
        <v>ILLUS11.AI</v>
      </c>
      <c r="Q1318">
        <v>2.41</v>
      </c>
      <c r="R1318" s="7" t="str">
        <f t="shared" si="26"/>
        <v>E:\附赠：Excel模板\世界500强Excel经典图表模板\矢量图\矢量图表2</v>
      </c>
      <c r="S1318" s="9">
        <v>43600.3822106481</v>
      </c>
      <c r="T1318" s="9">
        <v>43390.5188194444</v>
      </c>
    </row>
    <row r="1319" spans="14:20">
      <c r="N1319" s="7" t="str">
        <f>HYPERLINK("E:\附赠：Excel模板\世界500强Excel经典图表模板\矢量图\矢量图表2\ILLUS12.AI","ILLUS12.AI")</f>
        <v>ILLUS12.AI</v>
      </c>
      <c r="Q1319">
        <v>0.65</v>
      </c>
      <c r="R1319" s="7" t="str">
        <f t="shared" si="26"/>
        <v>E:\附赠：Excel模板\世界500强Excel经典图表模板\矢量图\矢量图表2</v>
      </c>
      <c r="S1319" s="9">
        <v>43600.3822106481</v>
      </c>
      <c r="T1319" s="9">
        <v>43390.5188194444</v>
      </c>
    </row>
    <row r="1320" spans="14:20">
      <c r="N1320" s="7" t="str">
        <f>HYPERLINK("E:\附赠：Excel模板\世界500强Excel经典图表模板\矢量图\矢量图表2\ILLUS13.AI","ILLUS13.AI")</f>
        <v>ILLUS13.AI</v>
      </c>
      <c r="Q1320">
        <v>1</v>
      </c>
      <c r="R1320" s="7" t="str">
        <f t="shared" si="26"/>
        <v>E:\附赠：Excel模板\世界500强Excel经典图表模板\矢量图\矢量图表2</v>
      </c>
      <c r="S1320" s="9">
        <v>43600.3822106481</v>
      </c>
      <c r="T1320" s="9">
        <v>43390.5188194444</v>
      </c>
    </row>
    <row r="1321" spans="14:20">
      <c r="N1321" s="7" t="str">
        <f>HYPERLINK("E:\附赠：Excel模板\世界500强Excel经典图表模板\矢量图\矢量图表2\ILLUS14.AI","ILLUS14.AI")</f>
        <v>ILLUS14.AI</v>
      </c>
      <c r="Q1321">
        <v>2.39</v>
      </c>
      <c r="R1321" s="7" t="str">
        <f t="shared" si="26"/>
        <v>E:\附赠：Excel模板\世界500强Excel经典图表模板\矢量图\矢量图表2</v>
      </c>
      <c r="S1321" s="9">
        <v>43600.3822106481</v>
      </c>
      <c r="T1321" s="9">
        <v>43390.5188194444</v>
      </c>
    </row>
    <row r="1322" spans="14:20">
      <c r="N1322" s="7" t="str">
        <f>HYPERLINK("E:\附赠：Excel模板\世界500强Excel经典图表模板\矢量图\矢量图表2\ILLUS15.AI","ILLUS15.AI")</f>
        <v>ILLUS15.AI</v>
      </c>
      <c r="Q1322">
        <v>4.18</v>
      </c>
      <c r="R1322" s="7" t="str">
        <f t="shared" si="26"/>
        <v>E:\附赠：Excel模板\世界500强Excel经典图表模板\矢量图\矢量图表2</v>
      </c>
      <c r="S1322" s="9">
        <v>43600.3822106481</v>
      </c>
      <c r="T1322" s="9">
        <v>43390.5188194444</v>
      </c>
    </row>
    <row r="1323" spans="14:20">
      <c r="N1323" s="7" t="str">
        <f>HYPERLINK("E:\附赠：Excel模板\世界500强Excel经典图表模板\矢量图\矢量图表2\ILLUS16.AI","ILLUS16.AI")</f>
        <v>ILLUS16.AI</v>
      </c>
      <c r="Q1323">
        <v>1.86</v>
      </c>
      <c r="R1323" s="7" t="str">
        <f t="shared" si="26"/>
        <v>E:\附赠：Excel模板\世界500强Excel经典图表模板\矢量图\矢量图表2</v>
      </c>
      <c r="S1323" s="9">
        <v>43600.3822106481</v>
      </c>
      <c r="T1323" s="9">
        <v>43390.5187962963</v>
      </c>
    </row>
    <row r="1324" spans="14:20">
      <c r="N1324" s="7" t="str">
        <f>HYPERLINK("E:\附赠：Excel模板\世界500强Excel经典图表模板\矢量图\矢量图表2\ILLUS17.AI","ILLUS17.AI")</f>
        <v>ILLUS17.AI</v>
      </c>
      <c r="Q1324">
        <v>2.18</v>
      </c>
      <c r="R1324" s="7" t="str">
        <f t="shared" si="26"/>
        <v>E:\附赠：Excel模板\世界500强Excel经典图表模板\矢量图\矢量图表2</v>
      </c>
      <c r="S1324" s="9">
        <v>43600.3822106481</v>
      </c>
      <c r="T1324" s="9">
        <v>43390.5188194444</v>
      </c>
    </row>
    <row r="1325" spans="14:20">
      <c r="N1325" s="7" t="str">
        <f>HYPERLINK("E:\附赠：Excel模板\世界500强Excel经典图表模板\矢量图\矢量图表2\ILLUS18.AI","ILLUS18.AI")</f>
        <v>ILLUS18.AI</v>
      </c>
      <c r="Q1325">
        <v>1.48</v>
      </c>
      <c r="R1325" s="7" t="str">
        <f t="shared" si="26"/>
        <v>E:\附赠：Excel模板\世界500强Excel经典图表模板\矢量图\矢量图表2</v>
      </c>
      <c r="S1325" s="9">
        <v>43600.3822106481</v>
      </c>
      <c r="T1325" s="9">
        <v>43390.5187962963</v>
      </c>
    </row>
    <row r="1326" spans="14:20">
      <c r="N1326" s="7" t="str">
        <f>HYPERLINK("E:\附赠：Excel模板\世界500强Excel经典图表模板\矢量图\矢量图表2\ILLUS19.AI","ILLUS19.AI")</f>
        <v>ILLUS19.AI</v>
      </c>
      <c r="Q1326">
        <v>2</v>
      </c>
      <c r="R1326" s="7" t="str">
        <f t="shared" si="26"/>
        <v>E:\附赠：Excel模板\世界500强Excel经典图表模板\矢量图\矢量图表2</v>
      </c>
      <c r="S1326" s="9">
        <v>43600.3822106481</v>
      </c>
      <c r="T1326" s="9">
        <v>43390.5188194444</v>
      </c>
    </row>
    <row r="1327" spans="14:20">
      <c r="N1327" s="7" t="str">
        <f>HYPERLINK("E:\附赠：Excel模板\世界500强Excel经典图表模板\矢量图\矢量图表2\ILLUS20.AI","ILLUS20.AI")</f>
        <v>ILLUS20.AI</v>
      </c>
      <c r="Q1327">
        <v>1.94</v>
      </c>
      <c r="R1327" s="7" t="str">
        <f t="shared" si="26"/>
        <v>E:\附赠：Excel模板\世界500强Excel经典图表模板\矢量图\矢量图表2</v>
      </c>
      <c r="S1327" s="9">
        <v>43600.3822106481</v>
      </c>
      <c r="T1327" s="9">
        <v>43390.5188425926</v>
      </c>
    </row>
    <row r="1328" spans="14:20">
      <c r="N1328" s="7" t="str">
        <f>HYPERLINK("E:\附赠：Excel模板\世界500强Excel经典图表模板\矢量图\矢量图表2\ILLUS21.AI","ILLUS21.AI")</f>
        <v>ILLUS21.AI</v>
      </c>
      <c r="Q1328">
        <v>1.22</v>
      </c>
      <c r="R1328" s="7" t="str">
        <f t="shared" si="26"/>
        <v>E:\附赠：Excel模板\世界500强Excel经典图表模板\矢量图\矢量图表2</v>
      </c>
      <c r="S1328" s="9">
        <v>43600.3822106481</v>
      </c>
      <c r="T1328" s="9">
        <v>43390.5187962963</v>
      </c>
    </row>
    <row r="1329" spans="14:20">
      <c r="N1329" s="7" t="str">
        <f>HYPERLINK("E:\附赠：Excel模板\世界500强Excel经典图表模板\矢量图\矢量图表2\ILLUS22.AI","ILLUS22.AI")</f>
        <v>ILLUS22.AI</v>
      </c>
      <c r="Q1329">
        <v>1.49</v>
      </c>
      <c r="R1329" s="7" t="str">
        <f t="shared" si="26"/>
        <v>E:\附赠：Excel模板\世界500强Excel经典图表模板\矢量图\矢量图表2</v>
      </c>
      <c r="S1329" s="9">
        <v>43600.3822106481</v>
      </c>
      <c r="T1329" s="9">
        <v>43390.5188194444</v>
      </c>
    </row>
    <row r="1330" spans="14:20">
      <c r="N1330" s="7" t="str">
        <f>HYPERLINK("E:\附赠：Excel模板\世界500强Excel经典图表模板\矢量图\矢量图表2\ILLUS23.AI","ILLUS23.AI")</f>
        <v>ILLUS23.AI</v>
      </c>
      <c r="Q1330">
        <v>1.43</v>
      </c>
      <c r="R1330" s="7" t="str">
        <f t="shared" si="26"/>
        <v>E:\附赠：Excel模板\世界500强Excel经典图表模板\矢量图\矢量图表2</v>
      </c>
      <c r="S1330" s="9">
        <v>43600.3822106481</v>
      </c>
      <c r="T1330" s="9">
        <v>43390.5187962963</v>
      </c>
    </row>
    <row r="1331" spans="14:20">
      <c r="N1331" s="7" t="str">
        <f>HYPERLINK("E:\附赠：Excel模板\世界500强Excel经典图表模板\矢量图\矢量图表2\ILLUS24.AI","ILLUS24.AI")</f>
        <v>ILLUS24.AI</v>
      </c>
      <c r="Q1331">
        <v>1.29</v>
      </c>
      <c r="R1331" s="7" t="str">
        <f t="shared" si="26"/>
        <v>E:\附赠：Excel模板\世界500强Excel经典图表模板\矢量图\矢量图表2</v>
      </c>
      <c r="S1331" s="9">
        <v>43600.3822106481</v>
      </c>
      <c r="T1331" s="9">
        <v>43390.5187962963</v>
      </c>
    </row>
    <row r="1332" spans="14:20">
      <c r="N1332" s="7" t="str">
        <f>HYPERLINK("E:\附赠：Excel模板\世界500强Excel经典图表模板\矢量图\矢量图表2\ILLUS25.AI","ILLUS25.AI")</f>
        <v>ILLUS25.AI</v>
      </c>
      <c r="Q1332">
        <v>1.17</v>
      </c>
      <c r="R1332" s="7" t="str">
        <f t="shared" si="26"/>
        <v>E:\附赠：Excel模板\世界500强Excel经典图表模板\矢量图\矢量图表2</v>
      </c>
      <c r="S1332" s="9">
        <v>43600.3822106481</v>
      </c>
      <c r="T1332" s="9">
        <v>43390.5187962963</v>
      </c>
    </row>
    <row r="1333" spans="14:20">
      <c r="N1333" s="7" t="str">
        <f>HYPERLINK("E:\附赠：Excel模板\世界500强Excel经典图表模板\矢量图\矢量图表2\ILLUS26.AI","ILLUS26.AI")</f>
        <v>ILLUS26.AI</v>
      </c>
      <c r="Q1333">
        <v>1.15</v>
      </c>
      <c r="R1333" s="7" t="str">
        <f t="shared" si="26"/>
        <v>E:\附赠：Excel模板\世界500强Excel经典图表模板\矢量图\矢量图表2</v>
      </c>
      <c r="S1333" s="9">
        <v>43600.3822106481</v>
      </c>
      <c r="T1333" s="9">
        <v>43390.5188657407</v>
      </c>
    </row>
    <row r="1334" spans="14:20">
      <c r="N1334" s="7" t="str">
        <f>HYPERLINK("E:\附赠：Excel模板\世界500强Excel经典图表模板\矢量图\矢量图表2\ILLUS27.AI","ILLUS27.AI")</f>
        <v>ILLUS27.AI</v>
      </c>
      <c r="Q1334">
        <v>1.53</v>
      </c>
      <c r="R1334" s="7" t="str">
        <f t="shared" si="26"/>
        <v>E:\附赠：Excel模板\世界500强Excel经典图表模板\矢量图\矢量图表2</v>
      </c>
      <c r="S1334" s="9">
        <v>43600.3822106481</v>
      </c>
      <c r="T1334" s="9">
        <v>43390.5187962963</v>
      </c>
    </row>
    <row r="1335" spans="14:20">
      <c r="N1335" s="7" t="str">
        <f>HYPERLINK("E:\附赠：Excel模板\世界500强Excel经典图表模板\矢量图\矢量图表2\ILLUS28.AI","ILLUS28.AI")</f>
        <v>ILLUS28.AI</v>
      </c>
      <c r="Q1335">
        <v>1.48</v>
      </c>
      <c r="R1335" s="7" t="str">
        <f t="shared" si="26"/>
        <v>E:\附赠：Excel模板\世界500强Excel经典图表模板\矢量图\矢量图表2</v>
      </c>
      <c r="S1335" s="9">
        <v>43600.3822106481</v>
      </c>
      <c r="T1335" s="9">
        <v>43390.5187962963</v>
      </c>
    </row>
    <row r="1336" spans="14:20">
      <c r="N1336" s="7" t="str">
        <f>HYPERLINK("E:\附赠：Excel模板\世界500强Excel经典图表模板\矢量图\矢量图表2\ILLUS29.AI","ILLUS29.AI")</f>
        <v>ILLUS29.AI</v>
      </c>
      <c r="Q1336">
        <v>1.43</v>
      </c>
      <c r="R1336" s="7" t="str">
        <f t="shared" si="26"/>
        <v>E:\附赠：Excel模板\世界500强Excel经典图表模板\矢量图\矢量图表2</v>
      </c>
      <c r="S1336" s="9">
        <v>43600.3822106481</v>
      </c>
      <c r="T1336" s="9">
        <v>43390.5187731481</v>
      </c>
    </row>
    <row r="1337" spans="14:20">
      <c r="N1337" s="7" t="str">
        <f>HYPERLINK("E:\附赠：Excel模板\世界500强Excel经典图表模板\矢量图\矢量图表2\ILLUS30.AI","ILLUS30.AI")</f>
        <v>ILLUS30.AI</v>
      </c>
      <c r="Q1337">
        <v>1.63</v>
      </c>
      <c r="R1337" s="7" t="str">
        <f t="shared" si="26"/>
        <v>E:\附赠：Excel模板\世界500强Excel经典图表模板\矢量图\矢量图表2</v>
      </c>
      <c r="S1337" s="9">
        <v>43600.3822106481</v>
      </c>
      <c r="T1337" s="9">
        <v>43390.5187731481</v>
      </c>
    </row>
    <row r="1338" spans="14:20">
      <c r="N1338" s="7" t="str">
        <f>HYPERLINK("E:\附赠：Excel模板\世界500强Excel经典图表模板\矢量图\矢量图表2\ILLUS31.AI","ILLUS31.AI")</f>
        <v>ILLUS31.AI</v>
      </c>
      <c r="Q1338">
        <v>1.52</v>
      </c>
      <c r="R1338" s="7" t="str">
        <f t="shared" si="26"/>
        <v>E:\附赠：Excel模板\世界500强Excel经典图表模板\矢量图\矢量图表2</v>
      </c>
      <c r="S1338" s="9">
        <v>43600.3822106481</v>
      </c>
      <c r="T1338" s="9">
        <v>43390.5187731481</v>
      </c>
    </row>
    <row r="1339" spans="14:20">
      <c r="N1339" s="7" t="str">
        <f>HYPERLINK("E:\附赠：Excel模板\世界500强Excel经典图表模板\矢量图\矢量图表2\ILLUS32.AI","ILLUS32.AI")</f>
        <v>ILLUS32.AI</v>
      </c>
      <c r="Q1339">
        <v>1.42</v>
      </c>
      <c r="R1339" s="7" t="str">
        <f t="shared" si="26"/>
        <v>E:\附赠：Excel模板\世界500强Excel经典图表模板\矢量图\矢量图表2</v>
      </c>
      <c r="S1339" s="9">
        <v>43600.3822106481</v>
      </c>
      <c r="T1339" s="9">
        <v>43390.5187962963</v>
      </c>
    </row>
    <row r="1340" spans="14:20">
      <c r="N1340" s="7" t="str">
        <f>HYPERLINK("E:\附赠：Excel模板\世界500强Excel经典图表模板\矢量图\矢量图表2\ILLUS33.AI","ILLUS33.AI")</f>
        <v>ILLUS33.AI</v>
      </c>
      <c r="Q1340">
        <v>1.11</v>
      </c>
      <c r="R1340" s="7" t="str">
        <f t="shared" si="26"/>
        <v>E:\附赠：Excel模板\世界500强Excel经典图表模板\矢量图\矢量图表2</v>
      </c>
      <c r="S1340" s="9">
        <v>43600.3822106481</v>
      </c>
      <c r="T1340" s="9">
        <v>43390.5187731481</v>
      </c>
    </row>
    <row r="1341" spans="14:20">
      <c r="N1341" s="7" t="str">
        <f>HYPERLINK("E:\附赠：Excel模板\世界500强Excel经典图表模板\矢量图\矢量图表2\ILLUS34.AI","ILLUS34.AI")</f>
        <v>ILLUS34.AI</v>
      </c>
      <c r="Q1341">
        <v>1.84</v>
      </c>
      <c r="R1341" s="7" t="str">
        <f t="shared" si="26"/>
        <v>E:\附赠：Excel模板\世界500强Excel经典图表模板\矢量图\矢量图表2</v>
      </c>
      <c r="S1341" s="9">
        <v>43600.3822106481</v>
      </c>
      <c r="T1341" s="9">
        <v>43390.5187962963</v>
      </c>
    </row>
    <row r="1342" spans="14:20">
      <c r="N1342" s="7" t="str">
        <f>HYPERLINK("E:\附赠：Excel模板\世界500强Excel经典图表模板\矢量图\矢量图表2\ILLUS35.AI","ILLUS35.AI")</f>
        <v>ILLUS35.AI</v>
      </c>
      <c r="Q1342">
        <v>1.35</v>
      </c>
      <c r="R1342" s="7" t="str">
        <f t="shared" si="26"/>
        <v>E:\附赠：Excel模板\世界500强Excel经典图表模板\矢量图\矢量图表2</v>
      </c>
      <c r="S1342" s="9">
        <v>43600.3822106481</v>
      </c>
      <c r="T1342" s="9">
        <v>43390.5187731481</v>
      </c>
    </row>
    <row r="1343" spans="14:20">
      <c r="N1343" s="7" t="str">
        <f>HYPERLINK("E:\附赠：Excel模板\世界500强Excel经典图表模板\矢量图\矢量图表2\ILLUS37.AI","ILLUS37.AI")</f>
        <v>ILLUS37.AI</v>
      </c>
      <c r="Q1343">
        <v>1.03</v>
      </c>
      <c r="R1343" s="7" t="str">
        <f t="shared" si="26"/>
        <v>E:\附赠：Excel模板\世界500强Excel经典图表模板\矢量图\矢量图表2</v>
      </c>
      <c r="S1343" s="9">
        <v>43600.3822106481</v>
      </c>
      <c r="T1343" s="9">
        <v>43390.5187731481</v>
      </c>
    </row>
    <row r="1344" spans="14:20">
      <c r="N1344" s="7" t="str">
        <f>HYPERLINK("E:\附赠：Excel模板\世界500强Excel经典图表模板\矢量图\矢量图表2\ILLUS38.AI","ILLUS38.AI")</f>
        <v>ILLUS38.AI</v>
      </c>
      <c r="Q1344">
        <v>2.64</v>
      </c>
      <c r="R1344" s="7" t="str">
        <f t="shared" si="26"/>
        <v>E:\附赠：Excel模板\世界500强Excel经典图表模板\矢量图\矢量图表2</v>
      </c>
      <c r="S1344" s="9">
        <v>43600.3822106481</v>
      </c>
      <c r="T1344" s="9">
        <v>43390.5187731481</v>
      </c>
    </row>
    <row r="1345" spans="14:20">
      <c r="N1345" s="7" t="str">
        <f>HYPERLINK("E:\附赠：Excel模板\世界500强Excel经典图表模板\矢量图\矢量图表2\ILLUS39.AI","ILLUS39.AI")</f>
        <v>ILLUS39.AI</v>
      </c>
      <c r="Q1345">
        <v>1.4</v>
      </c>
      <c r="R1345" s="7" t="str">
        <f t="shared" si="26"/>
        <v>E:\附赠：Excel模板\世界500强Excel经典图表模板\矢量图\矢量图表2</v>
      </c>
      <c r="S1345" s="9">
        <v>43600.3822106481</v>
      </c>
      <c r="T1345" s="9">
        <v>43390.5187731481</v>
      </c>
    </row>
    <row r="1346" spans="14:20">
      <c r="N1346" s="7" t="str">
        <f>HYPERLINK("E:\附赠：Excel模板\世界500强Excel经典图表模板\矢量图\矢量图表2\ILLUS40.AI","ILLUS40.AI")</f>
        <v>ILLUS40.AI</v>
      </c>
      <c r="Q1346">
        <v>0.96</v>
      </c>
      <c r="R1346" s="7" t="str">
        <f t="shared" si="26"/>
        <v>E:\附赠：Excel模板\世界500强Excel经典图表模板\矢量图\矢量图表2</v>
      </c>
      <c r="S1346" s="9">
        <v>43600.3822106481</v>
      </c>
      <c r="T1346" s="9">
        <v>43390.5187731481</v>
      </c>
    </row>
    <row r="1347" spans="14:20">
      <c r="N1347" s="7" t="str">
        <f>HYPERLINK("E:\附赠：Excel模板\世界500强Excel经典图表模板\矢量图\矢量图表2\ILLUS41.AI","ILLUS41.AI")</f>
        <v>ILLUS41.AI</v>
      </c>
      <c r="Q1347">
        <v>1.53</v>
      </c>
      <c r="R1347" s="7" t="str">
        <f t="shared" si="26"/>
        <v>E:\附赠：Excel模板\世界500强Excel经典图表模板\矢量图\矢量图表2</v>
      </c>
      <c r="S1347" s="9">
        <v>43600.3822106481</v>
      </c>
      <c r="T1347" s="9">
        <v>43390.51875</v>
      </c>
    </row>
    <row r="1348" spans="14:20">
      <c r="N1348" s="7" t="str">
        <f>HYPERLINK("E:\附赠：Excel模板\世界500强Excel经典图表模板\矢量图\矢量图表2\ILLUS42.AI","ILLUS42.AI")</f>
        <v>ILLUS42.AI</v>
      </c>
      <c r="Q1348">
        <v>1.4</v>
      </c>
      <c r="R1348" s="7" t="str">
        <f t="shared" si="26"/>
        <v>E:\附赠：Excel模板\世界500强Excel经典图表模板\矢量图\矢量图表2</v>
      </c>
      <c r="S1348" s="9">
        <v>43600.3822106481</v>
      </c>
      <c r="T1348" s="9">
        <v>43390.51875</v>
      </c>
    </row>
    <row r="1349" spans="14:20">
      <c r="N1349" s="7" t="str">
        <f>HYPERLINK("E:\附赠：Excel模板\世界500强Excel经典图表模板\矢量图\矢量图表2\ILLUS43.AI","ILLUS43.AI")</f>
        <v>ILLUS43.AI</v>
      </c>
      <c r="Q1349">
        <v>1.17</v>
      </c>
      <c r="R1349" s="7" t="str">
        <f t="shared" si="26"/>
        <v>E:\附赠：Excel模板\世界500强Excel经典图表模板\矢量图\矢量图表2</v>
      </c>
      <c r="S1349" s="9">
        <v>43600.3822106481</v>
      </c>
      <c r="T1349" s="9">
        <v>43390.5187731481</v>
      </c>
    </row>
    <row r="1350" spans="14:20">
      <c r="N1350" s="7" t="str">
        <f>HYPERLINK("E:\附赠：Excel模板\世界500强Excel经典图表模板\矢量图\矢量图表2\ILLUS44.AI","ILLUS44.AI")</f>
        <v>ILLUS44.AI</v>
      </c>
      <c r="Q1350">
        <v>2.03</v>
      </c>
      <c r="R1350" s="7" t="str">
        <f t="shared" si="26"/>
        <v>E:\附赠：Excel模板\世界500强Excel经典图表模板\矢量图\矢量图表2</v>
      </c>
      <c r="S1350" s="9">
        <v>43600.3822106481</v>
      </c>
      <c r="T1350" s="9">
        <v>43390.51875</v>
      </c>
    </row>
    <row r="1351" spans="14:20">
      <c r="N1351" s="7" t="str">
        <f>HYPERLINK("E:\附赠：Excel模板\世界500强Excel经典图表模板\矢量图\矢量图表2\ILLUS45.AI","ILLUS45.AI")</f>
        <v>ILLUS45.AI</v>
      </c>
      <c r="Q1351">
        <v>1.49</v>
      </c>
      <c r="R1351" s="7" t="str">
        <f t="shared" si="26"/>
        <v>E:\附赠：Excel模板\世界500强Excel经典图表模板\矢量图\矢量图表2</v>
      </c>
      <c r="S1351" s="9">
        <v>43600.3822106481</v>
      </c>
      <c r="T1351" s="9">
        <v>43390.51875</v>
      </c>
    </row>
    <row r="1352" spans="14:20">
      <c r="N1352" s="7" t="str">
        <f>HYPERLINK("E:\附赠：Excel模板\世界500强Excel经典图表模板\矢量图\矢量图表2\ILLUS46.AI","ILLUS46.AI")</f>
        <v>ILLUS46.AI</v>
      </c>
      <c r="Q1352">
        <v>1.67</v>
      </c>
      <c r="R1352" s="7" t="str">
        <f t="shared" si="26"/>
        <v>E:\附赠：Excel模板\世界500强Excel经典图表模板\矢量图\矢量图表2</v>
      </c>
      <c r="S1352" s="9">
        <v>43600.3822106481</v>
      </c>
      <c r="T1352" s="9">
        <v>43390.51875</v>
      </c>
    </row>
    <row r="1353" spans="14:20">
      <c r="N1353" s="7" t="str">
        <f>HYPERLINK("E:\附赠：Excel模板\世界500强Excel经典图表模板\矢量图\矢量图表2\ILLUS47.AI","ILLUS47.AI")</f>
        <v>ILLUS47.AI</v>
      </c>
      <c r="Q1353">
        <v>1.16</v>
      </c>
      <c r="R1353" s="7" t="str">
        <f t="shared" si="26"/>
        <v>E:\附赠：Excel模板\世界500强Excel经典图表模板\矢量图\矢量图表2</v>
      </c>
      <c r="S1353" s="9">
        <v>43600.3822106481</v>
      </c>
      <c r="T1353" s="9">
        <v>43390.51875</v>
      </c>
    </row>
    <row r="1354" spans="14:20">
      <c r="N1354" s="7" t="str">
        <f>HYPERLINK("E:\附赠：Excel模板\世界500强Excel经典图表模板\矢量图\矢量图表2\ILLUS48.AI","ILLUS48.AI")</f>
        <v>ILLUS48.AI</v>
      </c>
      <c r="Q1354">
        <v>1.85</v>
      </c>
      <c r="R1354" s="7" t="str">
        <f t="shared" si="26"/>
        <v>E:\附赠：Excel模板\世界500强Excel经典图表模板\矢量图\矢量图表2</v>
      </c>
      <c r="S1354" s="9">
        <v>43600.3822106481</v>
      </c>
      <c r="T1354" s="9">
        <v>43390.5187731481</v>
      </c>
    </row>
    <row r="1355" spans="14:20">
      <c r="N1355" s="7" t="str">
        <f>HYPERLINK("E:\附赠：Excel模板\世界500强Excel经典图表模板\矢量图\矢量图表2\ILLUS49.AI","ILLUS49.AI")</f>
        <v>ILLUS49.AI</v>
      </c>
      <c r="Q1355">
        <v>1.19</v>
      </c>
      <c r="R1355" s="7" t="str">
        <f t="shared" si="26"/>
        <v>E:\附赠：Excel模板\世界500强Excel经典图表模板\矢量图\矢量图表2</v>
      </c>
      <c r="S1355" s="9">
        <v>43600.3822106481</v>
      </c>
      <c r="T1355" s="9">
        <v>43390.51875</v>
      </c>
    </row>
    <row r="1356" spans="14:20">
      <c r="N1356" s="7" t="str">
        <f>HYPERLINK("E:\附赠：Excel模板\世界500强Excel经典图表模板\矢量图\矢量图表2\ILLUS50.AI","ILLUS50.AI")</f>
        <v>ILLUS50.AI</v>
      </c>
      <c r="Q1356">
        <v>1.44</v>
      </c>
      <c r="R1356" s="7" t="str">
        <f t="shared" si="26"/>
        <v>E:\附赠：Excel模板\世界500强Excel经典图表模板\矢量图\矢量图表2</v>
      </c>
      <c r="S1356" s="9">
        <v>43600.3822106481</v>
      </c>
      <c r="T1356" s="9">
        <v>43390.51875</v>
      </c>
    </row>
    <row r="1357" spans="14:20">
      <c r="N1357" s="7" t="str">
        <f>HYPERLINK("E:\附赠：Excel模板\世界500强Excel经典图表模板\矢量图\矢量图表2\ILLUST2.AI","ILLUST2.AI")</f>
        <v>ILLUST2.AI</v>
      </c>
      <c r="Q1357">
        <v>1.55</v>
      </c>
      <c r="R1357" s="7" t="str">
        <f t="shared" si="26"/>
        <v>E:\附赠：Excel模板\世界500强Excel经典图表模板\矢量图\矢量图表2</v>
      </c>
      <c r="S1357" s="9">
        <v>43600.3822106481</v>
      </c>
      <c r="T1357" s="9">
        <v>43390.5187268518</v>
      </c>
    </row>
    <row r="1358" spans="14:20">
      <c r="N1358" s="7" t="str">
        <f>HYPERLINK("E:\附赠：Excel模板\世界500强Excel经典图表模板\矢量图\矢量图表2\ILLUST3.AI","ILLUST3.AI")</f>
        <v>ILLUST3.AI</v>
      </c>
      <c r="Q1358">
        <v>1.51</v>
      </c>
      <c r="R1358" s="7" t="str">
        <f t="shared" si="26"/>
        <v>E:\附赠：Excel模板\世界500强Excel经典图表模板\矢量图\矢量图表2</v>
      </c>
      <c r="S1358" s="9">
        <v>43600.3822106481</v>
      </c>
      <c r="T1358" s="9">
        <v>43390.5187268518</v>
      </c>
    </row>
    <row r="1359" spans="14:20">
      <c r="N1359" s="7" t="str">
        <f>HYPERLINK("E:\附赠：Excel模板\世界500强Excel经典图表模板\矢量图\矢量图表2\ILLUST4.AI","ILLUST4.AI")</f>
        <v>ILLUST4.AI</v>
      </c>
      <c r="Q1359">
        <v>0.87</v>
      </c>
      <c r="R1359" s="7" t="str">
        <f t="shared" si="26"/>
        <v>E:\附赠：Excel模板\世界500强Excel经典图表模板\矢量图\矢量图表2</v>
      </c>
      <c r="S1359" s="9">
        <v>43600.3822222222</v>
      </c>
      <c r="T1359" s="9">
        <v>43390.51875</v>
      </c>
    </row>
    <row r="1360" spans="14:20">
      <c r="N1360" s="7" t="str">
        <f>HYPERLINK("E:\附赠：Excel模板\世界500强Excel经典图表模板\矢量图\矢量图表2\ILLUST5.AI","ILLUST5.AI")</f>
        <v>ILLUST5.AI</v>
      </c>
      <c r="Q1360">
        <v>0.9</v>
      </c>
      <c r="R1360" s="7" t="str">
        <f t="shared" si="26"/>
        <v>E:\附赠：Excel模板\世界500强Excel经典图表模板\矢量图\矢量图表2</v>
      </c>
      <c r="S1360" s="9">
        <v>43600.3822222222</v>
      </c>
      <c r="T1360" s="9">
        <v>43390.5187268518</v>
      </c>
    </row>
    <row r="1361" spans="14:20">
      <c r="N1361" s="7" t="str">
        <f>HYPERLINK("E:\附赠：Excel模板\世界500强Excel经典图表模板\矢量图\矢量图表2\ILLUST6.AI","ILLUST6.AI")</f>
        <v>ILLUST6.AI</v>
      </c>
      <c r="Q1361">
        <v>0.88</v>
      </c>
      <c r="R1361" s="7" t="str">
        <f t="shared" si="26"/>
        <v>E:\附赠：Excel模板\世界500强Excel经典图表模板\矢量图\矢量图表2</v>
      </c>
      <c r="S1361" s="9">
        <v>43600.3822222222</v>
      </c>
      <c r="T1361" s="9">
        <v>43390.5187268518</v>
      </c>
    </row>
    <row r="1362" spans="14:20">
      <c r="N1362" s="7" t="str">
        <f>HYPERLINK("E:\附赠：Excel模板\世界500强Excel经典图表模板\矢量图\矢量图表2\ILLUST7.AI","ILLUST7.AI")</f>
        <v>ILLUST7.AI</v>
      </c>
      <c r="Q1362">
        <v>0.76</v>
      </c>
      <c r="R1362" s="7" t="str">
        <f t="shared" si="26"/>
        <v>E:\附赠：Excel模板\世界500强Excel经典图表模板\矢量图\矢量图表2</v>
      </c>
      <c r="S1362" s="9">
        <v>43600.3822222222</v>
      </c>
      <c r="T1362" s="9">
        <v>43390.5187268518</v>
      </c>
    </row>
    <row r="1363" spans="14:20">
      <c r="N1363" s="7" t="str">
        <f>HYPERLINK("E:\附赠：Excel模板\世界500强Excel经典图表模板\矢量图\矢量图表2\ILLUST8.AI","ILLUST8.AI")</f>
        <v>ILLUST8.AI</v>
      </c>
      <c r="Q1363">
        <v>1.08</v>
      </c>
      <c r="R1363" s="7" t="str">
        <f t="shared" si="26"/>
        <v>E:\附赠：Excel模板\世界500强Excel经典图表模板\矢量图\矢量图表2</v>
      </c>
      <c r="S1363" s="9">
        <v>43600.3822222222</v>
      </c>
      <c r="T1363" s="9">
        <v>43390.5187268518</v>
      </c>
    </row>
    <row r="1364" spans="14:20">
      <c r="N1364" s="7" t="str">
        <f>HYPERLINK("E:\附赠：Excel模板\世界500强Excel经典图表模板\矢量图\矢量图表2\ILLUST9.AI","ILLUST9.AI")</f>
        <v>ILLUST9.AI</v>
      </c>
      <c r="Q1364">
        <v>1.2</v>
      </c>
      <c r="R1364" s="7" t="str">
        <f t="shared" si="26"/>
        <v>E:\附赠：Excel模板\世界500强Excel经典图表模板\矢量图\矢量图表2</v>
      </c>
      <c r="S1364" s="9">
        <v>43600.3822222222</v>
      </c>
      <c r="T1364" s="9">
        <v>43390.5187268518</v>
      </c>
    </row>
    <row r="1365" spans="14:20">
      <c r="N1365" t="s">
        <v>15</v>
      </c>
      <c r="Q1365" t="s">
        <v>15</v>
      </c>
      <c r="R1365" t="s">
        <v>15</v>
      </c>
      <c r="S1365" t="s">
        <v>15</v>
      </c>
      <c r="T1365" t="s">
        <v>15</v>
      </c>
    </row>
    <row r="1366" spans="14:20">
      <c r="N1366" t="s">
        <v>15</v>
      </c>
      <c r="Q1366" t="s">
        <v>15</v>
      </c>
      <c r="R1366" t="s">
        <v>15</v>
      </c>
      <c r="S1366" t="s">
        <v>15</v>
      </c>
      <c r="T1366" t="s">
        <v>15</v>
      </c>
    </row>
    <row r="1367" spans="14:20">
      <c r="N1367" s="7" t="str">
        <f>HYPERLINK("E:\附赠：Excel模板\企业管理全套报表EXCEL模板\业务Excel表格模板\使用 SWOT 进行竞争分析1.xlsx","使用 SWOT 进行竞争分析1.xlsx")</f>
        <v>使用 SWOT 进行竞争分析1.xlsx</v>
      </c>
      <c r="Q1367">
        <v>0.02</v>
      </c>
      <c r="R1367" s="7" t="str">
        <f t="shared" ref="R1367:R1384" si="27">HYPERLINK("E:\附赠：Excel模板\企业管理全套报表EXCEL模板\业务Excel表格模板","E:\附赠：Excel模板\企业管理全套报表EXCEL模板\业务Excel表格模板")</f>
        <v>E:\附赠：Excel模板\企业管理全套报表EXCEL模板\业务Excel表格模板</v>
      </c>
      <c r="S1367" s="9">
        <v>43600.3821990741</v>
      </c>
      <c r="T1367" s="9">
        <v>43390.5148611111</v>
      </c>
    </row>
    <row r="1368" spans="14:20">
      <c r="N1368" s="7" t="str">
        <f>HYPERLINK("E:\附赠：Excel模板\企业管理全套报表EXCEL模板\业务Excel表格模板\区域销售额图表1.xlsx","区域销售额图表1.xlsx")</f>
        <v>区域销售额图表1.xlsx</v>
      </c>
      <c r="Q1368">
        <v>0.02</v>
      </c>
      <c r="R1368" s="7" t="str">
        <f t="shared" si="27"/>
        <v>E:\附赠：Excel模板\企业管理全套报表EXCEL模板\业务Excel表格模板</v>
      </c>
      <c r="S1368" s="9">
        <v>43600.3821990741</v>
      </c>
      <c r="T1368" s="9">
        <v>43390.5148611111</v>
      </c>
    </row>
    <row r="1369" spans="14:20">
      <c r="N1369" s="7" t="str">
        <f>HYPERLINK("E:\附赠：Excel模板\企业管理全套报表EXCEL模板\业务Excel表格模板\员工出勤跟踪表1.xlsx","员工出勤跟踪表1.xlsx")</f>
        <v>员工出勤跟踪表1.xlsx</v>
      </c>
      <c r="Q1369">
        <v>0.04</v>
      </c>
      <c r="R1369" s="7" t="str">
        <f t="shared" si="27"/>
        <v>E:\附赠：Excel模板\企业管理全套报表EXCEL模板\业务Excel表格模板</v>
      </c>
      <c r="S1369" s="9">
        <v>43600.3821990741</v>
      </c>
      <c r="T1369" s="9">
        <v>43390.5148611111</v>
      </c>
    </row>
    <row r="1370" spans="14:20">
      <c r="N1370" s="7" t="str">
        <f>HYPERLINK("E:\附赠：Excel模板\企业管理全套报表EXCEL模板\业务Excel表格模板\员工培训跟踪器1.xlsx","员工培训跟踪器1.xlsx")</f>
        <v>员工培训跟踪器1.xlsx</v>
      </c>
      <c r="Q1370">
        <v>0.03</v>
      </c>
      <c r="R1370" s="7" t="str">
        <f t="shared" si="27"/>
        <v>E:\附赠：Excel模板\企业管理全套报表EXCEL模板\业务Excel表格模板</v>
      </c>
      <c r="S1370" s="9">
        <v>43600.3821990741</v>
      </c>
      <c r="T1370" s="9">
        <v>43390.514837963</v>
      </c>
    </row>
    <row r="1371" spans="14:20">
      <c r="N1371" s="7" t="str">
        <f>HYPERLINK("E:\附赠：Excel模板\企业管理全套报表EXCEL模板\业务Excel表格模板\客户联系人列表1.xlsx","客户联系人列表1.xlsx")</f>
        <v>客户联系人列表1.xlsx</v>
      </c>
      <c r="Q1371">
        <v>0.04</v>
      </c>
      <c r="R1371" s="7" t="str">
        <f t="shared" si="27"/>
        <v>E:\附赠：Excel模板\企业管理全套报表EXCEL模板\业务Excel表格模板</v>
      </c>
      <c r="S1371" s="9">
        <v>43600.3821990741</v>
      </c>
      <c r="T1371" s="9">
        <v>43390.5148842593</v>
      </c>
    </row>
    <row r="1372" spans="14:20">
      <c r="N1372" s="7" t="str">
        <f>HYPERLINK("E:\附赠：Excel模板\企业管理全套报表EXCEL模板\业务Excel表格模板\工作分配计划1.xlsx","工作分配计划1.xlsx")</f>
        <v>工作分配计划1.xlsx</v>
      </c>
      <c r="Q1372">
        <v>0.12</v>
      </c>
      <c r="R1372" s="7" t="str">
        <f t="shared" si="27"/>
        <v>E:\附赠：Excel模板\企业管理全套报表EXCEL模板\业务Excel表格模板</v>
      </c>
      <c r="S1372" s="9">
        <v>43600.3821990741</v>
      </c>
      <c r="T1372" s="9">
        <v>43390.5148842593</v>
      </c>
    </row>
    <row r="1373" spans="14:20">
      <c r="N1373" s="7" t="str">
        <f>HYPERLINK("E:\附赠：Excel模板\企业管理全套报表EXCEL模板\业务Excel表格模板\工作通知单跟踪器1.xlsx","工作通知单跟踪器1.xlsx")</f>
        <v>工作通知单跟踪器1.xlsx</v>
      </c>
      <c r="Q1373">
        <v>0.01</v>
      </c>
      <c r="R1373" s="7" t="str">
        <f t="shared" si="27"/>
        <v>E:\附赠：Excel模板\企业管理全套报表EXCEL模板\业务Excel表格模板</v>
      </c>
      <c r="S1373" s="9">
        <v>43600.3821990741</v>
      </c>
      <c r="T1373" s="9">
        <v>43390.5148842593</v>
      </c>
    </row>
    <row r="1374" spans="14:20">
      <c r="N1374" s="7" t="str">
        <f>HYPERLINK("E:\附赠：Excel模板\企业管理全套报表EXCEL模板\业务Excel表格模板\支出趋势预算1.xlsx","支出趋势预算1.xlsx")</f>
        <v>支出趋势预算1.xlsx</v>
      </c>
      <c r="Q1374">
        <v>0.07</v>
      </c>
      <c r="R1374" s="7" t="str">
        <f t="shared" si="27"/>
        <v>E:\附赠：Excel模板\企业管理全套报表EXCEL模板\业务Excel表格模板</v>
      </c>
      <c r="S1374" s="9">
        <v>43600.3821990741</v>
      </c>
      <c r="T1374" s="9">
        <v>43390.5148611111</v>
      </c>
    </row>
    <row r="1375" spans="14:20">
      <c r="N1375" s="7" t="str">
        <f>HYPERLINK("E:\附赠：Excel模板\企业管理全套报表EXCEL模板\业务Excel表格模板\施工投标表格1.xlsx","施工投标表格1.xlsx")</f>
        <v>施工投标表格1.xlsx</v>
      </c>
      <c r="Q1375">
        <v>0.12</v>
      </c>
      <c r="R1375" s="7" t="str">
        <f t="shared" si="27"/>
        <v>E:\附赠：Excel模板\企业管理全套报表EXCEL模板\业务Excel表格模板</v>
      </c>
      <c r="S1375" s="9">
        <v>43600.3821990741</v>
      </c>
      <c r="T1375" s="9">
        <v>43390.5148611111</v>
      </c>
    </row>
    <row r="1376" spans="14:20">
      <c r="N1376" s="7" t="str">
        <f>HYPERLINK("E:\附赠：Excel模板\企业管理全套报表EXCEL模板\业务Excel表格模板\日程表（含里程碑）1.xlsx","日程表（含里程碑）1.xlsx")</f>
        <v>日程表（含里程碑）1.xlsx</v>
      </c>
      <c r="Q1376">
        <v>0.02</v>
      </c>
      <c r="R1376" s="7" t="str">
        <f t="shared" si="27"/>
        <v>E:\附赠：Excel模板\企业管理全套报表EXCEL模板\业务Excel表格模板</v>
      </c>
      <c r="S1376" s="9">
        <v>43600.3821990741</v>
      </c>
      <c r="T1376" s="9">
        <v>43390.5148611111</v>
      </c>
    </row>
    <row r="1377" spans="14:20">
      <c r="N1377" s="7" t="str">
        <f>HYPERLINK("E:\附赠：Excel模板\企业管理全套报表EXCEL模板\业务Excel表格模板\渠道营销预算1.xlsx","渠道营销预算1.xlsx")</f>
        <v>渠道营销预算1.xlsx</v>
      </c>
      <c r="Q1377">
        <v>0.02</v>
      </c>
      <c r="R1377" s="7" t="str">
        <f t="shared" si="27"/>
        <v>E:\附赠：Excel模板\企业管理全套报表EXCEL模板\业务Excel表格模板</v>
      </c>
      <c r="S1377" s="9">
        <v>43600.3821990741</v>
      </c>
      <c r="T1377" s="9">
        <v>43390.5148611111</v>
      </c>
    </row>
    <row r="1378" spans="14:20">
      <c r="N1378" s="7" t="str">
        <f>HYPERLINK("E:\附赠：Excel模板\企业管理全套报表EXCEL模板\业务Excel表格模板\潜在顾客跟踪表1.xlsx","潜在顾客跟踪表1.xlsx")</f>
        <v>潜在顾客跟踪表1.xlsx</v>
      </c>
      <c r="Q1378">
        <v>0.03</v>
      </c>
      <c r="R1378" s="7" t="str">
        <f t="shared" si="27"/>
        <v>E:\附赠：Excel模板\企业管理全套报表EXCEL模板\业务Excel表格模板</v>
      </c>
      <c r="S1378" s="9">
        <v>43600.3821990741</v>
      </c>
      <c r="T1378" s="9">
        <v>43390.5148611111</v>
      </c>
    </row>
    <row r="1379" spans="14:20">
      <c r="N1379" s="7" t="str">
        <f>HYPERLINK("E:\附赠：Excel模板\企业管理全套报表EXCEL模板\业务Excel表格模板\电话会话跟踪表（用于接入和呼出电话）1.xlsx","电话会话跟踪表（用于接入和呼出电话）1.xlsx")</f>
        <v>电话会话跟踪表（用于接入和呼出电话）1.xlsx</v>
      </c>
      <c r="Q1379">
        <v>0.02</v>
      </c>
      <c r="R1379" s="7" t="str">
        <f t="shared" si="27"/>
        <v>E:\附赠：Excel模板\企业管理全套报表EXCEL模板\业务Excel表格模板</v>
      </c>
      <c r="S1379" s="9">
        <v>43600.3821990741</v>
      </c>
      <c r="T1379" s="9">
        <v>43390.5148842593</v>
      </c>
    </row>
    <row r="1380" spans="14:20">
      <c r="N1380" s="7" t="str">
        <f>HYPERLINK("E:\附赠：Excel模板\企业管理全套报表EXCEL模板\业务Excel表格模板\盈亏平衡分析1.xlsx","盈亏平衡分析1.xlsx")</f>
        <v>盈亏平衡分析1.xlsx</v>
      </c>
      <c r="Q1380">
        <v>0.02</v>
      </c>
      <c r="R1380" s="7" t="str">
        <f t="shared" si="27"/>
        <v>E:\附赠：Excel模板\企业管理全套报表EXCEL模板\业务Excel表格模板</v>
      </c>
      <c r="S1380" s="9">
        <v>43600.3821990741</v>
      </c>
      <c r="T1380" s="9">
        <v>43390.5148611111</v>
      </c>
    </row>
    <row r="1381" spans="14:20">
      <c r="N1381" s="7" t="str">
        <f>HYPERLINK("E:\附赠：Excel模板\企业管理全套报表EXCEL模板\业务Excel表格模板\简单支出预算1.xlsx","简单支出预算1.xlsx")</f>
        <v>简单支出预算1.xlsx</v>
      </c>
      <c r="Q1381">
        <v>0.02</v>
      </c>
      <c r="R1381" s="7" t="str">
        <f t="shared" si="27"/>
        <v>E:\附赠：Excel模板\企业管理全套报表EXCEL模板\业务Excel表格模板</v>
      </c>
      <c r="S1381" s="9">
        <v>43600.3821990741</v>
      </c>
      <c r="T1381" s="9">
        <v>43390.5148842593</v>
      </c>
    </row>
    <row r="1382" spans="14:20">
      <c r="N1382" s="7" t="str">
        <f>HYPERLINK("E:\附赠：Excel模板\企业管理全套报表EXCEL模板\业务Excel表格模板\营销项目计划1.xlsx","营销项目计划1.xlsx")</f>
        <v>营销项目计划1.xlsx</v>
      </c>
      <c r="Q1382">
        <v>0.02</v>
      </c>
      <c r="R1382" s="7" t="str">
        <f t="shared" si="27"/>
        <v>E:\附赠：Excel模板\企业管理全套报表EXCEL模板\业务Excel表格模板</v>
      </c>
      <c r="S1382" s="9">
        <v>43600.3821990741</v>
      </c>
      <c r="T1382" s="9">
        <v>43390.5148611111</v>
      </c>
    </row>
    <row r="1383" spans="14:20">
      <c r="N1383" s="7" t="str">
        <f>HYPERLINK("E:\附赠：Excel模板\企业管理全套报表EXCEL模板\业务Excel表格模板\销售佣金计算表1.xlsx","销售佣金计算表1.xlsx")</f>
        <v>销售佣金计算表1.xlsx</v>
      </c>
      <c r="Q1383">
        <v>0.01</v>
      </c>
      <c r="R1383" s="7" t="str">
        <f t="shared" si="27"/>
        <v>E:\附赠：Excel模板\企业管理全套报表EXCEL模板\业务Excel表格模板</v>
      </c>
      <c r="S1383" s="9">
        <v>43600.3821990741</v>
      </c>
      <c r="T1383" s="9">
        <v>43390.5148842593</v>
      </c>
    </row>
    <row r="1384" spans="14:20">
      <c r="N1384" s="7" t="str">
        <f>HYPERLINK("E:\附赠：Excel模板\企业管理全套报表EXCEL模板\业务Excel表格模板\项目跟踪器1.xlsx","项目跟踪器1.xlsx")</f>
        <v>项目跟踪器1.xlsx</v>
      </c>
      <c r="Q1384">
        <v>0.02</v>
      </c>
      <c r="R1384" s="7" t="str">
        <f t="shared" si="27"/>
        <v>E:\附赠：Excel模板\企业管理全套报表EXCEL模板\业务Excel表格模板</v>
      </c>
      <c r="S1384" s="9">
        <v>43600.3821990741</v>
      </c>
      <c r="T1384" s="9">
        <v>43390.5148611111</v>
      </c>
    </row>
    <row r="1385" spans="14:20">
      <c r="N1385" t="s">
        <v>15</v>
      </c>
      <c r="Q1385" t="s">
        <v>15</v>
      </c>
      <c r="R1385" t="s">
        <v>15</v>
      </c>
      <c r="S1385" t="s">
        <v>15</v>
      </c>
      <c r="T1385" t="s">
        <v>15</v>
      </c>
    </row>
    <row r="1386" spans="14:20">
      <c r="N1386" s="7" t="str">
        <f>HYPERLINK("E:\附赠：Excel模板\企业管理全套报表EXCEL模板\人力资源模板\信息登记表(1).xlt","信息登记表(1).xlt")</f>
        <v>信息登记表(1).xlt</v>
      </c>
      <c r="Q1386">
        <v>0.02</v>
      </c>
      <c r="R1386" s="7" t="str">
        <f t="shared" ref="R1386:R1423" si="28">HYPERLINK("E:\附赠：Excel模板\企业管理全套报表EXCEL模板\人力资源模板","E:\附赠：Excel模板\企业管理全套报表EXCEL模板\人力资源模板")</f>
        <v>E:\附赠：Excel模板\企业管理全套报表EXCEL模板\人力资源模板</v>
      </c>
      <c r="S1386" s="9">
        <v>43600.3821990741</v>
      </c>
      <c r="T1386" s="9">
        <v>43390.5149305556</v>
      </c>
    </row>
    <row r="1387" spans="14:20">
      <c r="N1387" s="7" t="str">
        <f>HYPERLINK("E:\附赠：Excel模板\企业管理全套报表EXCEL模板\人力资源模板\信息登记表.xlt","信息登记表.xlt")</f>
        <v>信息登记表.xlt</v>
      </c>
      <c r="Q1387">
        <v>0.02</v>
      </c>
      <c r="R1387" s="7" t="str">
        <f t="shared" si="28"/>
        <v>E:\附赠：Excel模板\企业管理全套报表EXCEL模板\人力资源模板</v>
      </c>
      <c r="S1387" s="9">
        <v>43600.3821990741</v>
      </c>
      <c r="T1387" s="9">
        <v>43390.5149305556</v>
      </c>
    </row>
    <row r="1388" spans="14:20">
      <c r="N1388" s="7" t="str">
        <f>HYPERLINK("E:\附赠：Excel模板\企业管理全套报表EXCEL模板\人力资源模板\值班安排表实例拓展(1).xlt","值班安排表实例拓展(1).xlt")</f>
        <v>值班安排表实例拓展(1).xlt</v>
      </c>
      <c r="Q1388">
        <v>0.02</v>
      </c>
      <c r="R1388" s="7" t="str">
        <f t="shared" si="28"/>
        <v>E:\附赠：Excel模板\企业管理全套报表EXCEL模板\人力资源模板</v>
      </c>
      <c r="S1388" s="9">
        <v>43600.3821990741</v>
      </c>
      <c r="T1388" s="9">
        <v>43390.5149074074</v>
      </c>
    </row>
    <row r="1389" spans="14:20">
      <c r="N1389" s="7" t="str">
        <f>HYPERLINK("E:\附赠：Excel模板\企业管理全套报表EXCEL模板\人力资源模板\值班安排表实例拓展.xlt","值班安排表实例拓展.xlt")</f>
        <v>值班安排表实例拓展.xlt</v>
      </c>
      <c r="Q1389">
        <v>0.02</v>
      </c>
      <c r="R1389" s="7" t="str">
        <f t="shared" si="28"/>
        <v>E:\附赠：Excel模板\企业管理全套报表EXCEL模板\人力资源模板</v>
      </c>
      <c r="S1389" s="9">
        <v>43600.3821990741</v>
      </c>
      <c r="T1389" s="9">
        <v>43390.5149074074</v>
      </c>
    </row>
    <row r="1390" spans="14:20">
      <c r="N1390" s="7" t="str">
        <f>HYPERLINK("E:\附赠：Excel模板\企业管理全套报表EXCEL模板\人力资源模板\加班记录表(1).xlt","加班记录表(1).xlt")</f>
        <v>加班记录表(1).xlt</v>
      </c>
      <c r="Q1390">
        <v>0.02</v>
      </c>
      <c r="R1390" s="7" t="str">
        <f t="shared" si="28"/>
        <v>E:\附赠：Excel模板\企业管理全套报表EXCEL模板\人力资源模板</v>
      </c>
      <c r="S1390" s="9">
        <v>43600.3821990741</v>
      </c>
      <c r="T1390" s="9">
        <v>43390.5149537037</v>
      </c>
    </row>
    <row r="1391" spans="14:20">
      <c r="N1391" s="7" t="str">
        <f>HYPERLINK("E:\附赠：Excel模板\企业管理全套报表EXCEL模板\人力资源模板\加班记录表.xlt","加班记录表.xlt")</f>
        <v>加班记录表.xlt</v>
      </c>
      <c r="Q1391">
        <v>0.02</v>
      </c>
      <c r="R1391" s="7" t="str">
        <f t="shared" si="28"/>
        <v>E:\附赠：Excel模板\企业管理全套报表EXCEL模板\人力资源模板</v>
      </c>
      <c r="S1391" s="9">
        <v>43600.3821990741</v>
      </c>
      <c r="T1391" s="9">
        <v>43390.5149537037</v>
      </c>
    </row>
    <row r="1392" spans="14:20">
      <c r="N1392" s="7" t="str">
        <f>HYPERLINK("E:\附赠：Excel模板\企业管理全套报表EXCEL模板\人力资源模板\加班记录表实例拓展(1).xlt","加班记录表实例拓展(1).xlt")</f>
        <v>加班记录表实例拓展(1).xlt</v>
      </c>
      <c r="Q1392">
        <v>0.03</v>
      </c>
      <c r="R1392" s="7" t="str">
        <f t="shared" si="28"/>
        <v>E:\附赠：Excel模板\企业管理全套报表EXCEL模板\人力资源模板</v>
      </c>
      <c r="S1392" s="9">
        <v>43600.3821990741</v>
      </c>
      <c r="T1392" s="9">
        <v>43390.5149537037</v>
      </c>
    </row>
    <row r="1393" spans="14:20">
      <c r="N1393" s="7" t="str">
        <f>HYPERLINK("E:\附赠：Excel模板\企业管理全套报表EXCEL模板\人力资源模板\加班记录表实例拓展.xlt","加班记录表实例拓展.xlt")</f>
        <v>加班记录表实例拓展.xlt</v>
      </c>
      <c r="Q1393">
        <v>0.03</v>
      </c>
      <c r="R1393" s="7" t="str">
        <f t="shared" si="28"/>
        <v>E:\附赠：Excel模板\企业管理全套报表EXCEL模板\人力资源模板</v>
      </c>
      <c r="S1393" s="9">
        <v>43600.3821990741</v>
      </c>
      <c r="T1393" s="9">
        <v>43390.5149537037</v>
      </c>
    </row>
    <row r="1394" spans="14:20">
      <c r="N1394" s="7" t="str">
        <f>HYPERLINK("E:\附赠：Excel模板\企业管理全套报表EXCEL模板\人力资源模板\员工学历表(1).xlt","员工学历表(1).xlt")</f>
        <v>员工学历表(1).xlt</v>
      </c>
      <c r="Q1394">
        <v>0.02</v>
      </c>
      <c r="R1394" s="7" t="str">
        <f t="shared" si="28"/>
        <v>E:\附赠：Excel模板\企业管理全套报表EXCEL模板\人力资源模板</v>
      </c>
      <c r="S1394" s="9">
        <v>43600.3821990741</v>
      </c>
      <c r="T1394" s="9">
        <v>43390.5149074074</v>
      </c>
    </row>
    <row r="1395" spans="14:20">
      <c r="N1395" s="7" t="str">
        <f>HYPERLINK("E:\附赠：Excel模板\企业管理全套报表EXCEL模板\人力资源模板\员工学历表.xlt","员工学历表.xlt")</f>
        <v>员工学历表.xlt</v>
      </c>
      <c r="Q1395">
        <v>0.02</v>
      </c>
      <c r="R1395" s="7" t="str">
        <f t="shared" si="28"/>
        <v>E:\附赠：Excel模板\企业管理全套报表EXCEL模板\人力资源模板</v>
      </c>
      <c r="S1395" s="9">
        <v>43600.3821990741</v>
      </c>
      <c r="T1395" s="9">
        <v>43390.5149305556</v>
      </c>
    </row>
    <row r="1396" spans="14:20">
      <c r="N1396" s="7" t="str">
        <f>HYPERLINK("E:\附赠：Excel模板\企业管理全套报表EXCEL模板\人力资源模板\员工离职程序表(1).xlt","员工离职程序表(1).xlt")</f>
        <v>员工离职程序表(1).xlt</v>
      </c>
      <c r="Q1396">
        <v>0.03</v>
      </c>
      <c r="R1396" s="7" t="str">
        <f t="shared" si="28"/>
        <v>E:\附赠：Excel模板\企业管理全套报表EXCEL模板\人力资源模板</v>
      </c>
      <c r="S1396" s="9">
        <v>43600.3821990741</v>
      </c>
      <c r="T1396" s="9">
        <v>43390.5149305556</v>
      </c>
    </row>
    <row r="1397" spans="14:20">
      <c r="N1397" s="7" t="str">
        <f>HYPERLINK("E:\附赠：Excel模板\企业管理全套报表EXCEL模板\人力资源模板\员工离职程序表.xlt","员工离职程序表.xlt")</f>
        <v>员工离职程序表.xlt</v>
      </c>
      <c r="Q1397">
        <v>0.03</v>
      </c>
      <c r="R1397" s="7" t="str">
        <f t="shared" si="28"/>
        <v>E:\附赠：Excel模板\企业管理全套报表EXCEL模板\人力资源模板</v>
      </c>
      <c r="S1397" s="9">
        <v>43600.3821990741</v>
      </c>
      <c r="T1397" s="9">
        <v>43390.5149305556</v>
      </c>
    </row>
    <row r="1398" spans="14:20">
      <c r="N1398" s="7" t="str">
        <f>HYPERLINK("E:\附赠：Excel模板\企业管理全套报表EXCEL模板\人力资源模板\奖金评定(1).xlt","奖金评定(1).xlt")</f>
        <v>奖金评定(1).xlt</v>
      </c>
      <c r="Q1398">
        <v>0.04</v>
      </c>
      <c r="R1398" s="7" t="str">
        <f t="shared" si="28"/>
        <v>E:\附赠：Excel模板\企业管理全套报表EXCEL模板\人力资源模板</v>
      </c>
      <c r="S1398" s="9">
        <v>43600.3821990741</v>
      </c>
      <c r="T1398" s="9">
        <v>43390.5149537037</v>
      </c>
    </row>
    <row r="1399" spans="14:20">
      <c r="N1399" s="7" t="str">
        <f>HYPERLINK("E:\附赠：Excel模板\企业管理全套报表EXCEL模板\人力资源模板\奖金评定.xlt","奖金评定.xlt")</f>
        <v>奖金评定.xlt</v>
      </c>
      <c r="Q1399">
        <v>0.04</v>
      </c>
      <c r="R1399" s="7" t="str">
        <f t="shared" si="28"/>
        <v>E:\附赠：Excel模板\企业管理全套报表EXCEL模板\人力资源模板</v>
      </c>
      <c r="S1399" s="9">
        <v>43600.3821990741</v>
      </c>
      <c r="T1399" s="9">
        <v>43390.5149537037</v>
      </c>
    </row>
    <row r="1400" spans="14:20">
      <c r="N1400" s="7" t="str">
        <f>HYPERLINK("E:\附赠：Excel模板\企业管理全套报表EXCEL模板\人力资源模板\奖金评定表(1).xlt","奖金评定表(1).xlt")</f>
        <v>奖金评定表(1).xlt</v>
      </c>
      <c r="Q1400">
        <v>0.02</v>
      </c>
      <c r="R1400" s="7" t="str">
        <f t="shared" si="28"/>
        <v>E:\附赠：Excel模板\企业管理全套报表EXCEL模板\人力资源模板</v>
      </c>
      <c r="S1400" s="9">
        <v>43600.3821990741</v>
      </c>
      <c r="T1400" s="9">
        <v>43390.5149537037</v>
      </c>
    </row>
    <row r="1401" spans="14:20">
      <c r="N1401" s="7" t="str">
        <f>HYPERLINK("E:\附赠：Excel模板\企业管理全套报表EXCEL模板\人力资源模板\奖金评定表.xlt","奖金评定表.xlt")</f>
        <v>奖金评定表.xlt</v>
      </c>
      <c r="Q1401">
        <v>0.02</v>
      </c>
      <c r="R1401" s="7" t="str">
        <f t="shared" si="28"/>
        <v>E:\附赠：Excel模板\企业管理全套报表EXCEL模板\人力资源模板</v>
      </c>
      <c r="S1401" s="9">
        <v>43600.3821990741</v>
      </c>
      <c r="T1401" s="9">
        <v>43390.5149305556</v>
      </c>
    </row>
    <row r="1402" spans="14:20">
      <c r="N1402" s="7" t="str">
        <f>HYPERLINK("E:\附赠：Excel模板\企业管理全套报表EXCEL模板\人力资源模板\学生成绩表(1).xlt","学生成绩表(1).xlt")</f>
        <v>学生成绩表(1).xlt</v>
      </c>
      <c r="Q1402">
        <v>0.02</v>
      </c>
      <c r="R1402" s="7" t="str">
        <f t="shared" si="28"/>
        <v>E:\附赠：Excel模板\企业管理全套报表EXCEL模板\人力资源模板</v>
      </c>
      <c r="S1402" s="9">
        <v>43600.3821990741</v>
      </c>
      <c r="T1402" s="9">
        <v>43390.5149305556</v>
      </c>
    </row>
    <row r="1403" spans="14:20">
      <c r="N1403" s="7" t="str">
        <f>HYPERLINK("E:\附赠：Excel模板\企业管理全套报表EXCEL模板\人力资源模板\学生成绩表.xlt","学生成绩表.xlt")</f>
        <v>学生成绩表.xlt</v>
      </c>
      <c r="Q1403">
        <v>0.02</v>
      </c>
      <c r="R1403" s="7" t="str">
        <f t="shared" si="28"/>
        <v>E:\附赠：Excel模板\企业管理全套报表EXCEL模板\人力资源模板</v>
      </c>
      <c r="S1403" s="9">
        <v>43600.3821990741</v>
      </c>
      <c r="T1403" s="9">
        <v>43390.5149537037</v>
      </c>
    </row>
    <row r="1404" spans="14:20">
      <c r="N1404" s="7" t="str">
        <f>HYPERLINK("E:\附赠：Excel模板\企业管理全套报表EXCEL模板\人力资源模板\学生档案表(1).xlt","学生档案表(1).xlt")</f>
        <v>学生档案表(1).xlt</v>
      </c>
      <c r="Q1404">
        <v>0.02</v>
      </c>
      <c r="R1404" s="7" t="str">
        <f t="shared" si="28"/>
        <v>E:\附赠：Excel模板\企业管理全套报表EXCEL模板\人力资源模板</v>
      </c>
      <c r="S1404" s="9">
        <v>43600.3821990741</v>
      </c>
      <c r="T1404" s="9">
        <v>43390.5149305556</v>
      </c>
    </row>
    <row r="1405" spans="14:20">
      <c r="N1405" s="7" t="str">
        <f>HYPERLINK("E:\附赠：Excel模板\企业管理全套报表EXCEL模板\人力资源模板\学生档案表.xlt","学生档案表.xlt")</f>
        <v>学生档案表.xlt</v>
      </c>
      <c r="Q1405">
        <v>0.02</v>
      </c>
      <c r="R1405" s="7" t="str">
        <f t="shared" si="28"/>
        <v>E:\附赠：Excel模板\企业管理全套报表EXCEL模板\人力资源模板</v>
      </c>
      <c r="S1405" s="9">
        <v>43600.3821990741</v>
      </c>
      <c r="T1405" s="9">
        <v>43390.5149305556</v>
      </c>
    </row>
    <row r="1406" spans="14:20">
      <c r="N1406" s="7" t="str">
        <f>HYPERLINK("E:\附赠：Excel模板\企业管理全套报表EXCEL模板\人力资源模板\工资管理(1).xlt","工资管理(1).xlt")</f>
        <v>工资管理(1).xlt</v>
      </c>
      <c r="Q1406">
        <v>0.14</v>
      </c>
      <c r="R1406" s="7" t="str">
        <f t="shared" si="28"/>
        <v>E:\附赠：Excel模板\企业管理全套报表EXCEL模板\人力资源模板</v>
      </c>
      <c r="S1406" s="9">
        <v>43600.3821990741</v>
      </c>
      <c r="T1406" s="9">
        <v>43390.5149537037</v>
      </c>
    </row>
    <row r="1407" spans="14:20">
      <c r="N1407" s="7" t="str">
        <f>HYPERLINK("E:\附赠：Excel模板\企业管理全套报表EXCEL模板\人力资源模板\工资管理.xlt","工资管理.xlt")</f>
        <v>工资管理.xlt</v>
      </c>
      <c r="Q1407">
        <v>0.13</v>
      </c>
      <c r="R1407" s="7" t="str">
        <f t="shared" si="28"/>
        <v>E:\附赠：Excel模板\企业管理全套报表EXCEL模板\人力资源模板</v>
      </c>
      <c r="S1407" s="9">
        <v>43600.3821990741</v>
      </c>
      <c r="T1407" s="9">
        <v>43390.5149537037</v>
      </c>
    </row>
    <row r="1408" spans="14:20">
      <c r="N1408" s="7" t="str">
        <f>HYPERLINK("E:\附赠：Excel模板\企业管理全套报表EXCEL模板\人力资源模板\年度考核(1).xlt","年度考核(1).xlt")</f>
        <v>年度考核(1).xlt</v>
      </c>
      <c r="Q1408">
        <v>0.04</v>
      </c>
      <c r="R1408" s="7" t="str">
        <f t="shared" si="28"/>
        <v>E:\附赠：Excel模板\企业管理全套报表EXCEL模板\人力资源模板</v>
      </c>
      <c r="S1408" s="9">
        <v>43600.3821990741</v>
      </c>
      <c r="T1408" s="9">
        <v>43390.5149305556</v>
      </c>
    </row>
    <row r="1409" spans="14:20">
      <c r="N1409" s="7" t="str">
        <f>HYPERLINK("E:\附赠：Excel模板\企业管理全套报表EXCEL模板\人力资源模板\年度考核.xlt","年度考核.xlt")</f>
        <v>年度考核.xlt</v>
      </c>
      <c r="Q1409">
        <v>0.04</v>
      </c>
      <c r="R1409" s="7" t="str">
        <f t="shared" si="28"/>
        <v>E:\附赠：Excel模板\企业管理全套报表EXCEL模板\人力资源模板</v>
      </c>
      <c r="S1409" s="9">
        <v>43600.3821990741</v>
      </c>
      <c r="T1409" s="9">
        <v>43390.5149305556</v>
      </c>
    </row>
    <row r="1410" spans="14:20">
      <c r="N1410" s="7" t="str">
        <f>HYPERLINK("E:\附赠：Excel模板\企业管理全套报表EXCEL模板\人力资源模板\报销单实例拓展1(1).xlt","报销单实例拓展1(1).xlt")</f>
        <v>报销单实例拓展1(1).xlt</v>
      </c>
      <c r="Q1410">
        <v>0.02</v>
      </c>
      <c r="R1410" s="7" t="str">
        <f t="shared" si="28"/>
        <v>E:\附赠：Excel模板\企业管理全套报表EXCEL模板\人力资源模板</v>
      </c>
      <c r="S1410" s="9">
        <v>43600.3821990741</v>
      </c>
      <c r="T1410" s="9">
        <v>43390.5149768519</v>
      </c>
    </row>
    <row r="1411" spans="14:20">
      <c r="N1411" s="7" t="str">
        <f>HYPERLINK("E:\附赠：Excel模板\企业管理全套报表EXCEL模板\人力资源模板\报销单实例拓展1.xlt","报销单实例拓展1.xlt")</f>
        <v>报销单实例拓展1.xlt</v>
      </c>
      <c r="Q1411">
        <v>0.01</v>
      </c>
      <c r="R1411" s="7" t="str">
        <f t="shared" si="28"/>
        <v>E:\附赠：Excel模板\企业管理全套报表EXCEL模板\人力资源模板</v>
      </c>
      <c r="S1411" s="9">
        <v>43600.3821990741</v>
      </c>
      <c r="T1411" s="9">
        <v>43390.5149768519</v>
      </c>
    </row>
    <row r="1412" spans="14:20">
      <c r="N1412" s="7" t="str">
        <f>HYPERLINK("E:\附赠：Excel模板\企业管理全套报表EXCEL模板\人力资源模板\日程表(1).xlt","日程表(1).xlt")</f>
        <v>日程表(1).xlt</v>
      </c>
      <c r="Q1412">
        <v>0.02</v>
      </c>
      <c r="R1412" s="7" t="str">
        <f t="shared" si="28"/>
        <v>E:\附赠：Excel模板\企业管理全套报表EXCEL模板\人力资源模板</v>
      </c>
      <c r="S1412" s="9">
        <v>43600.3821990741</v>
      </c>
      <c r="T1412" s="9">
        <v>43390.5149305556</v>
      </c>
    </row>
    <row r="1413" spans="14:20">
      <c r="N1413" s="7" t="str">
        <f>HYPERLINK("E:\附赠：Excel模板\企业管理全套报表EXCEL模板\人力资源模板\日程表.xlt","日程表.xlt")</f>
        <v>日程表.xlt</v>
      </c>
      <c r="Q1413">
        <v>0.01</v>
      </c>
      <c r="R1413" s="7" t="str">
        <f t="shared" si="28"/>
        <v>E:\附赠：Excel模板\企业管理全套报表EXCEL模板\人力资源模板</v>
      </c>
      <c r="S1413" s="9">
        <v>43600.3821990741</v>
      </c>
      <c r="T1413" s="9">
        <v>43390.5149305556</v>
      </c>
    </row>
    <row r="1414" spans="14:20">
      <c r="N1414" s="7" t="str">
        <f>HYPERLINK("E:\附赠：Excel模板\企业管理全套报表EXCEL模板\人力资源模板\档案表(1).xlt","档案表(1).xlt")</f>
        <v>档案表(1).xlt</v>
      </c>
      <c r="Q1414">
        <v>1.4</v>
      </c>
      <c r="R1414" s="7" t="str">
        <f t="shared" si="28"/>
        <v>E:\附赠：Excel模板\企业管理全套报表EXCEL模板\人力资源模板</v>
      </c>
      <c r="S1414" s="9">
        <v>43600.3821990741</v>
      </c>
      <c r="T1414" s="9">
        <v>43390.5149768519</v>
      </c>
    </row>
    <row r="1415" spans="14:20">
      <c r="N1415" s="7" t="str">
        <f>HYPERLINK("E:\附赠：Excel模板\企业管理全套报表EXCEL模板\人力资源模板\档案表.xlt","档案表.xlt")</f>
        <v>档案表.xlt</v>
      </c>
      <c r="Q1415">
        <v>1.4</v>
      </c>
      <c r="R1415" s="7" t="str">
        <f t="shared" si="28"/>
        <v>E:\附赠：Excel模板\企业管理全套报表EXCEL模板\人力资源模板</v>
      </c>
      <c r="S1415" s="9">
        <v>43600.3821990741</v>
      </c>
      <c r="T1415" s="9">
        <v>43390.5149768519</v>
      </c>
    </row>
    <row r="1416" spans="14:20">
      <c r="N1416" s="7" t="str">
        <f>HYPERLINK("E:\附赠：Excel模板\企业管理全套报表EXCEL模板\人力资源模板\档案表实例拓展(1).xlt","档案表实例拓展(1).xlt")</f>
        <v>档案表实例拓展(1).xlt</v>
      </c>
      <c r="Q1416">
        <v>0.02</v>
      </c>
      <c r="R1416" s="7" t="str">
        <f t="shared" si="28"/>
        <v>E:\附赠：Excel模板\企业管理全套报表EXCEL模板\人力资源模板</v>
      </c>
      <c r="S1416" s="9">
        <v>43600.3821990741</v>
      </c>
      <c r="T1416" s="9">
        <v>43390.5149768519</v>
      </c>
    </row>
    <row r="1417" spans="14:20">
      <c r="N1417" s="7" t="str">
        <f>HYPERLINK("E:\附赠：Excel模板\企业管理全套报表EXCEL模板\人力资源模板\档案表实例拓展.xlt","档案表实例拓展.xlt")</f>
        <v>档案表实例拓展.xlt</v>
      </c>
      <c r="Q1417">
        <v>0.02</v>
      </c>
      <c r="R1417" s="7" t="str">
        <f t="shared" si="28"/>
        <v>E:\附赠：Excel模板\企业管理全套报表EXCEL模板\人力资源模板</v>
      </c>
      <c r="S1417" s="9">
        <v>43600.3821990741</v>
      </c>
      <c r="T1417" s="9">
        <v>43390.5149768519</v>
      </c>
    </row>
    <row r="1418" spans="14:20">
      <c r="N1418" s="7" t="str">
        <f>HYPERLINK("E:\附赠：Excel模板\企业管理全套报表EXCEL模板\人力资源模板\访问登记表(1).xlt","访问登记表(1).xlt")</f>
        <v>访问登记表(1).xlt</v>
      </c>
      <c r="Q1418">
        <v>0.02</v>
      </c>
      <c r="R1418" s="7" t="str">
        <f t="shared" si="28"/>
        <v>E:\附赠：Excel模板\企业管理全套报表EXCEL模板\人力资源模板</v>
      </c>
      <c r="S1418" s="9">
        <v>43600.3821990741</v>
      </c>
      <c r="T1418" s="9">
        <v>43390.5149537037</v>
      </c>
    </row>
    <row r="1419" spans="14:20">
      <c r="N1419" s="7" t="str">
        <f>HYPERLINK("E:\附赠：Excel模板\企业管理全套报表EXCEL模板\人力资源模板\访问登记表.xlt","访问登记表.xlt")</f>
        <v>访问登记表.xlt</v>
      </c>
      <c r="Q1419">
        <v>0.02</v>
      </c>
      <c r="R1419" s="7" t="str">
        <f t="shared" si="28"/>
        <v>E:\附赠：Excel模板\企业管理全套报表EXCEL模板\人力资源模板</v>
      </c>
      <c r="S1419" s="9">
        <v>43600.3821990741</v>
      </c>
      <c r="T1419" s="9">
        <v>43390.5149537037</v>
      </c>
    </row>
    <row r="1420" spans="14:20">
      <c r="N1420" s="7" t="str">
        <f>HYPERLINK("E:\附赠：Excel模板\企业管理全套报表EXCEL模板\人力资源模板\调查问卷(1).xlt","调查问卷(1).xlt")</f>
        <v>调查问卷(1).xlt</v>
      </c>
      <c r="Q1420">
        <v>0.03</v>
      </c>
      <c r="R1420" s="7" t="str">
        <f t="shared" si="28"/>
        <v>E:\附赠：Excel模板\企业管理全套报表EXCEL模板\人力资源模板</v>
      </c>
      <c r="S1420" s="9">
        <v>43600.3821990741</v>
      </c>
      <c r="T1420" s="9">
        <v>43390.5149768519</v>
      </c>
    </row>
    <row r="1421" spans="14:20">
      <c r="N1421" s="7" t="str">
        <f>HYPERLINK("E:\附赠：Excel模板\企业管理全套报表EXCEL模板\人力资源模板\调查问卷.xlt","调查问卷.xlt")</f>
        <v>调查问卷.xlt</v>
      </c>
      <c r="Q1421">
        <v>0.03</v>
      </c>
      <c r="R1421" s="7" t="str">
        <f t="shared" si="28"/>
        <v>E:\附赠：Excel模板\企业管理全套报表EXCEL模板\人力资源模板</v>
      </c>
      <c r="S1421" s="9">
        <v>43600.3821990741</v>
      </c>
      <c r="T1421" s="9">
        <v>43390.5149537037</v>
      </c>
    </row>
    <row r="1422" spans="14:20">
      <c r="N1422" s="7" t="str">
        <f>HYPERLINK("E:\附赠：Excel模板\企业管理全套报表EXCEL模板\人力资源模板\车辆使用管理.xlt","车辆使用管理.xlt")</f>
        <v>车辆使用管理.xlt</v>
      </c>
      <c r="Q1422">
        <v>0.02</v>
      </c>
      <c r="R1422" s="7" t="str">
        <f t="shared" si="28"/>
        <v>E:\附赠：Excel模板\企业管理全套报表EXCEL模板\人力资源模板</v>
      </c>
      <c r="S1422" s="9">
        <v>43600.3821990741</v>
      </c>
      <c r="T1422" s="9">
        <v>43390.5149768519</v>
      </c>
    </row>
    <row r="1423" spans="14:20">
      <c r="N1423" s="7" t="str">
        <f>HYPERLINK("E:\附赠：Excel模板\企业管理全套报表EXCEL模板\人力资源模板\车辆使用管理1.xlt","车辆使用管理1.xlt")</f>
        <v>车辆使用管理1.xlt</v>
      </c>
      <c r="Q1423">
        <v>0.03</v>
      </c>
      <c r="R1423" s="7" t="str">
        <f t="shared" si="28"/>
        <v>E:\附赠：Excel模板\企业管理全套报表EXCEL模板\人力资源模板</v>
      </c>
      <c r="S1423" s="9">
        <v>43600.3821990741</v>
      </c>
      <c r="T1423" s="9">
        <v>43390.5149768519</v>
      </c>
    </row>
    <row r="1424" spans="14:20">
      <c r="N1424" t="s">
        <v>15</v>
      </c>
      <c r="Q1424" t="s">
        <v>15</v>
      </c>
      <c r="R1424" t="s">
        <v>15</v>
      </c>
      <c r="S1424" t="s">
        <v>15</v>
      </c>
      <c r="T1424" t="s">
        <v>15</v>
      </c>
    </row>
    <row r="1425" spans="14:20">
      <c r="N1425" s="7" t="str">
        <f>HYPERLINK("E:\附赠：Excel模板\企业管理全套报表EXCEL模板\企业素材模板\企业产品清单.xlt","企业产品清单.xlt")</f>
        <v>企业产品清单.xlt</v>
      </c>
      <c r="Q1425">
        <v>0.04</v>
      </c>
      <c r="R1425" s="7" t="str">
        <f t="shared" ref="R1425:R1441" si="29">HYPERLINK("E:\附赠：Excel模板\企业管理全套报表EXCEL模板\企业素材模板","E:\附赠：Excel模板\企业管理全套报表EXCEL模板\企业素材模板")</f>
        <v>E:\附赠：Excel模板\企业管理全套报表EXCEL模板\企业素材模板</v>
      </c>
      <c r="S1425" s="9">
        <v>43600.3821990741</v>
      </c>
      <c r="T1425" s="9">
        <v>43390.515</v>
      </c>
    </row>
    <row r="1426" spans="14:20">
      <c r="N1426" s="7" t="str">
        <f>HYPERLINK("E:\附赠：Excel模板\企业管理全套报表EXCEL模板\企业素材模板\企业人力资源信息调查表.xlt","企业人力资源信息调查表.xlt")</f>
        <v>企业人力资源信息调查表.xlt</v>
      </c>
      <c r="Q1426">
        <v>0.03</v>
      </c>
      <c r="R1426" s="7" t="str">
        <f t="shared" si="29"/>
        <v>E:\附赠：Excel模板\企业管理全套报表EXCEL模板\企业素材模板</v>
      </c>
      <c r="S1426" s="9">
        <v>43600.3821990741</v>
      </c>
      <c r="T1426" s="9">
        <v>43390.515</v>
      </c>
    </row>
    <row r="1427" spans="14:20">
      <c r="N1427" s="7" t="str">
        <f>HYPERLINK("E:\附赠：Excel模板\企业管理全套报表EXCEL模板\企业素材模板\企业原料采购申请表.xlt","企业原料采购申请表.xlt")</f>
        <v>企业原料采购申请表.xlt</v>
      </c>
      <c r="Q1427">
        <v>0.02</v>
      </c>
      <c r="R1427" s="7" t="str">
        <f t="shared" si="29"/>
        <v>E:\附赠：Excel模板\企业管理全套报表EXCEL模板\企业素材模板</v>
      </c>
      <c r="S1427" s="9">
        <v>43600.3821990741</v>
      </c>
      <c r="T1427" s="9">
        <v>43390.515</v>
      </c>
    </row>
    <row r="1428" spans="14:20">
      <c r="N1428" s="7" t="str">
        <f>HYPERLINK("E:\附赠：Excel模板\企业管理全套报表EXCEL模板\企业素材模板\企业原料采购登记表.xlt","企业原料采购登记表.xlt")</f>
        <v>企业原料采购登记表.xlt</v>
      </c>
      <c r="Q1428">
        <v>0.02</v>
      </c>
      <c r="R1428" s="7" t="str">
        <f t="shared" si="29"/>
        <v>E:\附赠：Excel模板\企业管理全套报表EXCEL模板\企业素材模板</v>
      </c>
      <c r="S1428" s="9">
        <v>43600.3821990741</v>
      </c>
      <c r="T1428" s="9">
        <v>43390.515</v>
      </c>
    </row>
    <row r="1429" spans="14:20">
      <c r="N1429" s="7" t="str">
        <f>HYPERLINK("E:\附赠：Excel模板\企业管理全套报表EXCEL模板\企业素材模板\企业员工年假表.xlt","企业员工年假表.xlt")</f>
        <v>企业员工年假表.xlt</v>
      </c>
      <c r="Q1429">
        <v>0.02</v>
      </c>
      <c r="R1429" s="7" t="str">
        <f t="shared" si="29"/>
        <v>E:\附赠：Excel模板\企业管理全套报表EXCEL模板\企业素材模板</v>
      </c>
      <c r="S1429" s="9">
        <v>43600.3821990741</v>
      </c>
      <c r="T1429" s="9">
        <v>43390.515</v>
      </c>
    </row>
    <row r="1430" spans="14:20">
      <c r="N1430" s="7" t="str">
        <f>HYPERLINK("E:\附赠：Excel模板\企业管理全套报表EXCEL模板\企业素材模板\企业客户资料统计表.xlt","企业客户资料统计表.xlt")</f>
        <v>企业客户资料统计表.xlt</v>
      </c>
      <c r="Q1430">
        <v>0.02</v>
      </c>
      <c r="R1430" s="7" t="str">
        <f t="shared" si="29"/>
        <v>E:\附赠：Excel模板\企业管理全套报表EXCEL模板\企业素材模板</v>
      </c>
      <c r="S1430" s="9">
        <v>43600.3821990741</v>
      </c>
      <c r="T1430" s="9">
        <v>43390.515</v>
      </c>
    </row>
    <row r="1431" spans="14:20">
      <c r="N1431" s="7" t="str">
        <f>HYPERLINK("E:\附赠：Excel模板\企业管理全套报表EXCEL模板\企业素材模板\企业市场调查问卷.xlt","企业市场调查问卷.xlt")</f>
        <v>企业市场调查问卷.xlt</v>
      </c>
      <c r="Q1431">
        <v>0.07</v>
      </c>
      <c r="R1431" s="7" t="str">
        <f t="shared" si="29"/>
        <v>E:\附赠：Excel模板\企业管理全套报表EXCEL模板\企业素材模板</v>
      </c>
      <c r="S1431" s="9">
        <v>43600.3821990741</v>
      </c>
      <c r="T1431" s="9">
        <v>43390.515</v>
      </c>
    </row>
    <row r="1432" spans="14:20">
      <c r="N1432" s="7" t="str">
        <f>HYPERLINK("E:\附赠：Excel模板\企业管理全套报表EXCEL模板\企业素材模板\企业招聘员工程序表.xlt","企业招聘员工程序表.xlt")</f>
        <v>企业招聘员工程序表.xlt</v>
      </c>
      <c r="Q1432">
        <v>0.02</v>
      </c>
      <c r="R1432" s="7" t="str">
        <f t="shared" si="29"/>
        <v>E:\附赠：Excel模板\企业管理全套报表EXCEL模板\企业素材模板</v>
      </c>
      <c r="S1432" s="9">
        <v>43600.3821990741</v>
      </c>
      <c r="T1432" s="9">
        <v>43390.515</v>
      </c>
    </row>
    <row r="1433" spans="14:20">
      <c r="N1433" s="7" t="str">
        <f>HYPERLINK("E:\附赠：Excel模板\企业管理全套报表EXCEL模板\企业素材模板\企业新进员工培训成绩统计表.xlt","企业新进员工培训成绩统计表.xlt")</f>
        <v>企业新进员工培训成绩统计表.xlt</v>
      </c>
      <c r="Q1433">
        <v>0.02</v>
      </c>
      <c r="R1433" s="7" t="str">
        <f t="shared" si="29"/>
        <v>E:\附赠：Excel模板\企业管理全套报表EXCEL模板\企业素材模板</v>
      </c>
      <c r="S1433" s="9">
        <v>43600.3821990741</v>
      </c>
      <c r="T1433" s="9">
        <v>43390.515</v>
      </c>
    </row>
    <row r="1434" spans="14:20">
      <c r="N1434" s="7" t="str">
        <f>HYPERLINK("E:\附赠：Excel模板\企业管理全套报表EXCEL模板\企业素材模板\企业新进员工登记表.xlt","企业新进员工登记表.xlt")</f>
        <v>企业新进员工登记表.xlt</v>
      </c>
      <c r="Q1434">
        <v>0.02</v>
      </c>
      <c r="R1434" s="7" t="str">
        <f t="shared" si="29"/>
        <v>E:\附赠：Excel模板\企业管理全套报表EXCEL模板\企业素材模板</v>
      </c>
      <c r="S1434" s="9">
        <v>43600.3821990741</v>
      </c>
      <c r="T1434" s="9">
        <v>43390.515</v>
      </c>
    </row>
    <row r="1435" spans="14:20">
      <c r="N1435" s="7" t="str">
        <f>HYPERLINK("E:\附赠：Excel模板\企业管理全套报表EXCEL模板\企业素材模板\企业生产方案选择表.xlt","企业生产方案选择表.xlt")</f>
        <v>企业生产方案选择表.xlt</v>
      </c>
      <c r="Q1435">
        <v>0.02</v>
      </c>
      <c r="R1435" s="7" t="str">
        <f t="shared" si="29"/>
        <v>E:\附赠：Excel模板\企业管理全套报表EXCEL模板\企业素材模板</v>
      </c>
      <c r="S1435" s="9">
        <v>43600.3821990741</v>
      </c>
      <c r="T1435" s="9">
        <v>43390.515</v>
      </c>
    </row>
    <row r="1436" spans="14:20">
      <c r="N1436" s="7" t="str">
        <f>HYPERLINK("E:\附赠：Excel模板\企业管理全套报表EXCEL模板\企业素材模板\企业重大会议日程安排提醒表.xlt","企业重大会议日程安排提醒表.xlt")</f>
        <v>企业重大会议日程安排提醒表.xlt</v>
      </c>
      <c r="Q1436">
        <v>0.02</v>
      </c>
      <c r="R1436" s="7" t="str">
        <f t="shared" si="29"/>
        <v>E:\附赠：Excel模板\企业管理全套报表EXCEL模板\企业素材模板</v>
      </c>
      <c r="S1436" s="9">
        <v>43600.3821990741</v>
      </c>
      <c r="T1436" s="9">
        <v>43390.5149768519</v>
      </c>
    </row>
    <row r="1437" spans="14:20">
      <c r="N1437" s="7" t="str">
        <f>HYPERLINK("E:\附赠：Excel模板\企业管理全套报表EXCEL模板\企业素材模板\制作员工通讯录.xlt","制作员工通讯录.xlt")</f>
        <v>制作员工通讯录.xlt</v>
      </c>
      <c r="Q1437">
        <v>0.03</v>
      </c>
      <c r="R1437" s="7" t="str">
        <f t="shared" si="29"/>
        <v>E:\附赠：Excel模板\企业管理全套报表EXCEL模板\企业素材模板</v>
      </c>
      <c r="S1437" s="9">
        <v>43600.3821990741</v>
      </c>
      <c r="T1437" s="9">
        <v>43390.5149768519</v>
      </c>
    </row>
    <row r="1438" spans="14:20">
      <c r="N1438" s="7" t="str">
        <f>HYPERLINK("E:\附赠：Excel模板\企业管理全套报表EXCEL模板\企业素材模板\员工医疗费用统计表.xlt","员工医疗费用统计表.xlt")</f>
        <v>员工医疗费用统计表.xlt</v>
      </c>
      <c r="Q1438">
        <v>0.02</v>
      </c>
      <c r="R1438" s="7" t="str">
        <f t="shared" si="29"/>
        <v>E:\附赠：Excel模板\企业管理全套报表EXCEL模板\企业素材模板</v>
      </c>
      <c r="S1438" s="9">
        <v>43600.3821990741</v>
      </c>
      <c r="T1438" s="9">
        <v>43390.5149768519</v>
      </c>
    </row>
    <row r="1439" spans="14:20">
      <c r="N1439" s="7" t="str">
        <f>HYPERLINK("E:\附赠：Excel模板\企业管理全套报表EXCEL模板\企业素材模板\员工名片印制申请单据.xlt","员工名片印制申请单据.xlt")</f>
        <v>员工名片印制申请单据.xlt</v>
      </c>
      <c r="Q1439">
        <v>0.01</v>
      </c>
      <c r="R1439" s="7" t="str">
        <f t="shared" si="29"/>
        <v>E:\附赠：Excel模板\企业管理全套报表EXCEL模板\企业素材模板</v>
      </c>
      <c r="S1439" s="9">
        <v>43600.3821990741</v>
      </c>
      <c r="T1439" s="9">
        <v>43390.5149768519</v>
      </c>
    </row>
    <row r="1440" spans="14:20">
      <c r="N1440" s="7" t="str">
        <f>HYPERLINK("E:\附赠：Excel模板\企业管理全套报表EXCEL模板\企业素材模板\员工过往薪资记录表.xlt","员工过往薪资记录表.xlt")</f>
        <v>员工过往薪资记录表.xlt</v>
      </c>
      <c r="Q1440">
        <v>0.02</v>
      </c>
      <c r="R1440" s="7" t="str">
        <f t="shared" si="29"/>
        <v>E:\附赠：Excel模板\企业管理全套报表EXCEL模板\企业素材模板</v>
      </c>
      <c r="S1440" s="9">
        <v>43600.3821990741</v>
      </c>
      <c r="T1440" s="9">
        <v>43390.515</v>
      </c>
    </row>
    <row r="1441" spans="14:20">
      <c r="N1441" s="7" t="str">
        <f>HYPERLINK("E:\附赠：Excel模板\企业管理全套报表EXCEL模板\企业素材模板\在员工季度考核中使用查询函数.xlt","在员工季度考核中使用查询函数.xlt")</f>
        <v>在员工季度考核中使用查询函数.xlt</v>
      </c>
      <c r="Q1441">
        <v>0.02</v>
      </c>
      <c r="R1441" s="7" t="str">
        <f t="shared" si="29"/>
        <v>E:\附赠：Excel模板\企业管理全套报表EXCEL模板\企业素材模板</v>
      </c>
      <c r="S1441" s="9">
        <v>43600.3821990741</v>
      </c>
      <c r="T1441" s="9">
        <v>43390.5149768519</v>
      </c>
    </row>
    <row r="1442" spans="14:20">
      <c r="N1442" t="s">
        <v>15</v>
      </c>
      <c r="Q1442" t="s">
        <v>15</v>
      </c>
      <c r="R1442" t="s">
        <v>15</v>
      </c>
      <c r="S1442" t="s">
        <v>15</v>
      </c>
      <c r="T1442" t="s">
        <v>15</v>
      </c>
    </row>
    <row r="1443" spans="14:20">
      <c r="N1443" s="7" t="str">
        <f>HYPERLINK("E:\附赠：Excel模板\企业管理全套报表EXCEL模板\其他模板\个税速算.xlt","个税速算.xlt")</f>
        <v>个税速算.xlt</v>
      </c>
      <c r="Q1443">
        <v>0.02</v>
      </c>
      <c r="R1443" s="7" t="str">
        <f t="shared" ref="R1443:R1465" si="30">HYPERLINK("E:\附赠：Excel模板\企业管理全套报表EXCEL模板\其他模板","E:\附赠：Excel模板\企业管理全套报表EXCEL模板\其他模板")</f>
        <v>E:\附赠：Excel模板\企业管理全套报表EXCEL模板\其他模板</v>
      </c>
      <c r="S1443" s="9">
        <v>43600.3821990741</v>
      </c>
      <c r="T1443" s="9">
        <v>43390.5150231481</v>
      </c>
    </row>
    <row r="1444" spans="14:20">
      <c r="N1444" s="7" t="str">
        <f>HYPERLINK("E:\附赠：Excel模板\企业管理全套报表EXCEL模板\其他模板\养老金投资计算器.xlt","养老金投资计算器.xlt")</f>
        <v>养老金投资计算器.xlt</v>
      </c>
      <c r="Q1444">
        <v>0.08</v>
      </c>
      <c r="R1444" s="7" t="str">
        <f t="shared" si="30"/>
        <v>E:\附赠：Excel模板\企业管理全套报表EXCEL模板\其他模板</v>
      </c>
      <c r="S1444" s="9">
        <v>43600.3821990741</v>
      </c>
      <c r="T1444" s="9">
        <v>43390.5150231481</v>
      </c>
    </row>
    <row r="1445" spans="14:20">
      <c r="N1445" s="7" t="str">
        <f>HYPERLINK("E:\附赠：Excel模板\企业管理全套报表EXCEL模板\其他模板\制作股票收益计算器.xlt","制作股票收益计算器.xlt")</f>
        <v>制作股票收益计算器.xlt</v>
      </c>
      <c r="Q1445">
        <v>0.02</v>
      </c>
      <c r="R1445" s="7" t="str">
        <f t="shared" si="30"/>
        <v>E:\附赠：Excel模板\企业管理全套报表EXCEL模板\其他模板</v>
      </c>
      <c r="S1445" s="9">
        <v>43600.3821990741</v>
      </c>
      <c r="T1445" s="9">
        <v>43390.515</v>
      </c>
    </row>
    <row r="1446" spans="14:20">
      <c r="N1446" s="7" t="str">
        <f>HYPERLINK("E:\附赠：Excel模板\企业管理全套报表EXCEL模板\其他模板\办公用品领用记录表.xlt","办公用品领用记录表.xlt")</f>
        <v>办公用品领用记录表.xlt</v>
      </c>
      <c r="Q1446">
        <v>0.02</v>
      </c>
      <c r="R1446" s="7" t="str">
        <f t="shared" si="30"/>
        <v>E:\附赠：Excel模板\企业管理全套报表EXCEL模板\其他模板</v>
      </c>
      <c r="S1446" s="9">
        <v>43600.3821990741</v>
      </c>
      <c r="T1446" s="9">
        <v>43390.5150462963</v>
      </c>
    </row>
    <row r="1447" spans="14:20">
      <c r="N1447" s="7" t="str">
        <f>HYPERLINK("E:\附赠：Excel模板\企业管理全套报表EXCEL模板\其他模板\固定资产清查盘点统计表.xlt","固定资产清查盘点统计表.xlt")</f>
        <v>固定资产清查盘点统计表.xlt</v>
      </c>
      <c r="Q1447">
        <v>0.04</v>
      </c>
      <c r="R1447" s="7" t="str">
        <f t="shared" si="30"/>
        <v>E:\附赠：Excel模板\企业管理全套报表EXCEL模板\其他模板</v>
      </c>
      <c r="S1447" s="9">
        <v>43600.3821990741</v>
      </c>
      <c r="T1447" s="9">
        <v>43390.5150231481</v>
      </c>
    </row>
    <row r="1448" spans="14:20">
      <c r="N1448" s="7" t="str">
        <f>HYPERLINK("E:\附赠：Excel模板\企业管理全套报表EXCEL模板\其他模板\在住房贷款中运用财务函数.xlt","在住房贷款中运用财务函数.xlt")</f>
        <v>在住房贷款中运用财务函数.xlt</v>
      </c>
      <c r="Q1448">
        <v>0.02</v>
      </c>
      <c r="R1448" s="7" t="str">
        <f t="shared" si="30"/>
        <v>E:\附赠：Excel模板\企业管理全套报表EXCEL模板\其他模板</v>
      </c>
      <c r="S1448" s="9">
        <v>43600.3821990741</v>
      </c>
      <c r="T1448" s="9">
        <v>43390.515</v>
      </c>
    </row>
    <row r="1449" spans="14:20">
      <c r="N1449" s="7" t="str">
        <f>HYPERLINK("E:\附赠：Excel模板\企业管理全套报表EXCEL模板\其他模板\在贷款经营表中运用财务函数.xlt","在贷款经营表中运用财务函数.xlt")</f>
        <v>在贷款经营表中运用财务函数.xlt</v>
      </c>
      <c r="Q1449">
        <v>0.02</v>
      </c>
      <c r="R1449" s="7" t="str">
        <f t="shared" si="30"/>
        <v>E:\附赠：Excel模板\企业管理全套报表EXCEL模板\其他模板</v>
      </c>
      <c r="S1449" s="9">
        <v>43600.3821990741</v>
      </c>
      <c r="T1449" s="9">
        <v>43390.5150231481</v>
      </c>
    </row>
    <row r="1450" spans="14:20">
      <c r="N1450" s="7" t="str">
        <f>HYPERLINK("E:\附赠：Excel模板\企业管理全套报表EXCEL模板\其他模板\学生信息表.xlt","学生信息表.xlt")</f>
        <v>学生信息表.xlt</v>
      </c>
      <c r="Q1450">
        <v>0.02</v>
      </c>
      <c r="R1450" s="7" t="str">
        <f t="shared" si="30"/>
        <v>E:\附赠：Excel模板\企业管理全套报表EXCEL模板\其他模板</v>
      </c>
      <c r="S1450" s="9">
        <v>43600.3821990741</v>
      </c>
      <c r="T1450" s="9">
        <v>43390.5150231481</v>
      </c>
    </row>
    <row r="1451" spans="14:20">
      <c r="N1451" s="7" t="str">
        <f>HYPERLINK("E:\附赠：Excel模板\企业管理全套报表EXCEL模板\其他模板\年度收支预算表.xlt","年度收支预算表.xlt")</f>
        <v>年度收支预算表.xlt</v>
      </c>
      <c r="Q1451">
        <v>0.05</v>
      </c>
      <c r="R1451" s="7" t="str">
        <f t="shared" si="30"/>
        <v>E:\附赠：Excel模板\企业管理全套报表EXCEL模板\其他模板</v>
      </c>
      <c r="S1451" s="9">
        <v>43600.3821990741</v>
      </c>
      <c r="T1451" s="9">
        <v>43390.5150231481</v>
      </c>
    </row>
    <row r="1452" spans="14:20">
      <c r="N1452" s="7" t="str">
        <f>HYPERLINK("E:\附赠：Excel模板\企业管理全套报表EXCEL模板\其他模板\广告预算分配方案.xlt","广告预算分配方案.xlt")</f>
        <v>广告预算分配方案.xlt</v>
      </c>
      <c r="Q1452">
        <v>0.02</v>
      </c>
      <c r="R1452" s="7" t="str">
        <f t="shared" si="30"/>
        <v>E:\附赠：Excel模板\企业管理全套报表EXCEL模板\其他模板</v>
      </c>
      <c r="S1452" s="9">
        <v>43600.3821990741</v>
      </c>
      <c r="T1452" s="9">
        <v>43390.5150231481</v>
      </c>
    </row>
    <row r="1453" spans="14:20">
      <c r="N1453" s="7" t="str">
        <f>HYPERLINK("E:\附赠：Excel模板\企业管理全套报表EXCEL模板\其他模板\房屋贷款计算器.xlt","房屋贷款计算器.xlt")</f>
        <v>房屋贷款计算器.xlt</v>
      </c>
      <c r="Q1453">
        <v>0.04</v>
      </c>
      <c r="R1453" s="7" t="str">
        <f t="shared" si="30"/>
        <v>E:\附赠：Excel模板\企业管理全套报表EXCEL模板\其他模板</v>
      </c>
      <c r="S1453" s="9">
        <v>43600.3821990741</v>
      </c>
      <c r="T1453" s="9">
        <v>43390.5150462963</v>
      </c>
    </row>
    <row r="1454" spans="14:20">
      <c r="N1454" s="7" t="str">
        <f>HYPERLINK("E:\附赠：Excel模板\企业管理全套报表EXCEL模板\其他模板\报价单.xlt","报价单.xlt")</f>
        <v>报价单.xlt</v>
      </c>
      <c r="Q1454">
        <v>0.03</v>
      </c>
      <c r="R1454" s="7" t="str">
        <f t="shared" si="30"/>
        <v>E:\附赠：Excel模板\企业管理全套报表EXCEL模板\其他模板</v>
      </c>
      <c r="S1454" s="9">
        <v>43600.3821990741</v>
      </c>
      <c r="T1454" s="9">
        <v>43390.5150462963</v>
      </c>
    </row>
    <row r="1455" spans="14:20">
      <c r="N1455" s="7" t="str">
        <f>HYPERLINK("E:\附赠：Excel模板\企业管理全套报表EXCEL模板\其他模板\月偿还额单变量模拟运算表.xlt","月偿还额单变量模拟运算表.xlt")</f>
        <v>月偿还额单变量模拟运算表.xlt</v>
      </c>
      <c r="Q1455">
        <v>0.01</v>
      </c>
      <c r="R1455" s="7" t="str">
        <f t="shared" si="30"/>
        <v>E:\附赠：Excel模板\企业管理全套报表EXCEL模板\其他模板</v>
      </c>
      <c r="S1455" s="9">
        <v>43600.3821990741</v>
      </c>
      <c r="T1455" s="9">
        <v>43390.5150231481</v>
      </c>
    </row>
    <row r="1456" spans="14:20">
      <c r="N1456" s="7" t="str">
        <f>HYPERLINK("E:\附赠：Excel模板\企业管理全套报表EXCEL模板\其他模板\月偿还额双变量模拟运算表.xlt","月偿还额双变量模拟运算表.xlt")</f>
        <v>月偿还额双变量模拟运算表.xlt</v>
      </c>
      <c r="Q1456">
        <v>0.02</v>
      </c>
      <c r="R1456" s="7" t="str">
        <f t="shared" si="30"/>
        <v>E:\附赠：Excel模板\企业管理全套报表EXCEL模板\其他模板</v>
      </c>
      <c r="S1456" s="9">
        <v>43600.3821990741</v>
      </c>
      <c r="T1456" s="9">
        <v>43390.5150231481</v>
      </c>
    </row>
    <row r="1457" spans="14:20">
      <c r="N1457" s="7" t="str">
        <f>HYPERLINK("E:\附赠：Excel模板\企业管理全套报表EXCEL模板\其他模板\有关节假日的计算.xlt","有关节假日的计算.xlt")</f>
        <v>有关节假日的计算.xlt</v>
      </c>
      <c r="Q1457">
        <v>0.02</v>
      </c>
      <c r="R1457" s="7" t="str">
        <f t="shared" si="30"/>
        <v>E:\附赠：Excel模板\企业管理全套报表EXCEL模板\其他模板</v>
      </c>
      <c r="S1457" s="9">
        <v>43600.3821990741</v>
      </c>
      <c r="T1457" s="9">
        <v>43390.5150231481</v>
      </c>
    </row>
    <row r="1458" spans="14:20">
      <c r="N1458" s="7" t="str">
        <f>HYPERLINK("E:\附赠：Excel模板\企业管理全套报表EXCEL模板\其他模板\火车站寄存包裹收费的计算.xlt","火车站寄存包裹收费的计算.xlt")</f>
        <v>火车站寄存包裹收费的计算.xlt</v>
      </c>
      <c r="Q1458">
        <v>0.02</v>
      </c>
      <c r="R1458" s="7" t="str">
        <f t="shared" si="30"/>
        <v>E:\附赠：Excel模板\企业管理全套报表EXCEL模板\其他模板</v>
      </c>
      <c r="S1458" s="9">
        <v>43600.3821990741</v>
      </c>
      <c r="T1458" s="9">
        <v>43390.5150231481</v>
      </c>
    </row>
    <row r="1459" spans="14:20">
      <c r="N1459" s="7" t="str">
        <f>HYPERLINK("E:\附赠：Excel模板\企业管理全套报表EXCEL模板\其他模板\电子邮件发送企业产品清单.xlt","电子邮件发送企业产品清单.xlt")</f>
        <v>电子邮件发送企业产品清单.xlt</v>
      </c>
      <c r="Q1459">
        <v>0.06</v>
      </c>
      <c r="R1459" s="7" t="str">
        <f t="shared" si="30"/>
        <v>E:\附赠：Excel模板\企业管理全套报表EXCEL模板\其他模板</v>
      </c>
      <c r="S1459" s="9">
        <v>43600.3821990741</v>
      </c>
      <c r="T1459" s="9">
        <v>43390.5150462963</v>
      </c>
    </row>
    <row r="1460" spans="14:20">
      <c r="N1460" s="7" t="str">
        <f>HYPERLINK("E:\附赠：Excel模板\企业管理全套报表EXCEL模板\其他模板\绘制员工考核图表.xlt","绘制员工考核图表.xlt")</f>
        <v>绘制员工考核图表.xlt</v>
      </c>
      <c r="Q1460">
        <v>0.02</v>
      </c>
      <c r="R1460" s="7" t="str">
        <f t="shared" si="30"/>
        <v>E:\附赠：Excel模板\企业管理全套报表EXCEL模板\其他模板</v>
      </c>
      <c r="S1460" s="9">
        <v>43600.3821990741</v>
      </c>
      <c r="T1460" s="9">
        <v>43390.5150231481</v>
      </c>
    </row>
    <row r="1461" spans="14:20">
      <c r="N1461" s="7" t="str">
        <f>HYPERLINK("E:\附赠：Excel模板\企业管理全套报表EXCEL模板\其他模板\绘制商品的区域销售图表.xlt","绘制商品的区域销售图表.xlt")</f>
        <v>绘制商品的区域销售图表.xlt</v>
      </c>
      <c r="Q1461">
        <v>0.02</v>
      </c>
      <c r="R1461" s="7" t="str">
        <f t="shared" si="30"/>
        <v>E:\附赠：Excel模板\企业管理全套报表EXCEL模板\其他模板</v>
      </c>
      <c r="S1461" s="9">
        <v>43600.3821990741</v>
      </c>
      <c r="T1461" s="9">
        <v>43390.5150231481</v>
      </c>
    </row>
    <row r="1462" spans="14:20">
      <c r="N1462" s="7" t="str">
        <f>HYPERLINK("E:\附赠：Excel模板\企业管理全套报表EXCEL模板\其他模板\绘制年度支出比例图.xlt","绘制年度支出比例图.xlt")</f>
        <v>绘制年度支出比例图.xlt</v>
      </c>
      <c r="Q1462">
        <v>0.02</v>
      </c>
      <c r="R1462" s="7" t="str">
        <f t="shared" si="30"/>
        <v>E:\附赠：Excel模板\企业管理全套报表EXCEL模板\其他模板</v>
      </c>
      <c r="S1462" s="9">
        <v>43600.3821990741</v>
      </c>
      <c r="T1462" s="9">
        <v>43390.5150462963</v>
      </c>
    </row>
    <row r="1463" spans="14:20">
      <c r="N1463" s="7" t="str">
        <f>HYPERLINK("E:\附赠：Excel模板\企业管理全套报表EXCEL模板\其他模板\运用逻辑函数判断闰年.xlt","运用逻辑函数判断闰年.xlt")</f>
        <v>运用逻辑函数判断闰年.xlt</v>
      </c>
      <c r="Q1463">
        <v>0.01</v>
      </c>
      <c r="R1463" s="7" t="str">
        <f t="shared" si="30"/>
        <v>E:\附赠：Excel模板\企业管理全套报表EXCEL模板\其他模板</v>
      </c>
      <c r="S1463" s="9">
        <v>43600.3821990741</v>
      </c>
      <c r="T1463" s="9">
        <v>43390.5150231481</v>
      </c>
    </row>
    <row r="1464" spans="14:20">
      <c r="N1464" s="7" t="str">
        <f>HYPERLINK("E:\附赠：Excel模板\企业管理全套报表EXCEL模板\其他模板\通讯录.XLT","通讯录.XLT")</f>
        <v>通讯录.XLT</v>
      </c>
      <c r="Q1464">
        <v>0.02</v>
      </c>
      <c r="R1464" s="7" t="str">
        <f t="shared" si="30"/>
        <v>E:\附赠：Excel模板\企业管理全套报表EXCEL模板\其他模板</v>
      </c>
      <c r="S1464" s="9">
        <v>43600.3821990741</v>
      </c>
      <c r="T1464" s="9">
        <v>43390.5150231481</v>
      </c>
    </row>
    <row r="1465" spans="14:20">
      <c r="N1465" s="7" t="str">
        <f>HYPERLINK("E:\附赠：Excel模板\企业管理全套报表EXCEL模板\其他模板\驱动.xlt","驱动.xlt")</f>
        <v>驱动.xlt</v>
      </c>
      <c r="Q1465">
        <v>0.02</v>
      </c>
      <c r="R1465" s="7" t="str">
        <f t="shared" si="30"/>
        <v>E:\附赠：Excel模板\企业管理全套报表EXCEL模板\其他模板</v>
      </c>
      <c r="S1465" s="9">
        <v>43600.3821990741</v>
      </c>
      <c r="T1465" s="9">
        <v>43390.5150231481</v>
      </c>
    </row>
    <row r="1466" spans="14:20">
      <c r="N1466" t="s">
        <v>15</v>
      </c>
      <c r="Q1466" t="s">
        <v>15</v>
      </c>
      <c r="R1466" t="s">
        <v>15</v>
      </c>
      <c r="S1466" t="s">
        <v>15</v>
      </c>
      <c r="T1466" t="s">
        <v>15</v>
      </c>
    </row>
    <row r="1467" spans="14:20">
      <c r="N1467" s="7" t="str">
        <f>HYPERLINK("E:\附赠：Excel模板\企业管理全套报表EXCEL模板\市场营销模板\产品目录.xlt","产品目录.xlt")</f>
        <v>产品目录.xlt</v>
      </c>
      <c r="Q1467">
        <v>0.02</v>
      </c>
      <c r="R1467" s="7" t="str">
        <f t="shared" ref="R1467:R1488" si="31">HYPERLINK("E:\附赠：Excel模板\企业管理全套报表EXCEL模板\市场营销模板","E:\附赠：Excel模板\企业管理全套报表EXCEL模板\市场营销模板")</f>
        <v>E:\附赠：Excel模板\企业管理全套报表EXCEL模板\市场营销模板</v>
      </c>
      <c r="S1467" s="9">
        <v>43600.3821990741</v>
      </c>
      <c r="T1467" s="9">
        <v>43390.5149074074</v>
      </c>
    </row>
    <row r="1468" spans="14:20">
      <c r="N1468" s="7" t="str">
        <f>HYPERLINK("E:\附赠：Excel模板\企业管理全套报表EXCEL模板\市场营销模板\产品目录实例拓展.xlt","产品目录实例拓展.xlt")</f>
        <v>产品目录实例拓展.xlt</v>
      </c>
      <c r="Q1468">
        <v>0.05</v>
      </c>
      <c r="R1468" s="7" t="str">
        <f t="shared" si="31"/>
        <v>E:\附赠：Excel模板\企业管理全套报表EXCEL模板\市场营销模板</v>
      </c>
      <c r="S1468" s="9">
        <v>43600.3821990741</v>
      </c>
      <c r="T1468" s="9">
        <v>43390.5149074074</v>
      </c>
    </row>
    <row r="1469" spans="14:20">
      <c r="N1469" s="7" t="str">
        <f>HYPERLINK("E:\附赠：Excel模板\企业管理全套报表EXCEL模板\市场营销模板\产品销售额预测分析表.xlt","产品销售额预测分析表.xlt")</f>
        <v>产品销售额预测分析表.xlt</v>
      </c>
      <c r="Q1469">
        <v>0.01</v>
      </c>
      <c r="R1469" s="7" t="str">
        <f t="shared" si="31"/>
        <v>E:\附赠：Excel模板\企业管理全套报表EXCEL模板\市场营销模板</v>
      </c>
      <c r="S1469" s="9">
        <v>43600.3821990741</v>
      </c>
      <c r="T1469" s="9">
        <v>43390.5149074074</v>
      </c>
    </row>
    <row r="1470" spans="14:20">
      <c r="N1470" s="7" t="str">
        <f>HYPERLINK("E:\附赠：Excel模板\企业管理全套报表EXCEL模板\市场营销模板\分期贷款业务.xlt","分期贷款业务.xlt")</f>
        <v>分期贷款业务.xlt</v>
      </c>
      <c r="Q1470">
        <v>0.03</v>
      </c>
      <c r="R1470" s="7" t="str">
        <f t="shared" si="31"/>
        <v>E:\附赠：Excel模板\企业管理全套报表EXCEL模板\市场营销模板</v>
      </c>
      <c r="S1470" s="9">
        <v>43600.3821990741</v>
      </c>
      <c r="T1470" s="9">
        <v>43390.5149074074</v>
      </c>
    </row>
    <row r="1471" spans="14:20">
      <c r="N1471" s="7" t="str">
        <f>HYPERLINK("E:\附赠：Excel模板\企业管理全套报表EXCEL模板\市场营销模板\判别分析.xlt","判别分析.xlt")</f>
        <v>判别分析.xlt</v>
      </c>
      <c r="Q1471">
        <v>0.03</v>
      </c>
      <c r="R1471" s="7" t="str">
        <f t="shared" si="31"/>
        <v>E:\附赠：Excel模板\企业管理全套报表EXCEL模板\市场营销模板</v>
      </c>
      <c r="S1471" s="9">
        <v>43600.3821990741</v>
      </c>
      <c r="T1471" s="9">
        <v>43390.5148842593</v>
      </c>
    </row>
    <row r="1472" spans="14:20">
      <c r="N1472" s="7" t="str">
        <f>HYPERLINK("E:\附赠：Excel模板\企业管理全套报表EXCEL模板\市场营销模板\各类型车销售情况.xlt","各类型车销售情况.xlt")</f>
        <v>各类型车销售情况.xlt</v>
      </c>
      <c r="Q1472">
        <v>0.05</v>
      </c>
      <c r="R1472" s="7" t="str">
        <f t="shared" si="31"/>
        <v>E:\附赠：Excel模板\企业管理全套报表EXCEL模板\市场营销模板</v>
      </c>
      <c r="S1472" s="9">
        <v>43600.3821990741</v>
      </c>
      <c r="T1472" s="9">
        <v>43390.5149074074</v>
      </c>
    </row>
    <row r="1473" spans="14:20">
      <c r="N1473" s="7" t="str">
        <f>HYPERLINK("E:\附赠：Excel模板\企业管理全套报表EXCEL模板\市场营销模板\多元线性回归.xlt","多元线性回归.xlt")</f>
        <v>多元线性回归.xlt</v>
      </c>
      <c r="Q1473">
        <v>0.34</v>
      </c>
      <c r="R1473" s="7" t="str">
        <f t="shared" si="31"/>
        <v>E:\附赠：Excel模板\企业管理全套报表EXCEL模板\市场营销模板</v>
      </c>
      <c r="S1473" s="9">
        <v>43600.3821990741</v>
      </c>
      <c r="T1473" s="9">
        <v>43390.5149074074</v>
      </c>
    </row>
    <row r="1474" spans="14:20">
      <c r="N1474" s="7" t="str">
        <f>HYPERLINK("E:\附赠：Excel模板\企业管理全套报表EXCEL模板\市场营销模板\天力公司回款情况.xlt","天力公司回款情况.xlt")</f>
        <v>天力公司回款情况.xlt</v>
      </c>
      <c r="Q1474">
        <v>0.04</v>
      </c>
      <c r="R1474" s="7" t="str">
        <f t="shared" si="31"/>
        <v>E:\附赠：Excel模板\企业管理全套报表EXCEL模板\市场营销模板</v>
      </c>
      <c r="S1474" s="9">
        <v>43600.3821990741</v>
      </c>
      <c r="T1474" s="9">
        <v>43390.5148842593</v>
      </c>
    </row>
    <row r="1475" spans="14:20">
      <c r="N1475" s="7" t="str">
        <f>HYPERLINK("E:\附赠：Excel模板\企业管理全套报表EXCEL模板\市场营销模板\季节变动.xlt","季节变动.xlt")</f>
        <v>季节变动.xlt</v>
      </c>
      <c r="Q1475">
        <v>0.03</v>
      </c>
      <c r="R1475" s="7" t="str">
        <f t="shared" si="31"/>
        <v>E:\附赠：Excel模板\企业管理全套报表EXCEL模板\市场营销模板</v>
      </c>
      <c r="S1475" s="9">
        <v>43600.3821990741</v>
      </c>
      <c r="T1475" s="9">
        <v>43390.5149074074</v>
      </c>
    </row>
    <row r="1476" spans="14:20">
      <c r="N1476" s="7" t="str">
        <f>HYPERLINK("E:\附赠：Excel模板\企业管理全套报表EXCEL模板\市场营销模板\定性资料的假设检验.xlt","定性资料的假设检验.xlt")</f>
        <v>定性资料的假设检验.xlt</v>
      </c>
      <c r="Q1476">
        <v>0.03</v>
      </c>
      <c r="R1476" s="7" t="str">
        <f t="shared" si="31"/>
        <v>E:\附赠：Excel模板\企业管理全套报表EXCEL模板\市场营销模板</v>
      </c>
      <c r="S1476" s="9">
        <v>43600.3821990741</v>
      </c>
      <c r="T1476" s="9">
        <v>43390.5149074074</v>
      </c>
    </row>
    <row r="1477" spans="14:20">
      <c r="N1477" s="7" t="str">
        <f>HYPERLINK("E:\附赠：Excel模板\企业管理全套报表EXCEL模板\市场营销模板\定性资料的相对数.xlt","定性资料的相对数.xlt")</f>
        <v>定性资料的相对数.xlt</v>
      </c>
      <c r="Q1477">
        <v>0.01</v>
      </c>
      <c r="R1477" s="7" t="str">
        <f t="shared" si="31"/>
        <v>E:\附赠：Excel模板\企业管理全套报表EXCEL模板\市场营销模板</v>
      </c>
      <c r="S1477" s="9">
        <v>43600.3821990741</v>
      </c>
      <c r="T1477" s="9">
        <v>43390.5149074074</v>
      </c>
    </row>
    <row r="1478" spans="14:20">
      <c r="N1478" s="7" t="str">
        <f>HYPERLINK("E:\附赠：Excel模板\企业管理全套报表EXCEL模板\市场营销模板\客户审批单.xlt","客户审批单.xlt")</f>
        <v>客户审批单.xlt</v>
      </c>
      <c r="Q1478">
        <v>0.02</v>
      </c>
      <c r="R1478" s="7" t="str">
        <f t="shared" si="31"/>
        <v>E:\附赠：Excel模板\企业管理全套报表EXCEL模板\市场营销模板</v>
      </c>
      <c r="S1478" s="9">
        <v>43600.3821990741</v>
      </c>
      <c r="T1478" s="9">
        <v>43390.5148842593</v>
      </c>
    </row>
    <row r="1479" spans="14:20">
      <c r="N1479" s="7" t="str">
        <f>HYPERLINK("E:\附赠：Excel模板\企业管理全套报表EXCEL模板\市场营销模板\客户档案表.xlt","客户档案表.xlt")</f>
        <v>客户档案表.xlt</v>
      </c>
      <c r="Q1479">
        <v>0.02</v>
      </c>
      <c r="R1479" s="7" t="str">
        <f t="shared" si="31"/>
        <v>E:\附赠：Excel模板\企业管理全套报表EXCEL模板\市场营销模板</v>
      </c>
      <c r="S1479" s="9">
        <v>43600.3821990741</v>
      </c>
      <c r="T1479" s="9">
        <v>43390.5148842593</v>
      </c>
    </row>
    <row r="1480" spans="14:20">
      <c r="N1480" s="7" t="str">
        <f>HYPERLINK("E:\附赠：Excel模板\企业管理全套报表EXCEL模板\市场营销模板\市场调研问卷.xlt","市场调研问卷.xlt")</f>
        <v>市场调研问卷.xlt</v>
      </c>
      <c r="Q1480">
        <v>0.05</v>
      </c>
      <c r="R1480" s="7" t="str">
        <f t="shared" si="31"/>
        <v>E:\附赠：Excel模板\企业管理全套报表EXCEL模板\市场营销模板</v>
      </c>
      <c r="S1480" s="9">
        <v>43600.3821990741</v>
      </c>
      <c r="T1480" s="9">
        <v>43390.5148842593</v>
      </c>
    </row>
    <row r="1481" spans="14:20">
      <c r="N1481" s="7" t="str">
        <f>HYPERLINK("E:\附赠：Excel模板\企业管理全套报表EXCEL模板\市场营销模板\指数平滑.xlt","指数平滑.xlt")</f>
        <v>指数平滑.xlt</v>
      </c>
      <c r="Q1481">
        <v>0.04</v>
      </c>
      <c r="R1481" s="7" t="str">
        <f t="shared" si="31"/>
        <v>E:\附赠：Excel模板\企业管理全套报表EXCEL模板\市场营销模板</v>
      </c>
      <c r="S1481" s="9">
        <v>43600.3821990741</v>
      </c>
      <c r="T1481" s="9">
        <v>43390.5149074074</v>
      </c>
    </row>
    <row r="1482" spans="14:20">
      <c r="N1482" s="7" t="str">
        <f>HYPERLINK("E:\附赠：Excel模板\企业管理全套报表EXCEL模板\市场营销模板\方案.xlt","方案.xlt")</f>
        <v>方案.xlt</v>
      </c>
      <c r="Q1482">
        <v>0.02</v>
      </c>
      <c r="R1482" s="7" t="str">
        <f t="shared" si="31"/>
        <v>E:\附赠：Excel模板\企业管理全套报表EXCEL模板\市场营销模板</v>
      </c>
      <c r="S1482" s="9">
        <v>43600.3821990741</v>
      </c>
      <c r="T1482" s="9">
        <v>43390.5149074074</v>
      </c>
    </row>
    <row r="1483" spans="14:20">
      <c r="N1483" s="7" t="str">
        <f>HYPERLINK("E:\附赠：Excel模板\企业管理全套报表EXCEL模板\市场营销模板\方案优选.xlt","方案优选.xlt")</f>
        <v>方案优选.xlt</v>
      </c>
      <c r="Q1483">
        <v>0.03</v>
      </c>
      <c r="R1483" s="7" t="str">
        <f t="shared" si="31"/>
        <v>E:\附赠：Excel模板\企业管理全套报表EXCEL模板\市场营销模板</v>
      </c>
      <c r="S1483" s="9">
        <v>43600.3821990741</v>
      </c>
      <c r="T1483" s="9">
        <v>43390.5149074074</v>
      </c>
    </row>
    <row r="1484" spans="14:20">
      <c r="N1484" s="7" t="str">
        <f>HYPERLINK("E:\附赠：Excel模板\企业管理全套报表EXCEL模板\市场营销模板\根据产品销售情况动态统计库存以及奖金提成.xlt","根据产品销售情况动态统计库存以及奖金提成.xlt")</f>
        <v>根据产品销售情况动态统计库存以及奖金提成.xlt</v>
      </c>
      <c r="Q1484">
        <v>0.02</v>
      </c>
      <c r="R1484" s="7" t="str">
        <f t="shared" si="31"/>
        <v>E:\附赠：Excel模板\企业管理全套报表EXCEL模板\市场营销模板</v>
      </c>
      <c r="S1484" s="9">
        <v>43600.3821990741</v>
      </c>
      <c r="T1484" s="9">
        <v>43390.5149074074</v>
      </c>
    </row>
    <row r="1485" spans="14:20">
      <c r="N1485" s="7" t="str">
        <f>HYPERLINK("E:\附赠：Excel模板\企业管理全套报表EXCEL模板\市场营销模板\直线回归.xlt","直线回归.xlt")</f>
        <v>直线回归.xlt</v>
      </c>
      <c r="Q1485">
        <v>0.04</v>
      </c>
      <c r="R1485" s="7" t="str">
        <f t="shared" si="31"/>
        <v>E:\附赠：Excel模板\企业管理全套报表EXCEL模板\市场营销模板</v>
      </c>
      <c r="S1485" s="9">
        <v>43600.3821990741</v>
      </c>
      <c r="T1485" s="9">
        <v>43390.5148842593</v>
      </c>
    </row>
    <row r="1486" spans="14:20">
      <c r="N1486" s="7" t="str">
        <f>HYPERLINK("E:\附赠：Excel模板\企业管理全套报表EXCEL模板\市场营销模板\销售报表分析.xlt","销售报表分析.xlt")</f>
        <v>销售报表分析.xlt</v>
      </c>
      <c r="Q1486">
        <v>0.08</v>
      </c>
      <c r="R1486" s="7" t="str">
        <f t="shared" si="31"/>
        <v>E:\附赠：Excel模板\企业管理全套报表EXCEL模板\市场营销模板</v>
      </c>
      <c r="S1486" s="9">
        <v>43600.3821990741</v>
      </c>
      <c r="T1486" s="9">
        <v>43390.5148842593</v>
      </c>
    </row>
    <row r="1487" spans="14:20">
      <c r="N1487" s="7" t="str">
        <f>HYPERLINK("E:\附赠：Excel模板\企业管理全套报表EXCEL模板\市场营销模板\销售记录单的编辑.xlt","销售记录单的编辑.xlt")</f>
        <v>销售记录单的编辑.xlt</v>
      </c>
      <c r="Q1487">
        <v>0.13</v>
      </c>
      <c r="R1487" s="7" t="str">
        <f t="shared" si="31"/>
        <v>E:\附赠：Excel模板\企业管理全套报表EXCEL模板\市场营销模板</v>
      </c>
      <c r="S1487" s="9">
        <v>43600.3821990741</v>
      </c>
      <c r="T1487" s="9">
        <v>43390.5148842593</v>
      </c>
    </row>
    <row r="1488" spans="14:20">
      <c r="N1488" s="7" t="str">
        <f>HYPERLINK("E:\附赠：Excel模板\企业管理全套报表EXCEL模板\市场营销模板\非线性回归和移动平均.xlt","非线性回归和移动平均.xlt")</f>
        <v>非线性回归和移动平均.xlt</v>
      </c>
      <c r="Q1488">
        <v>0.04</v>
      </c>
      <c r="R1488" s="7" t="str">
        <f t="shared" si="31"/>
        <v>E:\附赠：Excel模板\企业管理全套报表EXCEL模板\市场营销模板</v>
      </c>
      <c r="S1488" s="9">
        <v>43600.3821990741</v>
      </c>
      <c r="T1488" s="9">
        <v>43390.5149074074</v>
      </c>
    </row>
    <row r="1489" spans="14:20">
      <c r="N1489" t="s">
        <v>15</v>
      </c>
      <c r="Q1489" t="s">
        <v>15</v>
      </c>
      <c r="R1489" t="s">
        <v>15</v>
      </c>
      <c r="S1489" t="s">
        <v>15</v>
      </c>
      <c r="T1489" t="s">
        <v>15</v>
      </c>
    </row>
    <row r="1490" spans="14:20">
      <c r="N1490" t="s">
        <v>15</v>
      </c>
      <c r="Q1490" t="s">
        <v>15</v>
      </c>
      <c r="R1490" t="s">
        <v>15</v>
      </c>
      <c r="S1490" t="s">
        <v>15</v>
      </c>
      <c r="T1490" t="s">
        <v>15</v>
      </c>
    </row>
    <row r="1491" spans="14:20">
      <c r="N1491" s="7" t="str">
        <f>HYPERLINK("E:\附赠：Excel模板\企业管理全套报表EXCEL模板\财务会计常用的excel模板\其他模板\三维旋转图表.xlt","三维旋转图表.xlt")</f>
        <v>三维旋转图表.xlt</v>
      </c>
      <c r="Q1491">
        <v>0.08</v>
      </c>
      <c r="R1491" s="7" t="str">
        <f t="shared" ref="R1491:R1554" si="32">HYPERLINK("E:\附赠：Excel模板\企业管理全套报表EXCEL模板\财务会计常用的excel模板\其他模板","E:\附赠：Excel模板\企业管理全套报表EXCEL模板\财务会计常用的excel模板\其他模板")</f>
        <v>E:\附赠：Excel模板\企业管理全套报表EXCEL模板\财务会计常用的excel模板\其他模板</v>
      </c>
      <c r="S1491" s="9">
        <v>43600.3821990741</v>
      </c>
      <c r="T1491" s="9">
        <v>43390.5189583333</v>
      </c>
    </row>
    <row r="1492" spans="14:20">
      <c r="N1492" s="7" t="str">
        <f>HYPERLINK("E:\附赠：Excel模板\企业管理全套报表EXCEL模板\财务会计常用的excel模板\其他模板\个税速算.xlt","个税速算.xlt")</f>
        <v>个税速算.xlt</v>
      </c>
      <c r="Q1492">
        <v>0.02</v>
      </c>
      <c r="R1492" s="7" t="str">
        <f t="shared" si="32"/>
        <v>E:\附赠：Excel模板\企业管理全套报表EXCEL模板\财务会计常用的excel模板\其他模板</v>
      </c>
      <c r="S1492" s="9">
        <v>43600.3821990741</v>
      </c>
      <c r="T1492" s="9">
        <v>43390.5190046296</v>
      </c>
    </row>
    <row r="1493" spans="14:20">
      <c r="N1493" s="7" t="str">
        <f>HYPERLINK("E:\附赠：Excel模板\企业管理全套报表EXCEL模板\财务会计常用的excel模板\其他模板\产品销售分析与预测.xlt","产品销售分析与预测.xlt")</f>
        <v>产品销售分析与预测.xlt</v>
      </c>
      <c r="Q1493">
        <v>0.08</v>
      </c>
      <c r="R1493" s="7" t="str">
        <f t="shared" si="32"/>
        <v>E:\附赠：Excel模板\企业管理全套报表EXCEL模板\财务会计常用的excel模板\其他模板</v>
      </c>
      <c r="S1493" s="9">
        <v>43600.3821990741</v>
      </c>
      <c r="T1493" s="9">
        <v>43390.5190046296</v>
      </c>
    </row>
    <row r="1494" spans="14:20">
      <c r="N1494" s="7" t="str">
        <f>HYPERLINK("E:\附赠：Excel模板\企业管理全套报表EXCEL模板\财务会计常用的excel模板\其他模板\产品销售额预测分析表.xlt","产品销售额预测分析表.xlt")</f>
        <v>产品销售额预测分析表.xlt</v>
      </c>
      <c r="Q1494">
        <v>0.01</v>
      </c>
      <c r="R1494" s="7" t="str">
        <f t="shared" si="32"/>
        <v>E:\附赠：Excel模板\企业管理全套报表EXCEL模板\财务会计常用的excel模板\其他模板</v>
      </c>
      <c r="S1494" s="9">
        <v>43600.3821990741</v>
      </c>
      <c r="T1494" s="9">
        <v>43390.5190046296</v>
      </c>
    </row>
    <row r="1495" spans="14:20">
      <c r="N1495" s="7" t="str">
        <f>HYPERLINK("E:\附赠：Excel模板\企业管理全套报表EXCEL模板\财务会计常用的excel模板\其他模板\企业产品清单.xlt","企业产品清单.xlt")</f>
        <v>企业产品清单.xlt</v>
      </c>
      <c r="Q1495">
        <v>0.04</v>
      </c>
      <c r="R1495" s="7" t="str">
        <f t="shared" si="32"/>
        <v>E:\附赠：Excel模板\企业管理全套报表EXCEL模板\财务会计常用的excel模板\其他模板</v>
      </c>
      <c r="S1495" s="9">
        <v>43600.3821990741</v>
      </c>
      <c r="T1495" s="9">
        <v>43390.5189814815</v>
      </c>
    </row>
    <row r="1496" spans="14:20">
      <c r="N1496" s="7" t="str">
        <f>HYPERLINK("E:\附赠：Excel模板\企业管理全套报表EXCEL模板\财务会计常用的excel模板\其他模板\企业人力资源信息调查表.xlt","企业人力资源信息调查表.xlt")</f>
        <v>企业人力资源信息调查表.xlt</v>
      </c>
      <c r="Q1496">
        <v>0.03</v>
      </c>
      <c r="R1496" s="7" t="str">
        <f t="shared" si="32"/>
        <v>E:\附赠：Excel模板\企业管理全套报表EXCEL模板\财务会计常用的excel模板\其他模板</v>
      </c>
      <c r="S1496" s="9">
        <v>43600.3821990741</v>
      </c>
      <c r="T1496" s="9">
        <v>43390.5189814815</v>
      </c>
    </row>
    <row r="1497" spans="14:20">
      <c r="N1497" s="7" t="str">
        <f>HYPERLINK("E:\附赠：Excel模板\企业管理全套报表EXCEL模板\财务会计常用的excel模板\其他模板\企业内部刊物阅览管理.xlt","企业内部刊物阅览管理.xlt")</f>
        <v>企业内部刊物阅览管理.xlt</v>
      </c>
      <c r="Q1497">
        <v>0.15</v>
      </c>
      <c r="R1497" s="7" t="str">
        <f t="shared" si="32"/>
        <v>E:\附赠：Excel模板\企业管理全套报表EXCEL模板\财务会计常用的excel模板\其他模板</v>
      </c>
      <c r="S1497" s="9">
        <v>43600.3821990741</v>
      </c>
      <c r="T1497" s="9">
        <v>43390.5189814815</v>
      </c>
    </row>
    <row r="1498" spans="14:20">
      <c r="N1498" s="7" t="str">
        <f>HYPERLINK("E:\附赠：Excel模板\企业管理全套报表EXCEL模板\财务会计常用的excel模板\其他模板\企业原料采购申请表.xlt","企业原料采购申请表.xlt")</f>
        <v>企业原料采购申请表.xlt</v>
      </c>
      <c r="Q1498">
        <v>0.02</v>
      </c>
      <c r="R1498" s="7" t="str">
        <f t="shared" si="32"/>
        <v>E:\附赠：Excel模板\企业管理全套报表EXCEL模板\财务会计常用的excel模板\其他模板</v>
      </c>
      <c r="S1498" s="9">
        <v>43600.3821990741</v>
      </c>
      <c r="T1498" s="9">
        <v>43390.5189583333</v>
      </c>
    </row>
    <row r="1499" spans="14:20">
      <c r="N1499" s="7" t="str">
        <f>HYPERLINK("E:\附赠：Excel模板\企业管理全套报表EXCEL模板\财务会计常用的excel模板\其他模板\企业原料采购登记表.xlt","企业原料采购登记表.xlt")</f>
        <v>企业原料采购登记表.xlt</v>
      </c>
      <c r="Q1499">
        <v>0.02</v>
      </c>
      <c r="R1499" s="7" t="str">
        <f t="shared" si="32"/>
        <v>E:\附赠：Excel模板\企业管理全套报表EXCEL模板\财务会计常用的excel模板\其他模板</v>
      </c>
      <c r="S1499" s="9">
        <v>43600.3821990741</v>
      </c>
      <c r="T1499" s="9">
        <v>43390.5189814815</v>
      </c>
    </row>
    <row r="1500" spans="14:20">
      <c r="N1500" s="7" t="str">
        <f>HYPERLINK("E:\附赠：Excel模板\企业管理全套报表EXCEL模板\财务会计常用的excel模板\其他模板\企业员工年假表.xlt","企业员工年假表.xlt")</f>
        <v>企业员工年假表.xlt</v>
      </c>
      <c r="Q1500">
        <v>0.02</v>
      </c>
      <c r="R1500" s="7" t="str">
        <f t="shared" si="32"/>
        <v>E:\附赠：Excel模板\企业管理全套报表EXCEL模板\财务会计常用的excel模板\其他模板</v>
      </c>
      <c r="S1500" s="9">
        <v>43600.3821990741</v>
      </c>
      <c r="T1500" s="9">
        <v>43390.5189583333</v>
      </c>
    </row>
    <row r="1501" spans="14:20">
      <c r="N1501" s="7" t="str">
        <f>HYPERLINK("E:\附赠：Excel模板\企业管理全套报表EXCEL模板\财务会计常用的excel模板\其他模板\企业客户交易评估系统.xlt","企业客户交易评估系统.xlt")</f>
        <v>企业客户交易评估系统.xlt</v>
      </c>
      <c r="Q1501">
        <v>0.03</v>
      </c>
      <c r="R1501" s="7" t="str">
        <f t="shared" si="32"/>
        <v>E:\附赠：Excel模板\企业管理全套报表EXCEL模板\财务会计常用的excel模板\其他模板</v>
      </c>
      <c r="S1501" s="9">
        <v>43600.3821990741</v>
      </c>
      <c r="T1501" s="9">
        <v>43390.5189814815</v>
      </c>
    </row>
    <row r="1502" spans="14:20">
      <c r="N1502" s="7" t="str">
        <f>HYPERLINK("E:\附赠：Excel模板\企业管理全套报表EXCEL模板\财务会计常用的excel模板\其他模板\企业客户资料统计表.xlt","企业客户资料统计表.xlt")</f>
        <v>企业客户资料统计表.xlt</v>
      </c>
      <c r="Q1502">
        <v>0.02</v>
      </c>
      <c r="R1502" s="7" t="str">
        <f t="shared" si="32"/>
        <v>E:\附赠：Excel模板\企业管理全套报表EXCEL模板\财务会计常用的excel模板\其他模板</v>
      </c>
      <c r="S1502" s="9">
        <v>43600.3821990741</v>
      </c>
      <c r="T1502" s="9">
        <v>43390.5189814815</v>
      </c>
    </row>
    <row r="1503" spans="14:20">
      <c r="N1503" s="7" t="str">
        <f>HYPERLINK("E:\附赠：Excel模板\企业管理全套报表EXCEL模板\财务会计常用的excel模板\其他模板\企业市场调查问卷.xlt","企业市场调查问卷.xlt")</f>
        <v>企业市场调查问卷.xlt</v>
      </c>
      <c r="Q1503">
        <v>0.07</v>
      </c>
      <c r="R1503" s="7" t="str">
        <f t="shared" si="32"/>
        <v>E:\附赠：Excel模板\企业管理全套报表EXCEL模板\财务会计常用的excel模板\其他模板</v>
      </c>
      <c r="S1503" s="9">
        <v>43600.3821990741</v>
      </c>
      <c r="T1503" s="9">
        <v>43390.5189814815</v>
      </c>
    </row>
    <row r="1504" spans="14:20">
      <c r="N1504" s="7" t="str">
        <f>HYPERLINK("E:\附赠：Excel模板\企业管理全套报表EXCEL模板\财务会计常用的excel模板\其他模板\企业招聘员工程序表.xlt","企业招聘员工程序表.xlt")</f>
        <v>企业招聘员工程序表.xlt</v>
      </c>
      <c r="Q1504">
        <v>0.02</v>
      </c>
      <c r="R1504" s="7" t="str">
        <f t="shared" si="32"/>
        <v>E:\附赠：Excel模板\企业管理全套报表EXCEL模板\财务会计常用的excel模板\其他模板</v>
      </c>
      <c r="S1504" s="9">
        <v>43600.3821990741</v>
      </c>
      <c r="T1504" s="9">
        <v>43390.5189583333</v>
      </c>
    </row>
    <row r="1505" spans="14:20">
      <c r="N1505" s="7" t="str">
        <f>HYPERLINK("E:\附赠：Excel模板\企业管理全套报表EXCEL模板\财务会计常用的excel模板\其他模板\企业新进员工培训成绩统计表.xlt","企业新进员工培训成绩统计表.xlt")</f>
        <v>企业新进员工培训成绩统计表.xlt</v>
      </c>
      <c r="Q1505">
        <v>0.02</v>
      </c>
      <c r="R1505" s="7" t="str">
        <f t="shared" si="32"/>
        <v>E:\附赠：Excel模板\企业管理全套报表EXCEL模板\财务会计常用的excel模板\其他模板</v>
      </c>
      <c r="S1505" s="9">
        <v>43600.3821990741</v>
      </c>
      <c r="T1505" s="9">
        <v>43390.5189583333</v>
      </c>
    </row>
    <row r="1506" spans="14:20">
      <c r="N1506" s="7" t="str">
        <f>HYPERLINK("E:\附赠：Excel模板\企业管理全套报表EXCEL模板\财务会计常用的excel模板\其他模板\企业新进员工登记表.xlt","企业新进员工登记表.xlt")</f>
        <v>企业新进员工登记表.xlt</v>
      </c>
      <c r="Q1506">
        <v>0.02</v>
      </c>
      <c r="R1506" s="7" t="str">
        <f t="shared" si="32"/>
        <v>E:\附赠：Excel模板\企业管理全套报表EXCEL模板\财务会计常用的excel模板\其他模板</v>
      </c>
      <c r="S1506" s="9">
        <v>43600.3821990741</v>
      </c>
      <c r="T1506" s="9">
        <v>43390.5189814815</v>
      </c>
    </row>
    <row r="1507" spans="14:20">
      <c r="N1507" s="7" t="str">
        <f>HYPERLINK("E:\附赠：Excel模板\企业管理全套报表EXCEL模板\财务会计常用的excel模板\其他模板\企业生产方案选择表.xlt","企业生产方案选择表.xlt")</f>
        <v>企业生产方案选择表.xlt</v>
      </c>
      <c r="Q1507">
        <v>0.02</v>
      </c>
      <c r="R1507" s="7" t="str">
        <f t="shared" si="32"/>
        <v>E:\附赠：Excel模板\企业管理全套报表EXCEL模板\财务会计常用的excel模板\其他模板</v>
      </c>
      <c r="S1507" s="9">
        <v>43600.3821990741</v>
      </c>
      <c r="T1507" s="9">
        <v>43390.5189814815</v>
      </c>
    </row>
    <row r="1508" spans="14:20">
      <c r="N1508" s="7" t="str">
        <f>HYPERLINK("E:\附赠：Excel模板\企业管理全套报表EXCEL模板\财务会计常用的excel模板\其他模板\企业重大会议日程安排提醒表.xlt","企业重大会议日程安排提醒表.xlt")</f>
        <v>企业重大会议日程安排提醒表.xlt</v>
      </c>
      <c r="Q1508">
        <v>0.02</v>
      </c>
      <c r="R1508" s="7" t="str">
        <f t="shared" si="32"/>
        <v>E:\附赠：Excel模板\企业管理全套报表EXCEL模板\财务会计常用的excel模板\其他模板</v>
      </c>
      <c r="S1508" s="9">
        <v>43600.3821990741</v>
      </c>
      <c r="T1508" s="9">
        <v>43390.5189583333</v>
      </c>
    </row>
    <row r="1509" spans="14:20">
      <c r="N1509" s="7" t="str">
        <f>HYPERLINK("E:\附赠：Excel模板\企业管理全套报表EXCEL模板\财务会计常用的excel模板\其他模板\使用DAVERAGE函数计算条目的平均值.xlt","使用DAVERAGE函数计算条目的平均值.xlt")</f>
        <v>使用DAVERAGE函数计算条目的平均值.xlt</v>
      </c>
      <c r="Q1509">
        <v>0.01</v>
      </c>
      <c r="R1509" s="7" t="str">
        <f t="shared" si="32"/>
        <v>E:\附赠：Excel模板\企业管理全套报表EXCEL模板\财务会计常用的excel模板\其他模板</v>
      </c>
      <c r="S1509" s="9">
        <v>43600.3821990741</v>
      </c>
      <c r="T1509" s="9">
        <v>43390.5189583333</v>
      </c>
    </row>
    <row r="1510" spans="14:20">
      <c r="N1510" s="7" t="str">
        <f>HYPERLINK("E:\附赠：Excel模板\企业管理全套报表EXCEL模板\财务会计常用的excel模板\其他模板\公司文档资料管理.xlt","公司文档资料管理.xlt")</f>
        <v>公司文档资料管理.xlt</v>
      </c>
      <c r="Q1510">
        <v>0.13</v>
      </c>
      <c r="R1510" s="7" t="str">
        <f t="shared" si="32"/>
        <v>E:\附赠：Excel模板\企业管理全套报表EXCEL模板\财务会计常用的excel模板\其他模板</v>
      </c>
      <c r="S1510" s="9">
        <v>43600.3821990741</v>
      </c>
      <c r="T1510" s="9">
        <v>43390.5190046296</v>
      </c>
    </row>
    <row r="1511" spans="14:20">
      <c r="N1511" s="7" t="str">
        <f>HYPERLINK("E:\附赠：Excel模板\企业管理全套报表EXCEL模板\财务会计常用的excel模板\其他模板\养老金投资计算器.xlt","养老金投资计算器.xlt")</f>
        <v>养老金投资计算器.xlt</v>
      </c>
      <c r="Q1511">
        <v>0.08</v>
      </c>
      <c r="R1511" s="7" t="str">
        <f t="shared" si="32"/>
        <v>E:\附赠：Excel模板\企业管理全套报表EXCEL模板\财务会计常用的excel模板\其他模板</v>
      </c>
      <c r="S1511" s="9">
        <v>43600.3821990741</v>
      </c>
      <c r="T1511" s="9">
        <v>43390.5189351852</v>
      </c>
    </row>
    <row r="1512" spans="14:20">
      <c r="N1512" s="7" t="str">
        <f>HYPERLINK("E:\附赠：Excel模板\企业管理全套报表EXCEL模板\财务会计常用的excel模板\其他模板\内部报酬率法投资分析表.xlt","内部报酬率法投资分析表.xlt")</f>
        <v>内部报酬率法投资分析表.xlt</v>
      </c>
      <c r="Q1512">
        <v>0.04</v>
      </c>
      <c r="R1512" s="7" t="str">
        <f t="shared" si="32"/>
        <v>E:\附赠：Excel模板\企业管理全套报表EXCEL模板\财务会计常用的excel模板\其他模板</v>
      </c>
      <c r="S1512" s="9">
        <v>43600.3821990741</v>
      </c>
      <c r="T1512" s="9">
        <v>43390.5189814815</v>
      </c>
    </row>
    <row r="1513" spans="14:20">
      <c r="N1513" s="7" t="str">
        <f>HYPERLINK("E:\附赠：Excel模板\企业管理全套报表EXCEL模板\财务会计常用的excel模板\其他模板\净现值法投资分析表.xlt","净现值法投资分析表.xlt")</f>
        <v>净现值法投资分析表.xlt</v>
      </c>
      <c r="Q1513">
        <v>0.03</v>
      </c>
      <c r="R1513" s="7" t="str">
        <f t="shared" si="32"/>
        <v>E:\附赠：Excel模板\企业管理全套报表EXCEL模板\财务会计常用的excel模板\其他模板</v>
      </c>
      <c r="S1513" s="9">
        <v>43600.3821990741</v>
      </c>
      <c r="T1513" s="9">
        <v>43390.5189814815</v>
      </c>
    </row>
    <row r="1514" spans="14:20">
      <c r="N1514" s="7" t="str">
        <f>HYPERLINK("E:\附赠：Excel模板\企业管理全套报表EXCEL模板\财务会计常用的excel模板\其他模板\制作员工通讯录.xlt","制作员工通讯录.xlt")</f>
        <v>制作员工通讯录.xlt</v>
      </c>
      <c r="Q1514">
        <v>0.03</v>
      </c>
      <c r="R1514" s="7" t="str">
        <f t="shared" si="32"/>
        <v>E:\附赠：Excel模板\企业管理全套报表EXCEL模板\财务会计常用的excel模板\其他模板</v>
      </c>
      <c r="S1514" s="9">
        <v>43600.3821990741</v>
      </c>
      <c r="T1514" s="9">
        <v>43390.518912037</v>
      </c>
    </row>
    <row r="1515" spans="14:20">
      <c r="N1515" s="7" t="str">
        <f>HYPERLINK("E:\附赠：Excel模板\企业管理全套报表EXCEL模板\财务会计常用的excel模板\其他模板\制作股票收益计算器.xlt","制作股票收益计算器.xlt")</f>
        <v>制作股票收益计算器.xlt</v>
      </c>
      <c r="Q1515">
        <v>0.02</v>
      </c>
      <c r="R1515" s="7" t="str">
        <f t="shared" si="32"/>
        <v>E:\附赠：Excel模板\企业管理全套报表EXCEL模板\财务会计常用的excel模板\其他模板</v>
      </c>
      <c r="S1515" s="9">
        <v>43600.3821990741</v>
      </c>
      <c r="T1515" s="9">
        <v>43390.518912037</v>
      </c>
    </row>
    <row r="1516" spans="14:20">
      <c r="N1516" s="7" t="str">
        <f>HYPERLINK("E:\附赠：Excel模板\企业管理全套报表EXCEL模板\财务会计常用的excel模板\其他模板\办公用品领用记录表.xlt","办公用品领用记录表.xlt")</f>
        <v>办公用品领用记录表.xlt</v>
      </c>
      <c r="Q1516">
        <v>0.02</v>
      </c>
      <c r="R1516" s="7" t="str">
        <f t="shared" si="32"/>
        <v>E:\附赠：Excel模板\企业管理全套报表EXCEL模板\财务会计常用的excel模板\其他模板</v>
      </c>
      <c r="S1516" s="9">
        <v>43600.3821990741</v>
      </c>
      <c r="T1516" s="9">
        <v>43390.5190277778</v>
      </c>
    </row>
    <row r="1517" spans="14:20">
      <c r="N1517" s="7" t="str">
        <f>HYPERLINK("E:\附赠：Excel模板\企业管理全套报表EXCEL模板\财务会计常用的excel模板\其他模板\加班记录表.xlt","加班记录表.xlt")</f>
        <v>加班记录表.xlt</v>
      </c>
      <c r="Q1517">
        <v>0.02</v>
      </c>
      <c r="R1517" s="7" t="str">
        <f t="shared" si="32"/>
        <v>E:\附赠：Excel模板\企业管理全套报表EXCEL模板\财务会计常用的excel模板\其他模板</v>
      </c>
      <c r="S1517" s="9">
        <v>43600.3821990741</v>
      </c>
      <c r="T1517" s="9">
        <v>43390.5189814815</v>
      </c>
    </row>
    <row r="1518" spans="14:20">
      <c r="N1518" s="7" t="str">
        <f>HYPERLINK("E:\附赠：Excel模板\企业管理全套报表EXCEL模板\财务会计常用的excel模板\其他模板\包含同名同姓员工的销售部员工资料表.xlt","包含同名同姓员工的销售部员工资料表.xlt")</f>
        <v>包含同名同姓员工的销售部员工资料表.xlt</v>
      </c>
      <c r="Q1518">
        <v>0.68</v>
      </c>
      <c r="R1518" s="7" t="str">
        <f t="shared" si="32"/>
        <v>E:\附赠：Excel模板\企业管理全套报表EXCEL模板\财务会计常用的excel模板\其他模板</v>
      </c>
      <c r="S1518" s="9">
        <v>43600.3821990741</v>
      </c>
      <c r="T1518" s="9">
        <v>43390.5190277778</v>
      </c>
    </row>
    <row r="1519" spans="14:20">
      <c r="N1519" s="7" t="str">
        <f>HYPERLINK("E:\附赠：Excel模板\企业管理全套报表EXCEL模板\财务会计常用的excel模板\其他模板\员工医疗费用统计表.xlt","员工医疗费用统计表.xlt")</f>
        <v>员工医疗费用统计表.xlt</v>
      </c>
      <c r="Q1519">
        <v>0.02</v>
      </c>
      <c r="R1519" s="7" t="str">
        <f t="shared" si="32"/>
        <v>E:\附赠：Excel模板\企业管理全套报表EXCEL模板\财务会计常用的excel模板\其他模板</v>
      </c>
      <c r="S1519" s="9">
        <v>43600.3821990741</v>
      </c>
      <c r="T1519" s="9">
        <v>43390.518912037</v>
      </c>
    </row>
    <row r="1520" spans="14:20">
      <c r="N1520" s="7" t="str">
        <f>HYPERLINK("E:\附赠：Excel模板\企业管理全套报表EXCEL模板\财务会计常用的excel模板\其他模板\员工名片印制申请单据.xlt","员工名片印制申请单据.xlt")</f>
        <v>员工名片印制申请单据.xlt</v>
      </c>
      <c r="Q1520">
        <v>0.01</v>
      </c>
      <c r="R1520" s="7" t="str">
        <f t="shared" si="32"/>
        <v>E:\附赠：Excel模板\企业管理全套报表EXCEL模板\财务会计常用的excel模板\其他模板</v>
      </c>
      <c r="S1520" s="9">
        <v>43600.3821990741</v>
      </c>
      <c r="T1520" s="9">
        <v>43390.518912037</v>
      </c>
    </row>
    <row r="1521" spans="14:20">
      <c r="N1521" s="7" t="str">
        <f>HYPERLINK("E:\附赠：Excel模板\企业管理全套报表EXCEL模板\财务会计常用的excel模板\其他模板\员工工资数据表.xlt","员工工资数据表.xlt")</f>
        <v>员工工资数据表.xlt</v>
      </c>
      <c r="Q1521">
        <v>0.03</v>
      </c>
      <c r="R1521" s="7" t="str">
        <f t="shared" si="32"/>
        <v>E:\附赠：Excel模板\企业管理全套报表EXCEL模板\财务会计常用的excel模板\其他模板</v>
      </c>
      <c r="S1521" s="9">
        <v>43600.3821990741</v>
      </c>
      <c r="T1521" s="9">
        <v>43390.5189351852</v>
      </c>
    </row>
    <row r="1522" spans="14:20">
      <c r="N1522" s="7" t="str">
        <f>HYPERLINK("E:\附赠：Excel模板\企业管理全套报表EXCEL模板\财务会计常用的excel模板\其他模板\员工离职程序表.xlt","员工离职程序表.xlt")</f>
        <v>员工离职程序表.xlt</v>
      </c>
      <c r="Q1522">
        <v>0.03</v>
      </c>
      <c r="R1522" s="7" t="str">
        <f t="shared" si="32"/>
        <v>E:\附赠：Excel模板\企业管理全套报表EXCEL模板\财务会计常用的excel模板\其他模板</v>
      </c>
      <c r="S1522" s="9">
        <v>43600.3821990741</v>
      </c>
      <c r="T1522" s="9">
        <v>43390.5189351852</v>
      </c>
    </row>
    <row r="1523" spans="14:20">
      <c r="N1523" s="7" t="str">
        <f>HYPERLINK("E:\附赠：Excel模板\企业管理全套报表EXCEL模板\财务会计常用的excel模板\其他模板\员工过往薪资记录表.xlt","员工过往薪资记录表.xlt")</f>
        <v>员工过往薪资记录表.xlt</v>
      </c>
      <c r="Q1523">
        <v>0.02</v>
      </c>
      <c r="R1523" s="7" t="str">
        <f t="shared" si="32"/>
        <v>E:\附赠：Excel模板\企业管理全套报表EXCEL模板\财务会计常用的excel模板\其他模板</v>
      </c>
      <c r="S1523" s="9">
        <v>43600.3821990741</v>
      </c>
      <c r="T1523" s="9">
        <v>43390.5189351852</v>
      </c>
    </row>
    <row r="1524" spans="14:20">
      <c r="N1524" s="7" t="str">
        <f>HYPERLINK("E:\附赠：Excel模板\企业管理全套报表EXCEL模板\财务会计常用的excel模板\其他模板\商品分期付款决策.xlt","商品分期付款决策.xlt")</f>
        <v>商品分期付款决策.xlt</v>
      </c>
      <c r="Q1524">
        <v>0.03</v>
      </c>
      <c r="R1524" s="7" t="str">
        <f t="shared" si="32"/>
        <v>E:\附赠：Excel模板\企业管理全套报表EXCEL模板\财务会计常用的excel模板\其他模板</v>
      </c>
      <c r="S1524" s="9">
        <v>43600.3821990741</v>
      </c>
      <c r="T1524" s="9">
        <v>43390.5189583333</v>
      </c>
    </row>
    <row r="1525" spans="14:20">
      <c r="N1525" s="7" t="str">
        <f>HYPERLINK("E:\附赠：Excel模板\企业管理全套报表EXCEL模板\财务会计常用的excel模板\其他模板\商品库存需求分析表.xlt","商品库存需求分析表.xlt")</f>
        <v>商品库存需求分析表.xlt</v>
      </c>
      <c r="Q1525">
        <v>0.03</v>
      </c>
      <c r="R1525" s="7" t="str">
        <f t="shared" si="32"/>
        <v>E:\附赠：Excel模板\企业管理全套报表EXCEL模板\财务会计常用的excel模板\其他模板</v>
      </c>
      <c r="S1525" s="9">
        <v>43600.3821990741</v>
      </c>
      <c r="T1525" s="9">
        <v>43390.5189583333</v>
      </c>
    </row>
    <row r="1526" spans="14:20">
      <c r="N1526" s="7" t="str">
        <f>HYPERLINK("E:\附赠：Excel模板\企业管理全套报表EXCEL模板\财务会计常用的excel模板\其他模板\回收期法投资分析表.xlt","回收期法投资分析表.xlt")</f>
        <v>回收期法投资分析表.xlt</v>
      </c>
      <c r="Q1526">
        <v>0.05</v>
      </c>
      <c r="R1526" s="7" t="str">
        <f t="shared" si="32"/>
        <v>E:\附赠：Excel模板\企业管理全套报表EXCEL模板\财务会计常用的excel模板\其他模板</v>
      </c>
      <c r="S1526" s="9">
        <v>43600.3821990741</v>
      </c>
      <c r="T1526" s="9">
        <v>43390.5190046296</v>
      </c>
    </row>
    <row r="1527" spans="14:20">
      <c r="N1527" s="7" t="str">
        <f>HYPERLINK("E:\附赠：Excel模板\企业管理全套报表EXCEL模板\财务会计常用的excel模板\其他模板\固定资产清查盘点统计表.xlt","固定资产清查盘点统计表.xlt")</f>
        <v>固定资产清查盘点统计表.xlt</v>
      </c>
      <c r="Q1527">
        <v>0.04</v>
      </c>
      <c r="R1527" s="7" t="str">
        <f t="shared" si="32"/>
        <v>E:\附赠：Excel模板\企业管理全套报表EXCEL模板\财务会计常用的excel模板\其他模板</v>
      </c>
      <c r="S1527" s="9">
        <v>43600.3821990741</v>
      </c>
      <c r="T1527" s="9">
        <v>43390.5190046296</v>
      </c>
    </row>
    <row r="1528" spans="14:20">
      <c r="N1528" s="7" t="str">
        <f>HYPERLINK("E:\附赠：Excel模板\企业管理全套报表EXCEL模板\财务会计常用的excel模板\其他模板\在住房贷款中运用财务函数.xlt","在住房贷款中运用财务函数.xlt")</f>
        <v>在住房贷款中运用财务函数.xlt</v>
      </c>
      <c r="Q1528">
        <v>0.02</v>
      </c>
      <c r="R1528" s="7" t="str">
        <f t="shared" si="32"/>
        <v>E:\附赠：Excel模板\企业管理全套报表EXCEL模板\财务会计常用的excel模板\其他模板</v>
      </c>
      <c r="S1528" s="9">
        <v>43600.3821990741</v>
      </c>
      <c r="T1528" s="9">
        <v>43390.518912037</v>
      </c>
    </row>
    <row r="1529" spans="14:20">
      <c r="N1529" s="7" t="str">
        <f>HYPERLINK("E:\附赠：Excel模板\企业管理全套报表EXCEL模板\财务会计常用的excel模板\其他模板\在员工季度考核中使用查询函数.xlt","在员工季度考核中使用查询函数.xlt")</f>
        <v>在员工季度考核中使用查询函数.xlt</v>
      </c>
      <c r="Q1529">
        <v>0.02</v>
      </c>
      <c r="R1529" s="7" t="str">
        <f t="shared" si="32"/>
        <v>E:\附赠：Excel模板\企业管理全套报表EXCEL模板\财务会计常用的excel模板\其他模板</v>
      </c>
      <c r="S1529" s="9">
        <v>43600.3821990741</v>
      </c>
      <c r="T1529" s="9">
        <v>43390.518912037</v>
      </c>
    </row>
    <row r="1530" spans="14:20">
      <c r="N1530" s="7" t="str">
        <f>HYPERLINK("E:\附赠：Excel模板\企业管理全套报表EXCEL模板\财务会计常用的excel模板\其他模板\在贷款经营表中运用财务函数.xlt","在贷款经营表中运用财务函数.xlt")</f>
        <v>在贷款经营表中运用财务函数.xlt</v>
      </c>
      <c r="Q1530">
        <v>0.02</v>
      </c>
      <c r="R1530" s="7" t="str">
        <f t="shared" si="32"/>
        <v>E:\附赠：Excel模板\企业管理全套报表EXCEL模板\财务会计常用的excel模板\其他模板</v>
      </c>
      <c r="S1530" s="9">
        <v>43600.3821990741</v>
      </c>
      <c r="T1530" s="9">
        <v>43390.518912037</v>
      </c>
    </row>
    <row r="1531" spans="14:20">
      <c r="N1531" s="7" t="str">
        <f>HYPERLINK("E:\附赠：Excel模板\企业管理全套报表EXCEL模板\财务会计常用的excel模板\其他模板\学生信息表.xlt","学生信息表.xlt")</f>
        <v>学生信息表.xlt</v>
      </c>
      <c r="Q1531">
        <v>0.02</v>
      </c>
      <c r="R1531" s="7" t="str">
        <f t="shared" si="32"/>
        <v>E:\附赠：Excel模板\企业管理全套报表EXCEL模板\财务会计常用的excel模板\其他模板</v>
      </c>
      <c r="S1531" s="9">
        <v>43600.3821990741</v>
      </c>
      <c r="T1531" s="9">
        <v>43390.5189351852</v>
      </c>
    </row>
    <row r="1532" spans="14:20">
      <c r="N1532" s="7" t="str">
        <f>HYPERLINK("E:\附赠：Excel模板\企业管理全套报表EXCEL模板\财务会计常用的excel模板\其他模板\工作任务分配时间表.xlt","工作任务分配时间表.xlt")</f>
        <v>工作任务分配时间表.xlt</v>
      </c>
      <c r="Q1532">
        <v>0.03</v>
      </c>
      <c r="R1532" s="7" t="str">
        <f t="shared" si="32"/>
        <v>E:\附赠：Excel模板\企业管理全套报表EXCEL模板\财务会计常用的excel模板\其他模板</v>
      </c>
      <c r="S1532" s="9">
        <v>43600.3821990741</v>
      </c>
      <c r="T1532" s="9">
        <v>43390.5190046296</v>
      </c>
    </row>
    <row r="1533" spans="14:20">
      <c r="N1533" s="7" t="str">
        <f>HYPERLINK("E:\附赠：Excel模板\企业管理全套报表EXCEL模板\财务会计常用的excel模板\其他模板\市场调查问卷数据管理.xlt","市场调查问卷数据管理.xlt")</f>
        <v>市场调查问卷数据管理.xlt</v>
      </c>
      <c r="Q1533">
        <v>0.08</v>
      </c>
      <c r="R1533" s="7" t="str">
        <f t="shared" si="32"/>
        <v>E:\附赠：Excel模板\企业管理全套报表EXCEL模板\财务会计常用的excel模板\其他模板</v>
      </c>
      <c r="S1533" s="9">
        <v>43600.3821990741</v>
      </c>
      <c r="T1533" s="9">
        <v>43390.5189583333</v>
      </c>
    </row>
    <row r="1534" spans="14:20">
      <c r="N1534" s="7" t="str">
        <f>HYPERLINK("E:\附赠：Excel模板\企业管理全套报表EXCEL模板\财务会计常用的excel模板\其他模板\年度收支预算表.xlt","年度收支预算表.xlt")</f>
        <v>年度收支预算表.xlt</v>
      </c>
      <c r="Q1534">
        <v>0.05</v>
      </c>
      <c r="R1534" s="7" t="str">
        <f t="shared" si="32"/>
        <v>E:\附赠：Excel模板\企业管理全套报表EXCEL模板\财务会计常用的excel模板\其他模板</v>
      </c>
      <c r="S1534" s="9">
        <v>43600.3821990741</v>
      </c>
      <c r="T1534" s="9">
        <v>43390.5189814815</v>
      </c>
    </row>
    <row r="1535" spans="14:20">
      <c r="N1535" s="7" t="str">
        <f>HYPERLINK("E:\附赠：Excel模板\企业管理全套报表EXCEL模板\财务会计常用的excel模板\其他模板\广告预算分配方案.xlt","广告预算分配方案.xlt")</f>
        <v>广告预算分配方案.xlt</v>
      </c>
      <c r="Q1535">
        <v>0.02</v>
      </c>
      <c r="R1535" s="7" t="str">
        <f t="shared" si="32"/>
        <v>E:\附赠：Excel模板\企业管理全套报表EXCEL模板\财务会计常用的excel模板\其他模板</v>
      </c>
      <c r="S1535" s="9">
        <v>43600.3821990741</v>
      </c>
      <c r="T1535" s="9">
        <v>43390.5190046296</v>
      </c>
    </row>
    <row r="1536" spans="14:20">
      <c r="N1536" s="7" t="str">
        <f>HYPERLINK("E:\附赠：Excel模板\企业管理全套报表EXCEL模板\财务会计常用的excel模板\其他模板\房屋贷款计算器.xlt","房屋贷款计算器.xlt")</f>
        <v>房屋贷款计算器.xlt</v>
      </c>
      <c r="Q1536">
        <v>0.04</v>
      </c>
      <c r="R1536" s="7" t="str">
        <f t="shared" si="32"/>
        <v>E:\附赠：Excel模板\企业管理全套报表EXCEL模板\财务会计常用的excel模板\其他模板</v>
      </c>
      <c r="S1536" s="9">
        <v>43600.3821990741</v>
      </c>
      <c r="T1536" s="9">
        <v>43390.5190046296</v>
      </c>
    </row>
    <row r="1537" spans="14:20">
      <c r="N1537" s="7" t="str">
        <f>HYPERLINK("E:\附赠：Excel模板\企业管理全套报表EXCEL模板\财务会计常用的excel模板\其他模板\投资收益模拟测算器.XLT","投资收益模拟测算器.XLT")</f>
        <v>投资收益模拟测算器.XLT</v>
      </c>
      <c r="Q1537">
        <v>0.08</v>
      </c>
      <c r="R1537" s="7" t="str">
        <f t="shared" si="32"/>
        <v>E:\附赠：Excel模板\企业管理全套报表EXCEL模板\财务会计常用的excel模板\其他模板</v>
      </c>
      <c r="S1537" s="9">
        <v>43600.3821990741</v>
      </c>
      <c r="T1537" s="9">
        <v>43390.5189351852</v>
      </c>
    </row>
    <row r="1538" spans="14:20">
      <c r="N1538" s="7" t="str">
        <f>HYPERLINK("E:\附赠：Excel模板\企业管理全套报表EXCEL模板\财务会计常用的excel模板\其他模板\报价单.xlt","报价单.xlt")</f>
        <v>报价单.xlt</v>
      </c>
      <c r="Q1538">
        <v>0.03</v>
      </c>
      <c r="R1538" s="7" t="str">
        <f t="shared" si="32"/>
        <v>E:\附赠：Excel模板\企业管理全套报表EXCEL模板\财务会计常用的excel模板\其他模板</v>
      </c>
      <c r="S1538" s="9">
        <v>43600.3821990741</v>
      </c>
      <c r="T1538" s="9">
        <v>43390.5190277778</v>
      </c>
    </row>
    <row r="1539" spans="14:20">
      <c r="N1539" s="7" t="str">
        <f>HYPERLINK("E:\附赠：Excel模板\企业管理全套报表EXCEL模板\财务会计常用的excel模板\其他模板\月偿还额单变量模拟运算表.xlt","月偿还额单变量模拟运算表.xlt")</f>
        <v>月偿还额单变量模拟运算表.xlt</v>
      </c>
      <c r="Q1539">
        <v>0.01</v>
      </c>
      <c r="R1539" s="7" t="str">
        <f t="shared" si="32"/>
        <v>E:\附赠：Excel模板\企业管理全套报表EXCEL模板\财务会计常用的excel模板\其他模板</v>
      </c>
      <c r="S1539" s="9">
        <v>43600.3821990741</v>
      </c>
      <c r="T1539" s="9">
        <v>43390.518912037</v>
      </c>
    </row>
    <row r="1540" spans="14:20">
      <c r="N1540" s="7" t="str">
        <f>HYPERLINK("E:\附赠：Excel模板\企业管理全套报表EXCEL模板\财务会计常用的excel模板\其他模板\月偿还额双变量模拟运算表.xlt","月偿还额双变量模拟运算表.xlt")</f>
        <v>月偿还额双变量模拟运算表.xlt</v>
      </c>
      <c r="Q1540">
        <v>0.02</v>
      </c>
      <c r="R1540" s="7" t="str">
        <f t="shared" si="32"/>
        <v>E:\附赠：Excel模板\企业管理全套报表EXCEL模板\财务会计常用的excel模板\其他模板</v>
      </c>
      <c r="S1540" s="9">
        <v>43600.3821990741</v>
      </c>
      <c r="T1540" s="9">
        <v>43390.518912037</v>
      </c>
    </row>
    <row r="1541" spans="14:20">
      <c r="N1541" s="7" t="str">
        <f>HYPERLINK("E:\附赠：Excel模板\企业管理全套报表EXCEL模板\财务会计常用的excel模板\其他模板\有关节假日的计算.xlt","有关节假日的计算.xlt")</f>
        <v>有关节假日的计算.xlt</v>
      </c>
      <c r="Q1541">
        <v>0.02</v>
      </c>
      <c r="R1541" s="7" t="str">
        <f t="shared" si="32"/>
        <v>E:\附赠：Excel模板\企业管理全套报表EXCEL模板\财务会计常用的excel模板\其他模板</v>
      </c>
      <c r="S1541" s="9">
        <v>43600.3821990741</v>
      </c>
      <c r="T1541" s="9">
        <v>43390.5189351852</v>
      </c>
    </row>
    <row r="1542" spans="14:20">
      <c r="N1542" s="7" t="str">
        <f>HYPERLINK("E:\附赠：Excel模板\企业管理全套报表EXCEL模板\财务会计常用的excel模板\其他模板\根据产品销售情况动态统计库存以及奖金提成.xlt","根据产品销售情况动态统计库存以及奖金提成.xlt")</f>
        <v>根据产品销售情况动态统计库存以及奖金提成.xlt</v>
      </c>
      <c r="Q1542">
        <v>0.02</v>
      </c>
      <c r="R1542" s="7" t="str">
        <f t="shared" si="32"/>
        <v>E:\附赠：Excel模板\企业管理全套报表EXCEL模板\财务会计常用的excel模板\其他模板</v>
      </c>
      <c r="S1542" s="9">
        <v>43600.3821990741</v>
      </c>
      <c r="T1542" s="9">
        <v>43390.5190046296</v>
      </c>
    </row>
    <row r="1543" spans="14:20">
      <c r="N1543" s="7" t="str">
        <f>HYPERLINK("E:\附赠：Excel模板\企业管理全套报表EXCEL模板\财务会计常用的excel模板\其他模板\火车站寄存包裹收费的计算.xlt","火车站寄存包裹收费的计算.xlt")</f>
        <v>火车站寄存包裹收费的计算.xlt</v>
      </c>
      <c r="Q1543">
        <v>0.02</v>
      </c>
      <c r="R1543" s="7" t="str">
        <f t="shared" si="32"/>
        <v>E:\附赠：Excel模板\企业管理全套报表EXCEL模板\财务会计常用的excel模板\其他模板</v>
      </c>
      <c r="S1543" s="9">
        <v>43600.3821990741</v>
      </c>
      <c r="T1543" s="9">
        <v>43390.5190046296</v>
      </c>
    </row>
    <row r="1544" spans="14:20">
      <c r="N1544" s="7" t="str">
        <f>HYPERLINK("E:\附赠：Excel模板\企业管理全套报表EXCEL模板\财务会计常用的excel模板\其他模板\现值指数法投资分析表.xlt","现值指数法投资分析表.xlt")</f>
        <v>现值指数法投资分析表.xlt</v>
      </c>
      <c r="Q1544">
        <v>0.04</v>
      </c>
      <c r="R1544" s="7" t="str">
        <f t="shared" si="32"/>
        <v>E:\附赠：Excel模板\企业管理全套报表EXCEL模板\财务会计常用的excel模板\其他模板</v>
      </c>
      <c r="S1544" s="9">
        <v>43600.3821990741</v>
      </c>
      <c r="T1544" s="9">
        <v>43390.5189351852</v>
      </c>
    </row>
    <row r="1545" spans="14:20">
      <c r="N1545" s="7" t="str">
        <f>HYPERLINK("E:\附赠：Excel模板\企业管理全套报表EXCEL模板\财务会计常用的excel模板\其他模板\电子邮件发送企业产品清单.xlt","电子邮件发送企业产品清单.xlt")</f>
        <v>电子邮件发送企业产品清单.xlt</v>
      </c>
      <c r="Q1545">
        <v>0.06</v>
      </c>
      <c r="R1545" s="7" t="str">
        <f t="shared" si="32"/>
        <v>E:\附赠：Excel模板\企业管理全套报表EXCEL模板\财务会计常用的excel模板\其他模板</v>
      </c>
      <c r="S1545" s="9">
        <v>43600.3821990741</v>
      </c>
      <c r="T1545" s="9">
        <v>43390.5190046296</v>
      </c>
    </row>
    <row r="1546" spans="14:20">
      <c r="N1546" s="7" t="str">
        <f>HYPERLINK("E:\附赠：Excel模板\企业管理全套报表EXCEL模板\财务会计常用的excel模板\其他模板\绘制员工考核图表.xlt","绘制员工考核图表.xlt")</f>
        <v>绘制员工考核图表.xlt</v>
      </c>
      <c r="Q1546">
        <v>0.02</v>
      </c>
      <c r="R1546" s="7" t="str">
        <f t="shared" si="32"/>
        <v>E:\附赠：Excel模板\企业管理全套报表EXCEL模板\财务会计常用的excel模板\其他模板</v>
      </c>
      <c r="S1546" s="9">
        <v>43600.3821990741</v>
      </c>
      <c r="T1546" s="9">
        <v>43390.5189814815</v>
      </c>
    </row>
    <row r="1547" spans="14:20">
      <c r="N1547" s="7" t="str">
        <f>HYPERLINK("E:\附赠：Excel模板\企业管理全套报表EXCEL模板\财务会计常用的excel模板\其他模板\绘制商品的区域销售图表.xlt","绘制商品的区域销售图表.xlt")</f>
        <v>绘制商品的区域销售图表.xlt</v>
      </c>
      <c r="Q1547">
        <v>0.02</v>
      </c>
      <c r="R1547" s="7" t="str">
        <f t="shared" si="32"/>
        <v>E:\附赠：Excel模板\企业管理全套报表EXCEL模板\财务会计常用的excel模板\其他模板</v>
      </c>
      <c r="S1547" s="9">
        <v>43600.3821990741</v>
      </c>
      <c r="T1547" s="9">
        <v>43390.5189814815</v>
      </c>
    </row>
    <row r="1548" spans="14:20">
      <c r="N1548" s="7" t="str">
        <f>HYPERLINK("E:\附赠：Excel模板\企业管理全套报表EXCEL模板\财务会计常用的excel模板\其他模板\绘制年度支出比例图.xlt","绘制年度支出比例图.xlt")</f>
        <v>绘制年度支出比例图.xlt</v>
      </c>
      <c r="Q1548">
        <v>0.02</v>
      </c>
      <c r="R1548" s="7" t="str">
        <f t="shared" si="32"/>
        <v>E:\附赠：Excel模板\企业管理全套报表EXCEL模板\财务会计常用的excel模板\其他模板</v>
      </c>
      <c r="S1548" s="9">
        <v>43600.3821990741</v>
      </c>
      <c r="T1548" s="9">
        <v>43390.5189814815</v>
      </c>
    </row>
    <row r="1549" spans="14:20">
      <c r="N1549" s="7" t="str">
        <f>HYPERLINK("E:\附赠：Excel模板\企业管理全套报表EXCEL模板\财务会计常用的excel模板\其他模板\股票行情.xlt","股票行情.xlt")</f>
        <v>股票行情.xlt</v>
      </c>
      <c r="Q1549">
        <v>0.03</v>
      </c>
      <c r="R1549" s="7" t="str">
        <f t="shared" si="32"/>
        <v>E:\附赠：Excel模板\企业管理全套报表EXCEL模板\财务会计常用的excel模板\其他模板</v>
      </c>
      <c r="S1549" s="9">
        <v>43600.3821990741</v>
      </c>
      <c r="T1549" s="9">
        <v>43390.5190046296</v>
      </c>
    </row>
    <row r="1550" spans="14:20">
      <c r="N1550" s="7" t="str">
        <f>HYPERLINK("E:\附赠：Excel模板\企业管理全套报表EXCEL模板\财务会计常用的excel模板\其他模板\访问登记表.xlt","访问登记表.xlt")</f>
        <v>访问登记表.xlt</v>
      </c>
      <c r="Q1550">
        <v>0.02</v>
      </c>
      <c r="R1550" s="7" t="str">
        <f t="shared" si="32"/>
        <v>E:\附赠：Excel模板\企业管理全套报表EXCEL模板\财务会计常用的excel模板\其他模板</v>
      </c>
      <c r="S1550" s="9">
        <v>43600.3821990741</v>
      </c>
      <c r="T1550" s="9">
        <v>43390.5190046296</v>
      </c>
    </row>
    <row r="1551" spans="14:20">
      <c r="N1551" s="7" t="str">
        <f>HYPERLINK("E:\附赠：Excel模板\企业管理全套报表EXCEL模板\财务会计常用的excel模板\其他模板\货币换算.xlt","货币换算.xlt")</f>
        <v>货币换算.xlt</v>
      </c>
      <c r="Q1551">
        <v>0.03</v>
      </c>
      <c r="R1551" s="7" t="str">
        <f t="shared" si="32"/>
        <v>E:\附赠：Excel模板\企业管理全套报表EXCEL模板\财务会计常用的excel模板\其他模板</v>
      </c>
      <c r="S1551" s="9">
        <v>43600.3821990741</v>
      </c>
      <c r="T1551" s="9">
        <v>43390.5189814815</v>
      </c>
    </row>
    <row r="1552" spans="14:20">
      <c r="N1552" s="7" t="str">
        <f>HYPERLINK("E:\附赠：Excel模板\企业管理全套报表EXCEL模板\财务会计常用的excel模板\其他模板\车辆使用管理.xlt","车辆使用管理.xlt")</f>
        <v>车辆使用管理.xlt</v>
      </c>
      <c r="Q1552">
        <v>0.02</v>
      </c>
      <c r="R1552" s="7" t="str">
        <f t="shared" si="32"/>
        <v>E:\附赠：Excel模板\企业管理全套报表EXCEL模板\财务会计常用的excel模板\其他模板</v>
      </c>
      <c r="S1552" s="9">
        <v>43600.3821990741</v>
      </c>
      <c r="T1552" s="9">
        <v>43390.5190046296</v>
      </c>
    </row>
    <row r="1553" spans="14:20">
      <c r="N1553" s="7" t="str">
        <f>HYPERLINK("E:\附赠：Excel模板\企业管理全套报表EXCEL模板\财务会计常用的excel模板\其他模板\运用逻辑函数判断闰年.xlt","运用逻辑函数判断闰年.xlt")</f>
        <v>运用逻辑函数判断闰年.xlt</v>
      </c>
      <c r="Q1553">
        <v>0.01</v>
      </c>
      <c r="R1553" s="7" t="str">
        <f t="shared" si="32"/>
        <v>E:\附赠：Excel模板\企业管理全套报表EXCEL模板\财务会计常用的excel模板\其他模板</v>
      </c>
      <c r="S1553" s="9">
        <v>43600.3821990741</v>
      </c>
      <c r="T1553" s="9">
        <v>43390.518912037</v>
      </c>
    </row>
    <row r="1554" spans="14:20">
      <c r="N1554" s="7" t="str">
        <f>HYPERLINK("E:\附赠：Excel模板\企业管理全套报表EXCEL模板\财务会计常用的excel模板\其他模板\通讯录.XLT","通讯录.XLT")</f>
        <v>通讯录.XLT</v>
      </c>
      <c r="Q1554">
        <v>0.02</v>
      </c>
      <c r="R1554" s="7" t="str">
        <f t="shared" si="32"/>
        <v>E:\附赠：Excel模板\企业管理全套报表EXCEL模板\财务会计常用的excel模板\其他模板</v>
      </c>
      <c r="S1554" s="9">
        <v>43600.3821990741</v>
      </c>
      <c r="T1554" s="9">
        <v>43390.5189351852</v>
      </c>
    </row>
    <row r="1555" spans="14:20">
      <c r="N1555" s="7" t="str">
        <f>HYPERLINK("E:\附赠：Excel模板\企业管理全套报表EXCEL模板\财务会计常用的excel模板\其他模板\通讯费年度计划表.xlt","通讯费年度计划表.xlt")</f>
        <v>通讯费年度计划表.xlt</v>
      </c>
      <c r="Q1555">
        <v>0.03</v>
      </c>
      <c r="R1555" s="7" t="str">
        <f t="shared" ref="R1555:R1560" si="33">HYPERLINK("E:\附赠：Excel模板\企业管理全套报表EXCEL模板\财务会计常用的excel模板\其他模板","E:\附赠：Excel模板\企业管理全套报表EXCEL模板\财务会计常用的excel模板\其他模板")</f>
        <v>E:\附赠：Excel模板\企业管理全套报表EXCEL模板\财务会计常用的excel模板\其他模板</v>
      </c>
      <c r="S1555" s="9">
        <v>43600.3821990741</v>
      </c>
      <c r="T1555" s="9">
        <v>43390.5189583333</v>
      </c>
    </row>
    <row r="1556" spans="14:20">
      <c r="N1556" s="7" t="str">
        <f>HYPERLINK("E:\附赠：Excel模板\企业管理全套报表EXCEL模板\财务会计常用的excel模板\其他模板\销售报表分析.xlt","销售报表分析.xlt")</f>
        <v>销售报表分析.xlt</v>
      </c>
      <c r="Q1556">
        <v>0.08</v>
      </c>
      <c r="R1556" s="7" t="str">
        <f t="shared" si="33"/>
        <v>E:\附赠：Excel模板\企业管理全套报表EXCEL模板\财务会计常用的excel模板\其他模板</v>
      </c>
      <c r="S1556" s="9">
        <v>43600.3821990741</v>
      </c>
      <c r="T1556" s="9">
        <v>43390.5189351852</v>
      </c>
    </row>
    <row r="1557" spans="14:20">
      <c r="N1557" s="7" t="str">
        <f>HYPERLINK("E:\附赠：Excel模板\企业管理全套报表EXCEL模板\财务会计常用的excel模板\其他模板\销售数据汇总分析.xlt","销售数据汇总分析.xlt")</f>
        <v>销售数据汇总分析.xlt</v>
      </c>
      <c r="Q1557">
        <v>0.03</v>
      </c>
      <c r="R1557" s="7" t="str">
        <f t="shared" si="33"/>
        <v>E:\附赠：Excel模板\企业管理全套报表EXCEL模板\财务会计常用的excel模板\其他模板</v>
      </c>
      <c r="S1557" s="9">
        <v>43600.3821990741</v>
      </c>
      <c r="T1557" s="9">
        <v>43390.5189351852</v>
      </c>
    </row>
    <row r="1558" spans="14:20">
      <c r="N1558" s="7" t="str">
        <f>HYPERLINK("E:\附赠：Excel模板\企业管理全套报表EXCEL模板\财务会计常用的excel模板\其他模板\销售记录单的编辑.xlt","销售记录单的编辑.xlt")</f>
        <v>销售记录单的编辑.xlt</v>
      </c>
      <c r="Q1558">
        <v>0.13</v>
      </c>
      <c r="R1558" s="7" t="str">
        <f t="shared" si="33"/>
        <v>E:\附赠：Excel模板\企业管理全套报表EXCEL模板\财务会计常用的excel模板\其他模板</v>
      </c>
      <c r="S1558" s="9">
        <v>43600.3821990741</v>
      </c>
      <c r="T1558" s="9">
        <v>43390.5189351852</v>
      </c>
    </row>
    <row r="1559" spans="14:20">
      <c r="N1559" s="7" t="str">
        <f>HYPERLINK("E:\附赠：Excel模板\企业管理全套报表EXCEL模板\财务会计常用的excel模板\其他模板\销售额预测.xlt","销售额预测.xlt")</f>
        <v>销售额预测.xlt</v>
      </c>
      <c r="Q1559">
        <v>0.03</v>
      </c>
      <c r="R1559" s="7" t="str">
        <f t="shared" si="33"/>
        <v>E:\附赠：Excel模板\企业管理全套报表EXCEL模板\财务会计常用的excel模板\其他模板</v>
      </c>
      <c r="S1559" s="9">
        <v>43600.3821990741</v>
      </c>
      <c r="T1559" s="9">
        <v>43390.5189351852</v>
      </c>
    </row>
    <row r="1560" spans="14:20">
      <c r="N1560" s="7" t="str">
        <f>HYPERLINK("E:\附赠：Excel模板\企业管理全套报表EXCEL模板\财务会计常用的excel模板\其他模板\驱动.xlt","驱动.xlt")</f>
        <v>驱动.xlt</v>
      </c>
      <c r="Q1560">
        <v>0.02</v>
      </c>
      <c r="R1560" s="7" t="str">
        <f t="shared" si="33"/>
        <v>E:\附赠：Excel模板\企业管理全套报表EXCEL模板\财务会计常用的excel模板\其他模板</v>
      </c>
      <c r="S1560" s="9">
        <v>43600.3821990741</v>
      </c>
      <c r="T1560" s="9">
        <v>43390.5189583333</v>
      </c>
    </row>
    <row r="1561" spans="14:20">
      <c r="N1561" t="s">
        <v>15</v>
      </c>
      <c r="Q1561" t="s">
        <v>15</v>
      </c>
      <c r="R1561" t="s">
        <v>15</v>
      </c>
      <c r="S1561" t="s">
        <v>15</v>
      </c>
      <c r="T1561" t="s">
        <v>15</v>
      </c>
    </row>
    <row r="1562" spans="14:20">
      <c r="N1562" s="7" t="str">
        <f>HYPERLINK("E:\附赠：Excel模板\企业管理全套报表EXCEL模板\财务会计常用的excel模板\模板\主要产品成本分析.xlt","主要产品成本分析.xlt")</f>
        <v>主要产品成本分析.xlt</v>
      </c>
      <c r="Q1562">
        <v>0.02</v>
      </c>
      <c r="R1562" s="7" t="str">
        <f t="shared" ref="R1562:R1595" si="34">HYPERLINK("E:\附赠：Excel模板\企业管理全套报表EXCEL模板\财务会计常用的excel模板\模板","E:\附赠：Excel模板\企业管理全套报表EXCEL模板\财务会计常用的excel模板\模板")</f>
        <v>E:\附赠：Excel模板\企业管理全套报表EXCEL模板\财务会计常用的excel模板\模板</v>
      </c>
      <c r="S1562" s="9">
        <v>43600.3821990741</v>
      </c>
      <c r="T1562" s="9">
        <v>43390.5190277778</v>
      </c>
    </row>
    <row r="1563" spans="14:20">
      <c r="N1563" s="7" t="str">
        <f>HYPERLINK("E:\附赠：Excel模板\企业管理全套报表EXCEL模板\财务会计常用的excel模板\模板\利润表.xlt","利润表.xlt")</f>
        <v>利润表.xlt</v>
      </c>
      <c r="Q1563">
        <v>0.03</v>
      </c>
      <c r="R1563" s="7" t="str">
        <f t="shared" si="34"/>
        <v>E:\附赠：Excel模板\企业管理全套报表EXCEL模板\财务会计常用的excel模板\模板</v>
      </c>
      <c r="S1563" s="9">
        <v>43600.3821990741</v>
      </c>
      <c r="T1563" s="9">
        <v>43390.5190509259</v>
      </c>
    </row>
    <row r="1564" spans="14:20">
      <c r="N1564" s="7" t="str">
        <f>HYPERLINK("E:\附赠：Excel模板\企业管理全套报表EXCEL模板\财务会计常用的excel模板\模板\利润规划.xlt","利润规划.xlt")</f>
        <v>利润规划.xlt</v>
      </c>
      <c r="Q1564">
        <v>0.03</v>
      </c>
      <c r="R1564" s="7" t="str">
        <f t="shared" si="34"/>
        <v>E:\附赠：Excel模板\企业管理全套报表EXCEL模板\财务会计常用的excel模板\模板</v>
      </c>
      <c r="S1564" s="9">
        <v>43600.3821990741</v>
      </c>
      <c r="T1564" s="9">
        <v>43390.5190509259</v>
      </c>
    </row>
    <row r="1565" spans="14:20">
      <c r="N1565" s="7" t="str">
        <f>HYPERLINK("E:\附赠：Excel模板\企业管理全套报表EXCEL模板\财务会计常用的excel模板\模板\利润规划2.xlt","利润规划2.xlt")</f>
        <v>利润规划2.xlt</v>
      </c>
      <c r="Q1565">
        <v>0.02</v>
      </c>
      <c r="R1565" s="7" t="str">
        <f t="shared" si="34"/>
        <v>E:\附赠：Excel模板\企业管理全套报表EXCEL模板\财务会计常用的excel模板\模板</v>
      </c>
      <c r="S1565" s="9">
        <v>43600.3821990741</v>
      </c>
      <c r="T1565" s="9">
        <v>43390.5190509259</v>
      </c>
    </row>
    <row r="1566" spans="14:20">
      <c r="N1566" s="7" t="str">
        <f>HYPERLINK("E:\附赠：Excel模板\企业管理全套报表EXCEL模板\财务会计常用的excel模板\模板\单变量及双变量运算.xlt","单变量及双变量运算.xlt")</f>
        <v>单变量及双变量运算.xlt</v>
      </c>
      <c r="Q1566">
        <v>0.02</v>
      </c>
      <c r="R1566" s="7" t="str">
        <f t="shared" si="34"/>
        <v>E:\附赠：Excel模板\企业管理全套报表EXCEL模板\财务会计常用的excel模板\模板</v>
      </c>
      <c r="S1566" s="9">
        <v>43600.3821990741</v>
      </c>
      <c r="T1566" s="9">
        <v>43390.5190740741</v>
      </c>
    </row>
    <row r="1567" spans="14:20">
      <c r="N1567" s="7" t="str">
        <f>HYPERLINK("E:\附赠：Excel模板\企业管理全套报表EXCEL模板\财务会计常用的excel模板\模板\单据.xlt","单据.xlt")</f>
        <v>单据.xlt</v>
      </c>
      <c r="Q1567">
        <v>0.02</v>
      </c>
      <c r="R1567" s="7" t="str">
        <f t="shared" si="34"/>
        <v>E:\附赠：Excel模板\企业管理全套报表EXCEL模板\财务会计常用的excel模板\模板</v>
      </c>
      <c r="S1567" s="9">
        <v>43600.3821990741</v>
      </c>
      <c r="T1567" s="9">
        <v>43390.5190509259</v>
      </c>
    </row>
    <row r="1568" spans="14:20">
      <c r="N1568" s="7" t="str">
        <f>HYPERLINK("E:\附赠：Excel模板\企业管理全套报表EXCEL模板\财务会计常用的excel模板\模板\固定资产卡片.xlt","固定资产卡片.xlt")</f>
        <v>固定资产卡片.xlt</v>
      </c>
      <c r="Q1568">
        <v>0.02</v>
      </c>
      <c r="R1568" s="7" t="str">
        <f t="shared" si="34"/>
        <v>E:\附赠：Excel模板\企业管理全套报表EXCEL模板\财务会计常用的excel模板\模板</v>
      </c>
      <c r="S1568" s="9">
        <v>43600.3821990741</v>
      </c>
      <c r="T1568" s="9">
        <v>43390.5190509259</v>
      </c>
    </row>
    <row r="1569" spans="14:20">
      <c r="N1569" s="7" t="str">
        <f>HYPERLINK("E:\附赠：Excel模板\企业管理全套报表EXCEL模板\财务会计常用的excel模板\模板\固定资产管理.xlt","固定资产管理.xlt")</f>
        <v>固定资产管理.xlt</v>
      </c>
      <c r="Q1569">
        <v>0.03</v>
      </c>
      <c r="R1569" s="7" t="str">
        <f t="shared" si="34"/>
        <v>E:\附赠：Excel模板\企业管理全套报表EXCEL模板\财务会计常用的excel模板\模板</v>
      </c>
      <c r="S1569" s="9">
        <v>43600.3821990741</v>
      </c>
      <c r="T1569" s="9">
        <v>43390.5190509259</v>
      </c>
    </row>
    <row r="1570" spans="14:20">
      <c r="N1570" s="7" t="str">
        <f>HYPERLINK("E:\附赠：Excel模板\企业管理全套报表EXCEL模板\财务会计常用的excel模板\模板\存货明细表.xlt","存货明细表.xlt")</f>
        <v>存货明细表.xlt</v>
      </c>
      <c r="Q1570">
        <v>0.02</v>
      </c>
      <c r="R1570" s="7" t="str">
        <f t="shared" si="34"/>
        <v>E:\附赠：Excel模板\企业管理全套报表EXCEL模板\财务会计常用的excel模板\模板</v>
      </c>
      <c r="S1570" s="9">
        <v>43600.3821990741</v>
      </c>
      <c r="T1570" s="9">
        <v>43390.5190740741</v>
      </c>
    </row>
    <row r="1571" spans="14:20">
      <c r="N1571" s="7" t="str">
        <f>HYPERLINK("E:\附赠：Excel模板\企业管理全套报表EXCEL模板\财务会计常用的excel模板\模板\工资管理系统.xlt","工资管理系统.xlt")</f>
        <v>工资管理系统.xlt</v>
      </c>
      <c r="Q1571">
        <v>0.07</v>
      </c>
      <c r="R1571" s="7" t="str">
        <f t="shared" si="34"/>
        <v>E:\附赠：Excel模板\企业管理全套报表EXCEL模板\财务会计常用的excel模板\模板</v>
      </c>
      <c r="S1571" s="9">
        <v>43600.3821990741</v>
      </c>
      <c r="T1571" s="9">
        <v>43390.5190740741</v>
      </c>
    </row>
    <row r="1572" spans="14:20">
      <c r="N1572" s="7" t="str">
        <f>HYPERLINK("E:\附赠：Excel模板\企业管理全套报表EXCEL模板\财务会计常用的excel模板\模板\差旅费报晓单.xlt","差旅费报晓单.xlt")</f>
        <v>差旅费报晓单.xlt</v>
      </c>
      <c r="Q1572">
        <v>0.02</v>
      </c>
      <c r="R1572" s="7" t="str">
        <f t="shared" si="34"/>
        <v>E:\附赠：Excel模板\企业管理全套报表EXCEL模板\财务会计常用的excel模板\模板</v>
      </c>
      <c r="S1572" s="9">
        <v>43600.3821990741</v>
      </c>
      <c r="T1572" s="9">
        <v>43390.5190740741</v>
      </c>
    </row>
    <row r="1573" spans="14:20">
      <c r="N1573" s="7" t="str">
        <f>HYPERLINK("E:\附赠：Excel模板\企业管理全套报表EXCEL模板\财务会计常用的excel模板\模板\应收账款账龄分析.xlt","应收账款账龄分析.xlt")</f>
        <v>应收账款账龄分析.xlt</v>
      </c>
      <c r="Q1573">
        <v>0.02</v>
      </c>
      <c r="R1573" s="7" t="str">
        <f t="shared" si="34"/>
        <v>E:\附赠：Excel模板\企业管理全套报表EXCEL模板\财务会计常用的excel模板\模板</v>
      </c>
      <c r="S1573" s="9">
        <v>43600.3821990741</v>
      </c>
      <c r="T1573" s="9">
        <v>43390.5190277778</v>
      </c>
    </row>
    <row r="1574" spans="14:20">
      <c r="N1574" s="7" t="str">
        <f>HYPERLINK("E:\附赠：Excel模板\企业管理全套报表EXCEL模板\财务会计常用的excel模板\模板\往来账款的处理.xlt","往来账款的处理.xlt")</f>
        <v>往来账款的处理.xlt</v>
      </c>
      <c r="Q1574">
        <v>0.11</v>
      </c>
      <c r="R1574" s="7" t="str">
        <f t="shared" si="34"/>
        <v>E:\附赠：Excel模板\企业管理全套报表EXCEL模板\财务会计常用的excel模板\模板</v>
      </c>
      <c r="S1574" s="9">
        <v>43600.3821990741</v>
      </c>
      <c r="T1574" s="9">
        <v>43390.5190509259</v>
      </c>
    </row>
    <row r="1575" spans="14:20">
      <c r="N1575" s="7" t="str">
        <f>HYPERLINK("E:\附赠：Excel模板\企业管理全套报表EXCEL模板\财务会计常用的excel模板\模板\成本分析.xlt","成本分析.xlt")</f>
        <v>成本分析.xlt</v>
      </c>
      <c r="Q1575">
        <v>0.02</v>
      </c>
      <c r="R1575" s="7" t="str">
        <f t="shared" si="34"/>
        <v>E:\附赠：Excel模板\企业管理全套报表EXCEL模板\财务会计常用的excel模板\模板</v>
      </c>
      <c r="S1575" s="9">
        <v>43600.3821990741</v>
      </c>
      <c r="T1575" s="9">
        <v>43390.5190740741</v>
      </c>
    </row>
    <row r="1576" spans="14:20">
      <c r="N1576" s="7" t="str">
        <f>HYPERLINK("E:\附赠：Excel模板\企业管理全套报表EXCEL模板\财务会计常用的excel模板\模板\成本预测.xlt","成本预测.xlt")</f>
        <v>成本预测.xlt</v>
      </c>
      <c r="Q1576">
        <v>0.02</v>
      </c>
      <c r="R1576" s="7" t="str">
        <f t="shared" si="34"/>
        <v>E:\附赠：Excel模板\企业管理全套报表EXCEL模板\财务会计常用的excel模板\模板</v>
      </c>
      <c r="S1576" s="9">
        <v>43600.3821990741</v>
      </c>
      <c r="T1576" s="9">
        <v>43390.5190740741</v>
      </c>
    </row>
    <row r="1577" spans="14:20">
      <c r="N1577" s="7" t="str">
        <f>HYPERLINK("E:\附赠：Excel模板\企业管理全套报表EXCEL模板\财务会计常用的excel模板\模板\投资决策分析.xlt","投资决策分析.xlt")</f>
        <v>投资决策分析.xlt</v>
      </c>
      <c r="Q1577">
        <v>0.03</v>
      </c>
      <c r="R1577" s="7" t="str">
        <f t="shared" si="34"/>
        <v>E:\附赠：Excel模板\企业管理全套报表EXCEL模板\财务会计常用的excel模板\模板</v>
      </c>
      <c r="S1577" s="9">
        <v>43600.3821990741</v>
      </c>
      <c r="T1577" s="9">
        <v>43390.5190509259</v>
      </c>
    </row>
    <row r="1578" spans="14:20">
      <c r="N1578" s="7" t="str">
        <f>HYPERLINK("E:\附赠：Excel模板\企业管理全套报表EXCEL模板\财务会计常用的excel模板\模板\投资指标函数应用.xlt","投资指标函数应用.xlt")</f>
        <v>投资指标函数应用.xlt</v>
      </c>
      <c r="Q1578">
        <v>0.02</v>
      </c>
      <c r="R1578" s="7" t="str">
        <f t="shared" si="34"/>
        <v>E:\附赠：Excel模板\企业管理全套报表EXCEL模板\财务会计常用的excel模板\模板</v>
      </c>
      <c r="S1578" s="9">
        <v>43600.3821990741</v>
      </c>
      <c r="T1578" s="9">
        <v>43390.5190509259</v>
      </c>
    </row>
    <row r="1579" spans="14:20">
      <c r="N1579" s="7" t="str">
        <f>HYPERLINK("E:\附赠：Excel模板\企业管理全套报表EXCEL模板\财务会计常用的excel模板\模板\投资方案.xlt","投资方案.xlt")</f>
        <v>投资方案.xlt</v>
      </c>
      <c r="Q1579">
        <v>0.01</v>
      </c>
      <c r="R1579" s="7" t="str">
        <f t="shared" si="34"/>
        <v>E:\附赠：Excel模板\企业管理全套报表EXCEL模板\财务会计常用的excel模板\模板</v>
      </c>
      <c r="S1579" s="9">
        <v>43600.3821990741</v>
      </c>
      <c r="T1579" s="9">
        <v>43390.5190509259</v>
      </c>
    </row>
    <row r="1580" spans="14:20">
      <c r="N1580" s="7" t="str">
        <f>HYPERLINK("E:\附赠：Excel模板\企业管理全套报表EXCEL模板\财务会计常用的excel模板\模板\折旧计提法.xlt","折旧计提法.xlt")</f>
        <v>折旧计提法.xlt</v>
      </c>
      <c r="Q1580">
        <v>0.02</v>
      </c>
      <c r="R1580" s="7" t="str">
        <f t="shared" si="34"/>
        <v>E:\附赠：Excel模板\企业管理全套报表EXCEL模板\财务会计常用的excel模板\模板</v>
      </c>
      <c r="S1580" s="9">
        <v>43600.3821990741</v>
      </c>
      <c r="T1580" s="9">
        <v>43390.5190277778</v>
      </c>
    </row>
    <row r="1581" spans="14:20">
      <c r="N1581" s="7" t="str">
        <f>HYPERLINK("E:\附赠：Excel模板\企业管理全套报表EXCEL模板\财务会计常用的excel模板\模板\日常费用统计系统.xlt","日常费用统计系统.xlt")</f>
        <v>日常费用统计系统.xlt</v>
      </c>
      <c r="Q1581">
        <v>0.02</v>
      </c>
      <c r="R1581" s="7" t="str">
        <f t="shared" si="34"/>
        <v>E:\附赠：Excel模板\企业管理全套报表EXCEL模板\财务会计常用的excel模板\模板</v>
      </c>
      <c r="S1581" s="9">
        <v>43600.3821990741</v>
      </c>
      <c r="T1581" s="9">
        <v>43390.5190509259</v>
      </c>
    </row>
    <row r="1582" spans="14:20">
      <c r="N1582" s="7" t="str">
        <f>HYPERLINK("E:\附赠：Excel模板\企业管理全套报表EXCEL模板\财务会计常用的excel模板\模板\日常费用统计表.xlt","日常费用统计表.xlt")</f>
        <v>日常费用统计表.xlt</v>
      </c>
      <c r="Q1582">
        <v>0.02</v>
      </c>
      <c r="R1582" s="7" t="str">
        <f t="shared" si="34"/>
        <v>E:\附赠：Excel模板\企业管理全套报表EXCEL模板\财务会计常用的excel模板\模板</v>
      </c>
      <c r="S1582" s="9">
        <v>43600.3821990741</v>
      </c>
      <c r="T1582" s="9">
        <v>43390.5190509259</v>
      </c>
    </row>
    <row r="1583" spans="14:20">
      <c r="N1583" s="7" t="str">
        <f>HYPERLINK("E:\附赠：Excel模板\企业管理全套报表EXCEL模板\财务会计常用的excel模板\模板\涉及到二级科目的账务处理.xlt","涉及到二级科目的账务处理.xlt")</f>
        <v>涉及到二级科目的账务处理.xlt</v>
      </c>
      <c r="Q1583">
        <v>0.08</v>
      </c>
      <c r="R1583" s="7" t="str">
        <f t="shared" si="34"/>
        <v>E:\附赠：Excel模板\企业管理全套报表EXCEL模板\财务会计常用的excel模板\模板</v>
      </c>
      <c r="S1583" s="9">
        <v>43600.3821990741</v>
      </c>
      <c r="T1583" s="9">
        <v>43390.5190509259</v>
      </c>
    </row>
    <row r="1584" spans="14:20">
      <c r="N1584" s="7" t="str">
        <f>HYPERLINK("E:\附赠：Excel模板\企业管理全套报表EXCEL模板\财务会计常用的excel模板\模板\现金流量表.xlt","现金流量表.xlt")</f>
        <v>现金流量表.xlt</v>
      </c>
      <c r="Q1584">
        <v>0.03</v>
      </c>
      <c r="R1584" s="7" t="str">
        <f t="shared" si="34"/>
        <v>E:\附赠：Excel模板\企业管理全套报表EXCEL模板\财务会计常用的excel模板\模板</v>
      </c>
      <c r="S1584" s="9">
        <v>43600.3821990741</v>
      </c>
      <c r="T1584" s="9">
        <v>43390.5190277778</v>
      </c>
    </row>
    <row r="1585" spans="14:20">
      <c r="N1585" s="7" t="str">
        <f>HYPERLINK("E:\附赠：Excel模板\企业管理全套报表EXCEL模板\财务会计常用的excel模板\模板\筹资决策分析模型.xlt","筹资决策分析模型.xlt")</f>
        <v>筹资决策分析模型.xlt</v>
      </c>
      <c r="Q1585">
        <v>0.03</v>
      </c>
      <c r="R1585" s="7" t="str">
        <f t="shared" si="34"/>
        <v>E:\附赠：Excel模板\企业管理全套报表EXCEL模板\财务会计常用的excel模板\模板</v>
      </c>
      <c r="S1585" s="9">
        <v>43600.3821990741</v>
      </c>
      <c r="T1585" s="9">
        <v>43390.5190740741</v>
      </c>
    </row>
    <row r="1586" spans="14:20">
      <c r="N1586" s="7" t="str">
        <f>HYPERLINK("E:\附赠：Excel模板\企业管理全套报表EXCEL模板\财务会计常用的excel模板\模板\筹资决策的分析.xlt","筹资决策的分析.xlt")</f>
        <v>筹资决策的分析.xlt</v>
      </c>
      <c r="Q1586">
        <v>0.02</v>
      </c>
      <c r="R1586" s="7" t="str">
        <f t="shared" si="34"/>
        <v>E:\附赠：Excel模板\企业管理全套报表EXCEL模板\财务会计常用的excel模板\模板</v>
      </c>
      <c r="S1586" s="9">
        <v>43600.3821990741</v>
      </c>
      <c r="T1586" s="9">
        <v>43390.5190740741</v>
      </c>
    </row>
    <row r="1587" spans="14:20">
      <c r="N1587" s="7" t="str">
        <f>HYPERLINK("E:\附赠：Excel模板\企业管理全套报表EXCEL模板\财务会计常用的excel模板\模板\计件工资.xlt","计件工资.xlt")</f>
        <v>计件工资.xlt</v>
      </c>
      <c r="Q1587">
        <v>0.02</v>
      </c>
      <c r="R1587" s="7" t="str">
        <f t="shared" si="34"/>
        <v>E:\附赠：Excel模板\企业管理全套报表EXCEL模板\财务会计常用的excel模板\模板</v>
      </c>
      <c r="S1587" s="9">
        <v>43600.3821990741</v>
      </c>
      <c r="T1587" s="9">
        <v>43390.5190509259</v>
      </c>
    </row>
    <row r="1588" spans="14:20">
      <c r="N1588" s="7" t="str">
        <f>HYPERLINK("E:\附赠：Excel模板\企业管理全套报表EXCEL模板\财务会计常用的excel模板\模板\财务分析.xlt","财务分析.xlt")</f>
        <v>财务分析.xlt</v>
      </c>
      <c r="Q1588">
        <v>1.47</v>
      </c>
      <c r="R1588" s="7" t="str">
        <f t="shared" si="34"/>
        <v>E:\附赠：Excel模板\企业管理全套报表EXCEL模板\财务会计常用的excel模板\模板</v>
      </c>
      <c r="S1588" s="9">
        <v>43600.3821990741</v>
      </c>
      <c r="T1588" s="9">
        <v>43390.5190740741</v>
      </c>
    </row>
    <row r="1589" spans="14:20">
      <c r="N1589" s="7" t="str">
        <f>HYPERLINK("E:\附赠：Excel模板\企业管理全套报表EXCEL模板\财务会计常用的excel模板\模板\账务处理.xlt","账务处理.xlt")</f>
        <v>账务处理.xlt</v>
      </c>
      <c r="Q1589">
        <v>0.08</v>
      </c>
      <c r="R1589" s="7" t="str">
        <f t="shared" si="34"/>
        <v>E:\附赠：Excel模板\企业管理全套报表EXCEL模板\财务会计常用的excel模板\模板</v>
      </c>
      <c r="S1589" s="9">
        <v>43600.3821990741</v>
      </c>
      <c r="T1589" s="9">
        <v>43390.5190277778</v>
      </c>
    </row>
    <row r="1590" spans="14:20">
      <c r="N1590" s="7" t="str">
        <f>HYPERLINK("E:\附赠：Excel模板\企业管理全套报表EXCEL模板\财务会计常用的excel模板\模板\资产负债表.xlt","资产负债表.xlt")</f>
        <v>资产负债表.xlt</v>
      </c>
      <c r="Q1590">
        <v>0.03</v>
      </c>
      <c r="R1590" s="7" t="str">
        <f t="shared" si="34"/>
        <v>E:\附赠：Excel模板\企业管理全套报表EXCEL模板\财务会计常用的excel模板\模板</v>
      </c>
      <c r="S1590" s="9">
        <v>43600.3821990741</v>
      </c>
      <c r="T1590" s="9">
        <v>43390.5190277778</v>
      </c>
    </row>
    <row r="1591" spans="14:20">
      <c r="N1591" s="7" t="str">
        <f>HYPERLINK("E:\附赠：Excel模板\企业管理全套报表EXCEL模板\财务会计常用的excel模板\模板\资产负债表2.xlt","资产负债表2.xlt")</f>
        <v>资产负债表2.xlt</v>
      </c>
      <c r="Q1591">
        <v>0.03</v>
      </c>
      <c r="R1591" s="7" t="str">
        <f t="shared" si="34"/>
        <v>E:\附赠：Excel模板\企业管理全套报表EXCEL模板\财务会计常用的excel模板\模板</v>
      </c>
      <c r="S1591" s="9">
        <v>43600.3821990741</v>
      </c>
      <c r="T1591" s="9">
        <v>43390.5190277778</v>
      </c>
    </row>
    <row r="1592" spans="14:20">
      <c r="N1592" s="7" t="str">
        <f>HYPERLINK("E:\附赠：Excel模板\企业管理全套报表EXCEL模板\财务会计常用的excel模板\模板\资本成本.xlt","资本成本.xlt")</f>
        <v>资本成本.xlt</v>
      </c>
      <c r="Q1592">
        <v>0.02</v>
      </c>
      <c r="R1592" s="7" t="str">
        <f t="shared" si="34"/>
        <v>E:\附赠：Excel模板\企业管理全套报表EXCEL模板\财务会计常用的excel模板\模板</v>
      </c>
      <c r="S1592" s="9">
        <v>43600.3821990741</v>
      </c>
      <c r="T1592" s="9">
        <v>43390.5190277778</v>
      </c>
    </row>
    <row r="1593" spans="14:20">
      <c r="N1593" s="7" t="str">
        <f>HYPERLINK("E:\附赠：Excel模板\企业管理全套报表EXCEL模板\财务会计常用的excel模板\模板\运用函数建立超链接.xlt","运用函数建立超链接.xlt")</f>
        <v>运用函数建立超链接.xlt</v>
      </c>
      <c r="Q1593">
        <v>0.01</v>
      </c>
      <c r="R1593" s="7" t="str">
        <f t="shared" si="34"/>
        <v>E:\附赠：Excel模板\企业管理全套报表EXCEL模板\财务会计常用的excel模板\模板</v>
      </c>
      <c r="S1593" s="9">
        <v>43600.3821990741</v>
      </c>
      <c r="T1593" s="9">
        <v>43390.5190277778</v>
      </c>
    </row>
    <row r="1594" spans="14:20">
      <c r="N1594" s="7" t="str">
        <f>HYPERLINK("E:\附赠：Excel模板\企业管理全套报表EXCEL模板\财务会计常用的excel模板\模板\进销存管理.xlt","进销存管理.xlt")</f>
        <v>进销存管理.xlt</v>
      </c>
      <c r="Q1594">
        <v>0.04</v>
      </c>
      <c r="R1594" s="7" t="str">
        <f t="shared" si="34"/>
        <v>E:\附赠：Excel模板\企业管理全套报表EXCEL模板\财务会计常用的excel模板\模板</v>
      </c>
      <c r="S1594" s="9">
        <v>43600.3821990741</v>
      </c>
      <c r="T1594" s="9">
        <v>43390.5190509259</v>
      </c>
    </row>
    <row r="1595" spans="14:20">
      <c r="N1595" s="7" t="str">
        <f>HYPERLINK("E:\附赠：Excel模板\企业管理全套报表EXCEL模板\财务会计常用的excel模板\模板\预算的编制.xlt","预算的编制.xlt")</f>
        <v>预算的编制.xlt</v>
      </c>
      <c r="Q1595">
        <v>0.09</v>
      </c>
      <c r="R1595" s="7" t="str">
        <f t="shared" si="34"/>
        <v>E:\附赠：Excel模板\企业管理全套报表EXCEL模板\财务会计常用的excel模板\模板</v>
      </c>
      <c r="S1595" s="9">
        <v>43600.3821990741</v>
      </c>
      <c r="T1595" s="9">
        <v>43390.5190277778</v>
      </c>
    </row>
    <row r="1596" spans="14:20">
      <c r="N1596" t="s">
        <v>15</v>
      </c>
      <c r="Q1596" t="s">
        <v>15</v>
      </c>
      <c r="R1596" t="s">
        <v>15</v>
      </c>
      <c r="S1596" t="s">
        <v>15</v>
      </c>
      <c r="T1596" t="s">
        <v>15</v>
      </c>
    </row>
    <row r="1597" spans="14:20">
      <c r="N1597" s="7" t="str">
        <f>HYPERLINK("E:\附赠：Excel模板\企业管理全套报表EXCEL模板\财务管理模板\主要产品成本分析.xlt","主要产品成本分析.xlt")</f>
        <v>主要产品成本分析.xlt</v>
      </c>
      <c r="Q1597">
        <v>0.02</v>
      </c>
      <c r="R1597" s="7" t="str">
        <f t="shared" ref="R1597:R1619" si="35">HYPERLINK("E:\附赠：Excel模板\企业管理全套报表EXCEL模板\财务管理模板","E:\附赠：Excel模板\企业管理全套报表EXCEL模板\财务管理模板")</f>
        <v>E:\附赠：Excel模板\企业管理全套报表EXCEL模板\财务管理模板</v>
      </c>
      <c r="S1597" s="9">
        <v>43600.3821990741</v>
      </c>
      <c r="T1597" s="9">
        <v>43390.5155324074</v>
      </c>
    </row>
    <row r="1598" spans="14:20">
      <c r="N1598" s="7" t="str">
        <f>HYPERLINK("E:\附赠：Excel模板\企业管理全套报表EXCEL模板\财务管理模板\单变量及双变量运算.xlt","单变量及双变量运算.xlt")</f>
        <v>单变量及双变量运算.xlt</v>
      </c>
      <c r="Q1598">
        <v>0.02</v>
      </c>
      <c r="R1598" s="7" t="str">
        <f t="shared" si="35"/>
        <v>E:\附赠：Excel模板\企业管理全套报表EXCEL模板\财务管理模板</v>
      </c>
      <c r="S1598" s="9">
        <v>43600.3821990741</v>
      </c>
      <c r="T1598" s="9">
        <v>43390.5155555556</v>
      </c>
    </row>
    <row r="1599" spans="14:20">
      <c r="N1599" s="7" t="str">
        <f>HYPERLINK("E:\附赠：Excel模板\企业管理全套报表EXCEL模板\财务管理模板\单据.xlt","单据.xlt")</f>
        <v>单据.xlt</v>
      </c>
      <c r="Q1599">
        <v>0.02</v>
      </c>
      <c r="R1599" s="7" t="str">
        <f t="shared" si="35"/>
        <v>E:\附赠：Excel模板\企业管理全套报表EXCEL模板\财务管理模板</v>
      </c>
      <c r="S1599" s="9">
        <v>43600.3821990741</v>
      </c>
      <c r="T1599" s="9">
        <v>43390.5156018519</v>
      </c>
    </row>
    <row r="1600" spans="14:20">
      <c r="N1600" s="7" t="str">
        <f>HYPERLINK("E:\附赠：Excel模板\企业管理全套报表EXCEL模板\财务管理模板\存货明细表.xlt","存货明细表.xlt")</f>
        <v>存货明细表.xlt</v>
      </c>
      <c r="Q1600">
        <v>0.02</v>
      </c>
      <c r="R1600" s="7" t="str">
        <f t="shared" si="35"/>
        <v>E:\附赠：Excel模板\企业管理全套报表EXCEL模板\财务管理模板</v>
      </c>
      <c r="S1600" s="9">
        <v>43600.3821990741</v>
      </c>
      <c r="T1600" s="9">
        <v>43390.5155555556</v>
      </c>
    </row>
    <row r="1601" spans="14:20">
      <c r="N1601" s="7" t="str">
        <f>HYPERLINK("E:\附赠：Excel模板\企业管理全套报表EXCEL模板\财务管理模板\差旅费报晓单.xlt","差旅费报晓单.xlt")</f>
        <v>差旅费报晓单.xlt</v>
      </c>
      <c r="Q1601">
        <v>0.02</v>
      </c>
      <c r="R1601" s="7" t="str">
        <f t="shared" si="35"/>
        <v>E:\附赠：Excel模板\企业管理全套报表EXCEL模板\财务管理模板</v>
      </c>
      <c r="S1601" s="9">
        <v>43600.3821990741</v>
      </c>
      <c r="T1601" s="9">
        <v>43390.5155787037</v>
      </c>
    </row>
    <row r="1602" spans="14:20">
      <c r="N1602" s="7" t="str">
        <f>HYPERLINK("E:\附赠：Excel模板\企业管理全套报表EXCEL模板\财务管理模板\应收账款账龄分析.xlt","应收账款账龄分析.xlt")</f>
        <v>应收账款账龄分析.xlt</v>
      </c>
      <c r="Q1602">
        <v>0.02</v>
      </c>
      <c r="R1602" s="7" t="str">
        <f t="shared" si="35"/>
        <v>E:\附赠：Excel模板\企业管理全套报表EXCEL模板\财务管理模板</v>
      </c>
      <c r="S1602" s="9">
        <v>43600.3821990741</v>
      </c>
      <c r="T1602" s="9">
        <v>43390.5155555556</v>
      </c>
    </row>
    <row r="1603" spans="14:20">
      <c r="N1603" s="7" t="str">
        <f>HYPERLINK("E:\附赠：Excel模板\企业管理全套报表EXCEL模板\财务管理模板\往来账款的处理.xlt","往来账款的处理.xlt")</f>
        <v>往来账款的处理.xlt</v>
      </c>
      <c r="Q1603">
        <v>0.11</v>
      </c>
      <c r="R1603" s="7" t="str">
        <f t="shared" si="35"/>
        <v>E:\附赠：Excel模板\企业管理全套报表EXCEL模板\财务管理模板</v>
      </c>
      <c r="S1603" s="9">
        <v>43600.3821990741</v>
      </c>
      <c r="T1603" s="9">
        <v>43390.5155555556</v>
      </c>
    </row>
    <row r="1604" spans="14:20">
      <c r="N1604" s="7" t="str">
        <f>HYPERLINK("E:\附赠：Excel模板\企业管理全套报表EXCEL模板\财务管理模板\成本分析.xlt","成本分析.xlt")</f>
        <v>成本分析.xlt</v>
      </c>
      <c r="Q1604">
        <v>0.02</v>
      </c>
      <c r="R1604" s="7" t="str">
        <f t="shared" si="35"/>
        <v>E:\附赠：Excel模板\企业管理全套报表EXCEL模板\财务管理模板</v>
      </c>
      <c r="S1604" s="9">
        <v>43600.3821990741</v>
      </c>
      <c r="T1604" s="9">
        <v>43390.5155787037</v>
      </c>
    </row>
    <row r="1605" spans="14:20">
      <c r="N1605" s="7" t="str">
        <f>HYPERLINK("E:\附赠：Excel模板\企业管理全套报表EXCEL模板\财务管理模板\成本预测.xlt","成本预测.xlt")</f>
        <v>成本预测.xlt</v>
      </c>
      <c r="Q1605">
        <v>0.02</v>
      </c>
      <c r="R1605" s="7" t="str">
        <f t="shared" si="35"/>
        <v>E:\附赠：Excel模板\企业管理全套报表EXCEL模板\财务管理模板</v>
      </c>
      <c r="S1605" s="9">
        <v>43600.3821990741</v>
      </c>
      <c r="T1605" s="9">
        <v>43390.5155787037</v>
      </c>
    </row>
    <row r="1606" spans="14:20">
      <c r="N1606" s="7" t="str">
        <f>HYPERLINK("E:\附赠：Excel模板\企业管理全套报表EXCEL模板\财务管理模板\投资决策分析.xlt","投资决策分析.xlt")</f>
        <v>投资决策分析.xlt</v>
      </c>
      <c r="Q1606">
        <v>0.03</v>
      </c>
      <c r="R1606" s="7" t="str">
        <f t="shared" si="35"/>
        <v>E:\附赠：Excel模板\企业管理全套报表EXCEL模板\财务管理模板</v>
      </c>
      <c r="S1606" s="9">
        <v>43600.3821990741</v>
      </c>
      <c r="T1606" s="9">
        <v>43390.5155555556</v>
      </c>
    </row>
    <row r="1607" spans="14:20">
      <c r="N1607" s="7" t="str">
        <f>HYPERLINK("E:\附赠：Excel模板\企业管理全套报表EXCEL模板\财务管理模板\投资指标函数应用.xlt","投资指标函数应用.xlt")</f>
        <v>投资指标函数应用.xlt</v>
      </c>
      <c r="Q1607">
        <v>0.02</v>
      </c>
      <c r="R1607" s="7" t="str">
        <f t="shared" si="35"/>
        <v>E:\附赠：Excel模板\企业管理全套报表EXCEL模板\财务管理模板</v>
      </c>
      <c r="S1607" s="9">
        <v>43600.3821990741</v>
      </c>
      <c r="T1607" s="9">
        <v>43390.5155555556</v>
      </c>
    </row>
    <row r="1608" spans="14:20">
      <c r="N1608" s="7" t="str">
        <f>HYPERLINK("E:\附赠：Excel模板\企业管理全套报表EXCEL模板\财务管理模板\投资方案.xlt","投资方案.xlt")</f>
        <v>投资方案.xlt</v>
      </c>
      <c r="Q1608">
        <v>0.01</v>
      </c>
      <c r="R1608" s="7" t="str">
        <f t="shared" si="35"/>
        <v>E:\附赠：Excel模板\企业管理全套报表EXCEL模板\财务管理模板</v>
      </c>
      <c r="S1608" s="9">
        <v>43600.3821990741</v>
      </c>
      <c r="T1608" s="9">
        <v>43390.5155787037</v>
      </c>
    </row>
    <row r="1609" spans="14:20">
      <c r="N1609" s="7" t="str">
        <f>HYPERLINK("E:\附赠：Excel模板\企业管理全套报表EXCEL模板\财务管理模板\折旧计提法.xlt","折旧计提法.xlt")</f>
        <v>折旧计提法.xlt</v>
      </c>
      <c r="Q1609">
        <v>0.02</v>
      </c>
      <c r="R1609" s="7" t="str">
        <f t="shared" si="35"/>
        <v>E:\附赠：Excel模板\企业管理全套报表EXCEL模板\财务管理模板</v>
      </c>
      <c r="S1609" s="9">
        <v>43600.3821990741</v>
      </c>
      <c r="T1609" s="9">
        <v>43390.5155555556</v>
      </c>
    </row>
    <row r="1610" spans="14:20">
      <c r="N1610" s="7" t="str">
        <f>HYPERLINK("E:\附赠：Excel模板\企业管理全套报表EXCEL模板\财务管理模板\日常费用统计表.xlt","日常费用统计表.xlt")</f>
        <v>日常费用统计表.xlt</v>
      </c>
      <c r="Q1610">
        <v>0.02</v>
      </c>
      <c r="R1610" s="7" t="str">
        <f t="shared" si="35"/>
        <v>E:\附赠：Excel模板\企业管理全套报表EXCEL模板\财务管理模板</v>
      </c>
      <c r="S1610" s="9">
        <v>43600.3821990741</v>
      </c>
      <c r="T1610" s="9">
        <v>43390.5155555556</v>
      </c>
    </row>
    <row r="1611" spans="14:20">
      <c r="N1611" s="7" t="str">
        <f>HYPERLINK("E:\附赠：Excel模板\企业管理全套报表EXCEL模板\财务管理模板\现金流量表.xlt","现金流量表.xlt")</f>
        <v>现金流量表.xlt</v>
      </c>
      <c r="Q1611">
        <v>0.03</v>
      </c>
      <c r="R1611" s="7" t="str">
        <f t="shared" si="35"/>
        <v>E:\附赠：Excel模板\企业管理全套报表EXCEL模板\财务管理模板</v>
      </c>
      <c r="S1611" s="9">
        <v>43600.3821990741</v>
      </c>
      <c r="T1611" s="9">
        <v>43390.5155555556</v>
      </c>
    </row>
    <row r="1612" spans="14:20">
      <c r="N1612" s="7" t="str">
        <f>HYPERLINK("E:\附赠：Excel模板\企业管理全套报表EXCEL模板\财务管理模板\筹资决策分析模型.xlt","筹资决策分析模型.xlt")</f>
        <v>筹资决策分析模型.xlt</v>
      </c>
      <c r="Q1612">
        <v>0.03</v>
      </c>
      <c r="R1612" s="7" t="str">
        <f t="shared" si="35"/>
        <v>E:\附赠：Excel模板\企业管理全套报表EXCEL模板\财务管理模板</v>
      </c>
      <c r="S1612" s="9">
        <v>43600.3821990741</v>
      </c>
      <c r="T1612" s="9">
        <v>43390.5155555556</v>
      </c>
    </row>
    <row r="1613" spans="14:20">
      <c r="N1613" s="7" t="str">
        <f>HYPERLINK("E:\附赠：Excel模板\企业管理全套报表EXCEL模板\财务管理模板\筹资决策的分析.xlt","筹资决策的分析.xlt")</f>
        <v>筹资决策的分析.xlt</v>
      </c>
      <c r="Q1613">
        <v>0.02</v>
      </c>
      <c r="R1613" s="7" t="str">
        <f t="shared" si="35"/>
        <v>E:\附赠：Excel模板\企业管理全套报表EXCEL模板\财务管理模板</v>
      </c>
      <c r="S1613" s="9">
        <v>43600.3821990741</v>
      </c>
      <c r="T1613" s="9">
        <v>43390.5155555556</v>
      </c>
    </row>
    <row r="1614" spans="14:20">
      <c r="N1614" s="7" t="str">
        <f>HYPERLINK("E:\附赠：Excel模板\企业管理全套报表EXCEL模板\财务管理模板\计件工资.xlt","计件工资.xlt")</f>
        <v>计件工资.xlt</v>
      </c>
      <c r="Q1614">
        <v>0.02</v>
      </c>
      <c r="R1614" s="7" t="str">
        <f t="shared" si="35"/>
        <v>E:\附赠：Excel模板\企业管理全套报表EXCEL模板\财务管理模板</v>
      </c>
      <c r="S1614" s="9">
        <v>43600.3821990741</v>
      </c>
      <c r="T1614" s="9">
        <v>43390.5155787037</v>
      </c>
    </row>
    <row r="1615" spans="14:20">
      <c r="N1615" s="7" t="str">
        <f>HYPERLINK("E:\附赠：Excel模板\企业管理全套报表EXCEL模板\财务管理模板\资产负债表.xlt","资产负债表.xlt")</f>
        <v>资产负债表.xlt</v>
      </c>
      <c r="Q1615">
        <v>0.03</v>
      </c>
      <c r="R1615" s="7" t="str">
        <f t="shared" si="35"/>
        <v>E:\附赠：Excel模板\企业管理全套报表EXCEL模板\财务管理模板</v>
      </c>
      <c r="S1615" s="9">
        <v>43600.3821990741</v>
      </c>
      <c r="T1615" s="9">
        <v>43390.5155555556</v>
      </c>
    </row>
    <row r="1616" spans="14:20">
      <c r="N1616" s="7" t="str">
        <f>HYPERLINK("E:\附赠：Excel模板\企业管理全套报表EXCEL模板\财务管理模板\资产负债表2.xlt","资产负债表2.xlt")</f>
        <v>资产负债表2.xlt</v>
      </c>
      <c r="Q1616">
        <v>0.03</v>
      </c>
      <c r="R1616" s="7" t="str">
        <f t="shared" si="35"/>
        <v>E:\附赠：Excel模板\企业管理全套报表EXCEL模板\财务管理模板</v>
      </c>
      <c r="S1616" s="9">
        <v>43600.3821990741</v>
      </c>
      <c r="T1616" s="9">
        <v>43390.5155555556</v>
      </c>
    </row>
    <row r="1617" spans="14:20">
      <c r="N1617" s="7" t="str">
        <f>HYPERLINK("E:\附赠：Excel模板\企业管理全套报表EXCEL模板\财务管理模板\资本成本.xlt","资本成本.xlt")</f>
        <v>资本成本.xlt</v>
      </c>
      <c r="Q1617">
        <v>0.02</v>
      </c>
      <c r="R1617" s="7" t="str">
        <f t="shared" si="35"/>
        <v>E:\附赠：Excel模板\企业管理全套报表EXCEL模板\财务管理模板</v>
      </c>
      <c r="S1617" s="9">
        <v>43600.3821990741</v>
      </c>
      <c r="T1617" s="9">
        <v>43390.5155324074</v>
      </c>
    </row>
    <row r="1618" spans="14:20">
      <c r="N1618" s="7" t="str">
        <f>HYPERLINK("E:\附赠：Excel模板\企业管理全套报表EXCEL模板\财务管理模板\运用函数建立超链接.xlt","运用函数建立超链接.xlt")</f>
        <v>运用函数建立超链接.xlt</v>
      </c>
      <c r="Q1618">
        <v>0.01</v>
      </c>
      <c r="R1618" s="7" t="str">
        <f t="shared" si="35"/>
        <v>E:\附赠：Excel模板\企业管理全套报表EXCEL模板\财务管理模板</v>
      </c>
      <c r="S1618" s="9">
        <v>43600.3821990741</v>
      </c>
      <c r="T1618" s="9">
        <v>43390.5155555556</v>
      </c>
    </row>
    <row r="1619" spans="14:20">
      <c r="N1619" s="7" t="str">
        <f>HYPERLINK("E:\附赠：Excel模板\企业管理全套报表EXCEL模板\财务管理模板\预算的编制.xlt","预算的编制.xlt")</f>
        <v>预算的编制.xlt</v>
      </c>
      <c r="Q1619">
        <v>0.09</v>
      </c>
      <c r="R1619" s="7" t="str">
        <f t="shared" si="35"/>
        <v>E:\附赠：Excel模板\企业管理全套报表EXCEL模板\财务管理模板</v>
      </c>
      <c r="S1619" s="9">
        <v>43600.3821990741</v>
      </c>
      <c r="T1619" s="9">
        <v>43390.5155555556</v>
      </c>
    </row>
    <row r="1620" spans="14:20">
      <c r="N1620" t="s">
        <v>15</v>
      </c>
      <c r="Q1620" t="s">
        <v>15</v>
      </c>
      <c r="R1620" t="s">
        <v>15</v>
      </c>
      <c r="S1620" t="s">
        <v>15</v>
      </c>
      <c r="T1620" t="s">
        <v>15</v>
      </c>
    </row>
    <row r="1621" spans="14:20">
      <c r="N1621" s="7" t="str">
        <f>HYPERLINK("E:\附赠：Excel模板\企业管理全套报表EXCEL模板\财务行政EXCEL模板338个\一月份销售部工资管理.xls","一月份销售部工资管理.xls")</f>
        <v>一月份销售部工资管理.xls</v>
      </c>
      <c r="Q1621">
        <v>0.07</v>
      </c>
      <c r="R1621" s="7" t="str">
        <f t="shared" ref="R1621:R1684" si="36">HYPERLINK("E:\附赠：Excel模板\企业管理全套报表EXCEL模板\财务行政EXCEL模板338个","E:\附赠：Excel模板\企业管理全套报表EXCEL模板\财务行政EXCEL模板338个")</f>
        <v>E:\附赠：Excel模板\企业管理全套报表EXCEL模板\财务行政EXCEL模板338个</v>
      </c>
      <c r="S1621" s="9">
        <v>43600.3821990741</v>
      </c>
      <c r="T1621" s="9">
        <v>43390.5151388889</v>
      </c>
    </row>
    <row r="1622" spans="14:20">
      <c r="N1622" s="7" t="str">
        <f>HYPERLINK("E:\附赠：Excel模板\企业管理全套报表EXCEL模板\财务行政EXCEL模板338个\一月份销售部工资管理.xlt","一月份销售部工资管理.xlt")</f>
        <v>一月份销售部工资管理.xlt</v>
      </c>
      <c r="Q1622">
        <v>0.07</v>
      </c>
      <c r="R1622" s="7" t="str">
        <f t="shared" si="36"/>
        <v>E:\附赠：Excel模板\企业管理全套报表EXCEL模板\财务行政EXCEL模板338个</v>
      </c>
      <c r="S1622" s="9">
        <v>43600.3821990741</v>
      </c>
      <c r="T1622" s="9">
        <v>43390.5151388889</v>
      </c>
    </row>
    <row r="1623" spans="14:20">
      <c r="N1623" s="7" t="str">
        <f>HYPERLINK("E:\附赠：Excel模板\企业管理全套报表EXCEL模板\财务行政EXCEL模板338个\三维旋转图表.xlt","三维旋转图表.xlt")</f>
        <v>三维旋转图表.xlt</v>
      </c>
      <c r="Q1623">
        <v>0.08</v>
      </c>
      <c r="R1623" s="7" t="str">
        <f t="shared" si="36"/>
        <v>E:\附赠：Excel模板\企业管理全套报表EXCEL模板\财务行政EXCEL模板338个</v>
      </c>
      <c r="S1623" s="9">
        <v>43600.3821990741</v>
      </c>
      <c r="T1623" s="9">
        <v>43390.5152546296</v>
      </c>
    </row>
    <row r="1624" spans="14:20">
      <c r="N1624" s="7" t="str">
        <f>HYPERLINK("E:\附赠：Excel模板\企业管理全套报表EXCEL模板\财务行政EXCEL模板338个\个税速算.xlt","个税速算.xlt")</f>
        <v>个税速算.xlt</v>
      </c>
      <c r="Q1624">
        <v>0.02</v>
      </c>
      <c r="R1624" s="7" t="str">
        <f t="shared" si="36"/>
        <v>E:\附赠：Excel模板\企业管理全套报表EXCEL模板\财务行政EXCEL模板338个</v>
      </c>
      <c r="S1624" s="9">
        <v>43600.3821990741</v>
      </c>
      <c r="T1624" s="9">
        <v>43390.5154398148</v>
      </c>
    </row>
    <row r="1625" spans="14:20">
      <c r="N1625" s="7" t="str">
        <f>HYPERLINK("E:\附赠：Excel模板\企业管理全套报表EXCEL模板\财务行政EXCEL模板338个\主要产品成本分析.xlt","主要产品成本分析.xlt")</f>
        <v>主要产品成本分析.xlt</v>
      </c>
      <c r="Q1625">
        <v>0.02</v>
      </c>
      <c r="R1625" s="7" t="str">
        <f t="shared" si="36"/>
        <v>E:\附赠：Excel模板\企业管理全套报表EXCEL模板\财务行政EXCEL模板338个</v>
      </c>
      <c r="S1625" s="9">
        <v>43600.3821990741</v>
      </c>
      <c r="T1625" s="9">
        <v>43390.5150462963</v>
      </c>
    </row>
    <row r="1626" spans="14:20">
      <c r="N1626" s="7" t="str">
        <f>HYPERLINK("E:\附赠：Excel模板\企业管理全套报表EXCEL模板\财务行政EXCEL模板338个\举一反三.xls","举一反三.xls")</f>
        <v>举一反三.xls</v>
      </c>
      <c r="Q1626">
        <v>0.08</v>
      </c>
      <c r="R1626" s="7" t="str">
        <f t="shared" si="36"/>
        <v>E:\附赠：Excel模板\企业管理全套报表EXCEL模板\财务行政EXCEL模板338个</v>
      </c>
      <c r="S1626" s="9">
        <v>43600.3821990741</v>
      </c>
      <c r="T1626" s="9">
        <v>43390.5153472222</v>
      </c>
    </row>
    <row r="1627" spans="14:20">
      <c r="N1627" s="7" t="str">
        <f>HYPERLINK("E:\附赠：Excel模板\企业管理全套报表EXCEL模板\财务行政EXCEL模板338个\举一反三2.xls","举一反三2.xls")</f>
        <v>举一反三2.xls</v>
      </c>
      <c r="Q1627">
        <v>0.02</v>
      </c>
      <c r="R1627" s="7" t="str">
        <f t="shared" si="36"/>
        <v>E:\附赠：Excel模板\企业管理全套报表EXCEL模板\财务行政EXCEL模板338个</v>
      </c>
      <c r="S1627" s="9">
        <v>43600.3821990741</v>
      </c>
      <c r="T1627" s="9">
        <v>43390.5153472222</v>
      </c>
    </row>
    <row r="1628" spans="14:20">
      <c r="N1628" s="7" t="str">
        <f>HYPERLINK("E:\附赠：Excel模板\企业管理全套报表EXCEL模板\财务行政EXCEL模板338个\举一反三4.xls","举一反三4.xls")</f>
        <v>举一反三4.xls</v>
      </c>
      <c r="Q1628">
        <v>0.02</v>
      </c>
      <c r="R1628" s="7" t="str">
        <f t="shared" si="36"/>
        <v>E:\附赠：Excel模板\企业管理全套报表EXCEL模板\财务行政EXCEL模板338个</v>
      </c>
      <c r="S1628" s="9">
        <v>43600.3821990741</v>
      </c>
      <c r="T1628" s="9">
        <v>43390.5153472222</v>
      </c>
    </row>
    <row r="1629" spans="14:20">
      <c r="N1629" s="7" t="str">
        <f>HYPERLINK("E:\附赠：Excel模板\企业管理全套报表EXCEL模板\财务行政EXCEL模板338个\举一反三5.xls","举一反三5.xls")</f>
        <v>举一反三5.xls</v>
      </c>
      <c r="Q1629">
        <v>0.02</v>
      </c>
      <c r="R1629" s="7" t="str">
        <f t="shared" si="36"/>
        <v>E:\附赠：Excel模板\企业管理全套报表EXCEL模板\财务行政EXCEL模板338个</v>
      </c>
      <c r="S1629" s="9">
        <v>43600.3821990741</v>
      </c>
      <c r="T1629" s="9">
        <v>43390.5153472222</v>
      </c>
    </row>
    <row r="1630" spans="14:20">
      <c r="N1630" s="7" t="str">
        <f>HYPERLINK("E:\附赠：Excel模板\企业管理全套报表EXCEL模板\财务行政EXCEL模板338个\举一反三6.xls","举一反三6.xls")</f>
        <v>举一反三6.xls</v>
      </c>
      <c r="Q1630">
        <v>0.03</v>
      </c>
      <c r="R1630" s="7" t="str">
        <f t="shared" si="36"/>
        <v>E:\附赠：Excel模板\企业管理全套报表EXCEL模板\财务行政EXCEL模板338个</v>
      </c>
      <c r="S1630" s="9">
        <v>43600.3821990741</v>
      </c>
      <c r="T1630" s="9">
        <v>43390.5153472222</v>
      </c>
    </row>
    <row r="1631" spans="14:20">
      <c r="N1631" s="7" t="str">
        <f>HYPERLINK("E:\附赠：Excel模板\企业管理全套报表EXCEL模板\财务行政EXCEL模板338个\举一反三8.xls","举一反三8.xls")</f>
        <v>举一反三8.xls</v>
      </c>
      <c r="Q1631">
        <v>0.03</v>
      </c>
      <c r="R1631" s="7" t="str">
        <f t="shared" si="36"/>
        <v>E:\附赠：Excel模板\企业管理全套报表EXCEL模板\财务行政EXCEL模板338个</v>
      </c>
      <c r="S1631" s="9">
        <v>43600.3821990741</v>
      </c>
      <c r="T1631" s="9">
        <v>43390.5153472222</v>
      </c>
    </row>
    <row r="1632" spans="14:20">
      <c r="N1632" s="7" t="str">
        <f>HYPERLINK("E:\附赠：Excel模板\企业管理全套报表EXCEL模板\财务行政EXCEL模板338个\二月份销售部工资管理.xls","二月份销售部工资管理.xls")</f>
        <v>二月份销售部工资管理.xls</v>
      </c>
      <c r="Q1632">
        <v>0.04</v>
      </c>
      <c r="R1632" s="7" t="str">
        <f t="shared" si="36"/>
        <v>E:\附赠：Excel模板\企业管理全套报表EXCEL模板\财务行政EXCEL模板338个</v>
      </c>
      <c r="S1632" s="9">
        <v>43600.3821990741</v>
      </c>
      <c r="T1632" s="9">
        <v>43390.515462963</v>
      </c>
    </row>
    <row r="1633" spans="14:20">
      <c r="N1633" s="7" t="str">
        <f>HYPERLINK("E:\附赠：Excel模板\企业管理全套报表EXCEL模板\财务行政EXCEL模板338个\二月份销售部工资管理.xlt","二月份销售部工资管理.xlt")</f>
        <v>二月份销售部工资管理.xlt</v>
      </c>
      <c r="Q1633">
        <v>0.04</v>
      </c>
      <c r="R1633" s="7" t="str">
        <f t="shared" si="36"/>
        <v>E:\附赠：Excel模板\企业管理全套报表EXCEL模板\财务行政EXCEL模板338个</v>
      </c>
      <c r="S1633" s="9">
        <v>43600.3821990741</v>
      </c>
      <c r="T1633" s="9">
        <v>43390.5154398148</v>
      </c>
    </row>
    <row r="1634" spans="14:20">
      <c r="N1634" s="7" t="str">
        <f>HYPERLINK("E:\附赠：Excel模板\企业管理全套报表EXCEL模板\财务行政EXCEL模板338个\产品目录.xls","产品目录.xls")</f>
        <v>产品目录.xls</v>
      </c>
      <c r="Q1634">
        <v>0.02</v>
      </c>
      <c r="R1634" s="7" t="str">
        <f t="shared" si="36"/>
        <v>E:\附赠：Excel模板\企业管理全套报表EXCEL模板\财务行政EXCEL模板338个</v>
      </c>
      <c r="S1634" s="9">
        <v>43600.3821990741</v>
      </c>
      <c r="T1634" s="9">
        <v>43390.5155092593</v>
      </c>
    </row>
    <row r="1635" spans="14:20">
      <c r="N1635" s="7" t="str">
        <f>HYPERLINK("E:\附赠：Excel模板\企业管理全套报表EXCEL模板\财务行政EXCEL模板338个\产品目录.xlt","产品目录.xlt")</f>
        <v>产品目录.xlt</v>
      </c>
      <c r="Q1635">
        <v>0.02</v>
      </c>
      <c r="R1635" s="7" t="str">
        <f t="shared" si="36"/>
        <v>E:\附赠：Excel模板\企业管理全套报表EXCEL模板\财务行政EXCEL模板338个</v>
      </c>
      <c r="S1635" s="9">
        <v>43600.3821990741</v>
      </c>
      <c r="T1635" s="9">
        <v>43390.5155092593</v>
      </c>
    </row>
    <row r="1636" spans="14:20">
      <c r="N1636" s="7" t="str">
        <f>HYPERLINK("E:\附赠：Excel模板\企业管理全套报表EXCEL模板\财务行政EXCEL模板338个\产品目录实例拓展.xls","产品目录实例拓展.xls")</f>
        <v>产品目录实例拓展.xls</v>
      </c>
      <c r="Q1636">
        <v>0.05</v>
      </c>
      <c r="R1636" s="7" t="str">
        <f t="shared" si="36"/>
        <v>E:\附赠：Excel模板\企业管理全套报表EXCEL模板\财务行政EXCEL模板338个</v>
      </c>
      <c r="S1636" s="9">
        <v>43600.3821990741</v>
      </c>
      <c r="T1636" s="9">
        <v>43390.5155092593</v>
      </c>
    </row>
    <row r="1637" spans="14:20">
      <c r="N1637" s="7" t="str">
        <f>HYPERLINK("E:\附赠：Excel模板\企业管理全套报表EXCEL模板\财务行政EXCEL模板338个\产品目录实例拓展.xlt","产品目录实例拓展.xlt")</f>
        <v>产品目录实例拓展.xlt</v>
      </c>
      <c r="Q1637">
        <v>0.05</v>
      </c>
      <c r="R1637" s="7" t="str">
        <f t="shared" si="36"/>
        <v>E:\附赠：Excel模板\企业管理全套报表EXCEL模板\财务行政EXCEL模板338个</v>
      </c>
      <c r="S1637" s="9">
        <v>43600.3821990741</v>
      </c>
      <c r="T1637" s="9">
        <v>43390.5155092593</v>
      </c>
    </row>
    <row r="1638" spans="14:20">
      <c r="N1638" s="7" t="str">
        <f>HYPERLINK("E:\附赠：Excel模板\企业管理全套报表EXCEL模板\财务行政EXCEL模板338个\产品销售分析与预测.xlt","产品销售分析与预测.xlt")</f>
        <v>产品销售分析与预测.xlt</v>
      </c>
      <c r="Q1638">
        <v>0.08</v>
      </c>
      <c r="R1638" s="7" t="str">
        <f t="shared" si="36"/>
        <v>E:\附赠：Excel模板\企业管理全套报表EXCEL模板\财务行政EXCEL模板338个</v>
      </c>
      <c r="S1638" s="9">
        <v>43600.3821990741</v>
      </c>
      <c r="T1638" s="9">
        <v>43390.5155092593</v>
      </c>
    </row>
    <row r="1639" spans="14:20">
      <c r="N1639" s="7" t="str">
        <f>HYPERLINK("E:\附赠：Excel模板\企业管理全套报表EXCEL模板\财务行政EXCEL模板338个\产品销售额预测分析表.xlt","产品销售额预测分析表.xlt")</f>
        <v>产品销售额预测分析表.xlt</v>
      </c>
      <c r="Q1639">
        <v>0.01</v>
      </c>
      <c r="R1639" s="7" t="str">
        <f t="shared" si="36"/>
        <v>E:\附赠：Excel模板\企业管理全套报表EXCEL模板\财务行政EXCEL模板338个</v>
      </c>
      <c r="S1639" s="9">
        <v>43600.3821990741</v>
      </c>
      <c r="T1639" s="9">
        <v>43390.5155092593</v>
      </c>
    </row>
    <row r="1640" spans="14:20">
      <c r="N1640" s="7" t="str">
        <f>HYPERLINK("E:\附赠：Excel模板\企业管理全套报表EXCEL模板\财务行政EXCEL模板338个\人员试用标准.xls","人员试用标准.xls")</f>
        <v>人员试用标准.xls</v>
      </c>
      <c r="Q1640">
        <v>0.02</v>
      </c>
      <c r="R1640" s="7" t="str">
        <f t="shared" si="36"/>
        <v>E:\附赠：Excel模板\企业管理全套报表EXCEL模板\财务行政EXCEL模板338个</v>
      </c>
      <c r="S1640" s="9">
        <v>43600.3821990741</v>
      </c>
      <c r="T1640" s="9">
        <v>43390.5152777778</v>
      </c>
    </row>
    <row r="1641" spans="14:20">
      <c r="N1641" s="7" t="str">
        <f>HYPERLINK("E:\附赠：Excel模板\企业管理全套报表EXCEL模板\财务行政EXCEL模板338个\企业产品清单.xlt","企业产品清单.xlt")</f>
        <v>企业产品清单.xlt</v>
      </c>
      <c r="Q1641">
        <v>0.04</v>
      </c>
      <c r="R1641" s="7" t="str">
        <f t="shared" si="36"/>
        <v>E:\附赠：Excel模板\企业管理全套报表EXCEL模板\财务行政EXCEL模板338个</v>
      </c>
      <c r="S1641" s="9">
        <v>43600.3821990741</v>
      </c>
      <c r="T1641" s="9">
        <v>43390.5153009259</v>
      </c>
    </row>
    <row r="1642" spans="14:20">
      <c r="N1642" s="7" t="str">
        <f>HYPERLINK("E:\附赠：Excel模板\企业管理全套报表EXCEL模板\财务行政EXCEL模板338个\企业人力资源信息调查表.xlt","企业人力资源信息调查表.xlt")</f>
        <v>企业人力资源信息调查表.xlt</v>
      </c>
      <c r="Q1642">
        <v>0.03</v>
      </c>
      <c r="R1642" s="7" t="str">
        <f t="shared" si="36"/>
        <v>E:\附赠：Excel模板\企业管理全套报表EXCEL模板\财务行政EXCEL模板338个</v>
      </c>
      <c r="S1642" s="9">
        <v>43600.3821990741</v>
      </c>
      <c r="T1642" s="9">
        <v>43390.5153009259</v>
      </c>
    </row>
    <row r="1643" spans="14:20">
      <c r="N1643" s="7" t="str">
        <f>HYPERLINK("E:\附赠：Excel模板\企业管理全套报表EXCEL模板\财务行政EXCEL模板338个\企业内部刊物阅览管理.xlt","企业内部刊物阅览管理.xlt")</f>
        <v>企业内部刊物阅览管理.xlt</v>
      </c>
      <c r="Q1643">
        <v>0.15</v>
      </c>
      <c r="R1643" s="7" t="str">
        <f t="shared" si="36"/>
        <v>E:\附赠：Excel模板\企业管理全套报表EXCEL模板\财务行政EXCEL模板338个</v>
      </c>
      <c r="S1643" s="9">
        <v>43600.3821990741</v>
      </c>
      <c r="T1643" s="9">
        <v>43390.5153009259</v>
      </c>
    </row>
    <row r="1644" spans="14:20">
      <c r="N1644" s="7" t="str">
        <f>HYPERLINK("E:\附赠：Excel模板\企业管理全套报表EXCEL模板\财务行政EXCEL模板338个\企业原料采购申请表.xlt","企业原料采购申请表.xlt")</f>
        <v>企业原料采购申请表.xlt</v>
      </c>
      <c r="Q1644">
        <v>0.02</v>
      </c>
      <c r="R1644" s="7" t="str">
        <f t="shared" si="36"/>
        <v>E:\附赠：Excel模板\企业管理全套报表EXCEL模板\财务行政EXCEL模板338个</v>
      </c>
      <c r="S1644" s="9">
        <v>43600.3821990741</v>
      </c>
      <c r="T1644" s="9">
        <v>43390.5152777778</v>
      </c>
    </row>
    <row r="1645" spans="14:20">
      <c r="N1645" s="7" t="str">
        <f>HYPERLINK("E:\附赠：Excel模板\企业管理全套报表EXCEL模板\财务行政EXCEL模板338个\企业原料采购登记表.xlt","企业原料采购登记表.xlt")</f>
        <v>企业原料采购登记表.xlt</v>
      </c>
      <c r="Q1645">
        <v>0.02</v>
      </c>
      <c r="R1645" s="7" t="str">
        <f t="shared" si="36"/>
        <v>E:\附赠：Excel模板\企业管理全套报表EXCEL模板\财务行政EXCEL模板338个</v>
      </c>
      <c r="S1645" s="9">
        <v>43600.3821990741</v>
      </c>
      <c r="T1645" s="9">
        <v>43390.5152777778</v>
      </c>
    </row>
    <row r="1646" spans="14:20">
      <c r="N1646" s="7" t="str">
        <f>HYPERLINK("E:\附赠：Excel模板\企业管理全套报表EXCEL模板\财务行政EXCEL模板338个\企业员工年假表.xlt","企业员工年假表.xlt")</f>
        <v>企业员工年假表.xlt</v>
      </c>
      <c r="Q1646">
        <v>0.02</v>
      </c>
      <c r="R1646" s="7" t="str">
        <f t="shared" si="36"/>
        <v>E:\附赠：Excel模板\企业管理全套报表EXCEL模板\财务行政EXCEL模板338个</v>
      </c>
      <c r="S1646" s="9">
        <v>43600.3821990741</v>
      </c>
      <c r="T1646" s="9">
        <v>43390.5152777778</v>
      </c>
    </row>
    <row r="1647" spans="14:20">
      <c r="N1647" s="7" t="str">
        <f>HYPERLINK("E:\附赠：Excel模板\企业管理全套报表EXCEL模板\财务行政EXCEL模板338个\企业客户交易评估系统.xlt","企业客户交易评估系统.xlt")</f>
        <v>企业客户交易评估系统.xlt</v>
      </c>
      <c r="Q1647">
        <v>0.03</v>
      </c>
      <c r="R1647" s="7" t="str">
        <f t="shared" si="36"/>
        <v>E:\附赠：Excel模板\企业管理全套报表EXCEL模板\财务行政EXCEL模板338个</v>
      </c>
      <c r="S1647" s="9">
        <v>43600.3821990741</v>
      </c>
      <c r="T1647" s="9">
        <v>43390.5153009259</v>
      </c>
    </row>
    <row r="1648" spans="14:20">
      <c r="N1648" s="7" t="str">
        <f>HYPERLINK("E:\附赠：Excel模板\企业管理全套报表EXCEL模板\财务行政EXCEL模板338个\企业客户资料统计表.xlt","企业客户资料统计表.xlt")</f>
        <v>企业客户资料统计表.xlt</v>
      </c>
      <c r="Q1648">
        <v>0.02</v>
      </c>
      <c r="R1648" s="7" t="str">
        <f t="shared" si="36"/>
        <v>E:\附赠：Excel模板\企业管理全套报表EXCEL模板\财务行政EXCEL模板338个</v>
      </c>
      <c r="S1648" s="9">
        <v>43600.3821990741</v>
      </c>
      <c r="T1648" s="9">
        <v>43390.5153009259</v>
      </c>
    </row>
    <row r="1649" spans="14:20">
      <c r="N1649" s="7" t="str">
        <f>HYPERLINK("E:\附赠：Excel模板\企业管理全套报表EXCEL模板\财务行政EXCEL模板338个\企业市场调查问卷.xlt","企业市场调查问卷.xlt")</f>
        <v>企业市场调查问卷.xlt</v>
      </c>
      <c r="Q1649">
        <v>0.07</v>
      </c>
      <c r="R1649" s="7" t="str">
        <f t="shared" si="36"/>
        <v>E:\附赠：Excel模板\企业管理全套报表EXCEL模板\财务行政EXCEL模板338个</v>
      </c>
      <c r="S1649" s="9">
        <v>43600.3821990741</v>
      </c>
      <c r="T1649" s="9">
        <v>43390.5153009259</v>
      </c>
    </row>
    <row r="1650" spans="14:20">
      <c r="N1650" s="7" t="str">
        <f>HYPERLINK("E:\附赠：Excel模板\企业管理全套报表EXCEL模板\财务行政EXCEL模板338个\企业招聘员工程序表.xlt","企业招聘员工程序表.xlt")</f>
        <v>企业招聘员工程序表.xlt</v>
      </c>
      <c r="Q1650">
        <v>0.02</v>
      </c>
      <c r="R1650" s="7" t="str">
        <f t="shared" si="36"/>
        <v>E:\附赠：Excel模板\企业管理全套报表EXCEL模板\财务行政EXCEL模板338个</v>
      </c>
      <c r="S1650" s="9">
        <v>43600.3821990741</v>
      </c>
      <c r="T1650" s="9">
        <v>43390.5152777778</v>
      </c>
    </row>
    <row r="1651" spans="14:20">
      <c r="N1651" s="7" t="str">
        <f>HYPERLINK("E:\附赠：Excel模板\企业管理全套报表EXCEL模板\财务行政EXCEL模板338个\企业新进员工培训成绩统计表.xlt","企业新进员工培训成绩统计表.xlt")</f>
        <v>企业新进员工培训成绩统计表.xlt</v>
      </c>
      <c r="Q1651">
        <v>0.02</v>
      </c>
      <c r="R1651" s="7" t="str">
        <f t="shared" si="36"/>
        <v>E:\附赠：Excel模板\企业管理全套报表EXCEL模板\财务行政EXCEL模板338个</v>
      </c>
      <c r="S1651" s="9">
        <v>43600.3821990741</v>
      </c>
      <c r="T1651" s="9">
        <v>43390.5152777778</v>
      </c>
    </row>
    <row r="1652" spans="14:20">
      <c r="N1652" s="7" t="str">
        <f>HYPERLINK("E:\附赠：Excel模板\企业管理全套报表EXCEL模板\财务行政EXCEL模板338个\企业新进员工登记表.xlt","企业新进员工登记表.xlt")</f>
        <v>企业新进员工登记表.xlt</v>
      </c>
      <c r="Q1652">
        <v>0.02</v>
      </c>
      <c r="R1652" s="7" t="str">
        <f t="shared" si="36"/>
        <v>E:\附赠：Excel模板\企业管理全套报表EXCEL模板\财务行政EXCEL模板338个</v>
      </c>
      <c r="S1652" s="9">
        <v>43600.3821990741</v>
      </c>
      <c r="T1652" s="9">
        <v>43390.5152777778</v>
      </c>
    </row>
    <row r="1653" spans="14:20">
      <c r="N1653" s="7" t="str">
        <f>HYPERLINK("E:\附赠：Excel模板\企业管理全套报表EXCEL模板\财务行政EXCEL模板338个\企业生产方案选择表.xlt","企业生产方案选择表.xlt")</f>
        <v>企业生产方案选择表.xlt</v>
      </c>
      <c r="Q1653">
        <v>0.02</v>
      </c>
      <c r="R1653" s="7" t="str">
        <f t="shared" si="36"/>
        <v>E:\附赠：Excel模板\企业管理全套报表EXCEL模板\财务行政EXCEL模板338个</v>
      </c>
      <c r="S1653" s="9">
        <v>43600.3821990741</v>
      </c>
      <c r="T1653" s="9">
        <v>43390.5153009259</v>
      </c>
    </row>
    <row r="1654" spans="14:20">
      <c r="N1654" s="7" t="str">
        <f>HYPERLINK("E:\附赠：Excel模板\企业管理全套报表EXCEL模板\财务行政EXCEL模板338个\企业重大会议日程安排提醒表.xlt","企业重大会议日程安排提醒表.xlt")</f>
        <v>企业重大会议日程安排提醒表.xlt</v>
      </c>
      <c r="Q1654">
        <v>0.02</v>
      </c>
      <c r="R1654" s="7" t="str">
        <f t="shared" si="36"/>
        <v>E:\附赠：Excel模板\企业管理全套报表EXCEL模板\财务行政EXCEL模板338个</v>
      </c>
      <c r="S1654" s="9">
        <v>43600.3821990741</v>
      </c>
      <c r="T1654" s="9">
        <v>43390.5152777778</v>
      </c>
    </row>
    <row r="1655" spans="14:20">
      <c r="N1655" s="7" t="str">
        <f>HYPERLINK("E:\附赠：Excel模板\企业管理全套报表EXCEL模板\财务行政EXCEL模板338个\使用DAVERAGE函数计算条目的平均值.xlt","使用DAVERAGE函数计算条目的平均值.xlt")</f>
        <v>使用DAVERAGE函数计算条目的平均值.xlt</v>
      </c>
      <c r="Q1655">
        <v>0.01</v>
      </c>
      <c r="R1655" s="7" t="str">
        <f t="shared" si="36"/>
        <v>E:\附赠：Excel模板\企业管理全套报表EXCEL模板\财务行政EXCEL模板338个</v>
      </c>
      <c r="S1655" s="9">
        <v>43600.3821990741</v>
      </c>
      <c r="T1655" s="9">
        <v>43390.5152083333</v>
      </c>
    </row>
    <row r="1656" spans="14:20">
      <c r="N1656" s="7" t="str">
        <f>HYPERLINK("E:\附赠：Excel模板\企业管理全套报表EXCEL模板\财务行政EXCEL模板338个\信息登记表.xls","信息登记表.xls")</f>
        <v>信息登记表.xls</v>
      </c>
      <c r="Q1656">
        <v>0.02</v>
      </c>
      <c r="R1656" s="7" t="str">
        <f t="shared" si="36"/>
        <v>E:\附赠：Excel模板\企业管理全套报表EXCEL模板\财务行政EXCEL模板338个</v>
      </c>
      <c r="S1656" s="9">
        <v>43600.3821990741</v>
      </c>
      <c r="T1656" s="9">
        <v>43390.515162037</v>
      </c>
    </row>
    <row r="1657" spans="14:20">
      <c r="N1657" s="7" t="str">
        <f>HYPERLINK("E:\附赠：Excel模板\企业管理全套报表EXCEL模板\财务行政EXCEL模板338个\信息登记表.xlt","信息登记表.xlt")</f>
        <v>信息登记表.xlt</v>
      </c>
      <c r="Q1657">
        <v>0.02</v>
      </c>
      <c r="R1657" s="7" t="str">
        <f t="shared" si="36"/>
        <v>E:\附赠：Excel模板\企业管理全套报表EXCEL模板\财务行政EXCEL模板338个</v>
      </c>
      <c r="S1657" s="9">
        <v>43600.3821990741</v>
      </c>
      <c r="T1657" s="9">
        <v>43390.5151388889</v>
      </c>
    </row>
    <row r="1658" spans="14:20">
      <c r="N1658" s="7" t="str">
        <f>HYPERLINK("E:\附赠：Excel模板\企业管理全套报表EXCEL模板\财务行政EXCEL模板338个\修订 投资决策分析.xls","修订 投资决策分析.xls")</f>
        <v>修订 投资决策分析.xls</v>
      </c>
      <c r="Q1658">
        <v>0.05</v>
      </c>
      <c r="R1658" s="7" t="str">
        <f t="shared" si="36"/>
        <v>E:\附赠：Excel模板\企业管理全套报表EXCEL模板\财务行政EXCEL模板338个</v>
      </c>
      <c r="S1658" s="9">
        <v>43600.3821990741</v>
      </c>
      <c r="T1658" s="9">
        <v>43390.5151388889</v>
      </c>
    </row>
    <row r="1659" spans="14:20">
      <c r="N1659" s="7" t="str">
        <f>HYPERLINK("E:\附赠：Excel模板\企业管理全套报表EXCEL模板\财务行政EXCEL模板338个\值班安排A.xls","值班安排A.xls")</f>
        <v>值班安排A.xls</v>
      </c>
      <c r="Q1659">
        <v>0.02</v>
      </c>
      <c r="R1659" s="7" t="str">
        <f t="shared" si="36"/>
        <v>E:\附赠：Excel模板\企业管理全套报表EXCEL模板\财务行政EXCEL模板338个</v>
      </c>
      <c r="S1659" s="9">
        <v>43600.3821990741</v>
      </c>
      <c r="T1659" s="9">
        <v>43390.5150694444</v>
      </c>
    </row>
    <row r="1660" spans="14:20">
      <c r="N1660" s="7" t="str">
        <f>HYPERLINK("E:\附赠：Excel模板\企业管理全套报表EXCEL模板\财务行政EXCEL模板338个\值班安排表.xls","值班安排表.xls")</f>
        <v>值班安排表.xls</v>
      </c>
      <c r="Q1660">
        <v>0.02</v>
      </c>
      <c r="R1660" s="7" t="str">
        <f t="shared" si="36"/>
        <v>E:\附赠：Excel模板\企业管理全套报表EXCEL模板\财务行政EXCEL模板338个</v>
      </c>
      <c r="S1660" s="9">
        <v>43600.3821990741</v>
      </c>
      <c r="T1660" s="9">
        <v>43390.5150694444</v>
      </c>
    </row>
    <row r="1661" spans="14:20">
      <c r="N1661" s="7" t="str">
        <f>HYPERLINK("E:\附赠：Excel模板\企业管理全套报表EXCEL模板\财务行政EXCEL模板338个\值班安排表.xlt","值班安排表.xlt")</f>
        <v>值班安排表.xlt</v>
      </c>
      <c r="Q1661">
        <v>0.02</v>
      </c>
      <c r="R1661" s="7" t="str">
        <f t="shared" si="36"/>
        <v>E:\附赠：Excel模板\企业管理全套报表EXCEL模板\财务行政EXCEL模板338个</v>
      </c>
      <c r="S1661" s="9">
        <v>43600.3821990741</v>
      </c>
      <c r="T1661" s="9">
        <v>43390.5150694444</v>
      </c>
    </row>
    <row r="1662" spans="14:20">
      <c r="N1662" s="7" t="str">
        <f>HYPERLINK("E:\附赠：Excel模板\企业管理全套报表EXCEL模板\财务行政EXCEL模板338个\值班安排表实例拓展.xlt","值班安排表实例拓展.xlt")</f>
        <v>值班安排表实例拓展.xlt</v>
      </c>
      <c r="Q1662">
        <v>0.02</v>
      </c>
      <c r="R1662" s="7" t="str">
        <f t="shared" si="36"/>
        <v>E:\附赠：Excel模板\企业管理全套报表EXCEL模板\财务行政EXCEL模板338个</v>
      </c>
      <c r="S1662" s="9">
        <v>43600.3821990741</v>
      </c>
      <c r="T1662" s="9">
        <v>43390.5150694444</v>
      </c>
    </row>
    <row r="1663" spans="14:20">
      <c r="N1663" s="7" t="str">
        <f>HYPERLINK("E:\附赠：Excel模板\企业管理全套报表EXCEL模板\财务行政EXCEL模板338个\全套仓库管理表格.xls","全套仓库管理表格.xls")</f>
        <v>全套仓库管理表格.xls</v>
      </c>
      <c r="Q1663">
        <v>1.29</v>
      </c>
      <c r="R1663" s="7" t="str">
        <f t="shared" si="36"/>
        <v>E:\附赠：Excel模板\企业管理全套报表EXCEL模板\财务行政EXCEL模板338个</v>
      </c>
      <c r="S1663" s="9">
        <v>43600.3821990741</v>
      </c>
      <c r="T1663" s="9">
        <v>43390.5153009259</v>
      </c>
    </row>
    <row r="1664" spans="14:20">
      <c r="N1664" s="7" t="str">
        <f>HYPERLINK("E:\附赠：Excel模板\企业管理全套报表EXCEL模板\财务行政EXCEL模板338个\公出申请表.xls","公出申请表.xls")</f>
        <v>公出申请表.xls</v>
      </c>
      <c r="Q1664">
        <v>0.02</v>
      </c>
      <c r="R1664" s="7" t="str">
        <f t="shared" si="36"/>
        <v>E:\附赠：Excel模板\企业管理全套报表EXCEL模板\财务行政EXCEL模板338个</v>
      </c>
      <c r="S1664" s="9">
        <v>43600.3821990741</v>
      </c>
      <c r="T1664" s="9">
        <v>43390.5154166667</v>
      </c>
    </row>
    <row r="1665" spans="14:20">
      <c r="N1665" s="7" t="str">
        <f>HYPERLINK("E:\附赠：Excel模板\企业管理全套报表EXCEL模板\财务行政EXCEL模板338个\公司文档资料管理.xls","公司文档资料管理.xls")</f>
        <v>公司文档资料管理.xls</v>
      </c>
      <c r="Q1665">
        <v>0.13</v>
      </c>
      <c r="R1665" s="7" t="str">
        <f t="shared" si="36"/>
        <v>E:\附赠：Excel模板\企业管理全套报表EXCEL模板\财务行政EXCEL模板338个</v>
      </c>
      <c r="S1665" s="9">
        <v>43600.3821990741</v>
      </c>
      <c r="T1665" s="9">
        <v>43390.5154166667</v>
      </c>
    </row>
    <row r="1666" spans="14:20">
      <c r="N1666" s="7" t="str">
        <f>HYPERLINK("E:\附赠：Excel模板\企业管理全套报表EXCEL模板\财务行政EXCEL模板338个\公司文档资料管理.xlt","公司文档资料管理.xlt")</f>
        <v>公司文档资料管理.xlt</v>
      </c>
      <c r="Q1666">
        <v>0.13</v>
      </c>
      <c r="R1666" s="7" t="str">
        <f t="shared" si="36"/>
        <v>E:\附赠：Excel模板\企业管理全套报表EXCEL模板\财务行政EXCEL模板338个</v>
      </c>
      <c r="S1666" s="9">
        <v>43600.3821990741</v>
      </c>
      <c r="T1666" s="9">
        <v>43390.5154166667</v>
      </c>
    </row>
    <row r="1667" spans="14:20">
      <c r="N1667" s="7" t="str">
        <f>HYPERLINK("E:\附赠：Excel模板\企业管理全套报表EXCEL模板\财务行政EXCEL模板338个\养老金投资计算器.xlt","养老金投资计算器.xlt")</f>
        <v>养老金投资计算器.xlt</v>
      </c>
      <c r="Q1667">
        <v>0.08</v>
      </c>
      <c r="R1667" s="7" t="str">
        <f t="shared" si="36"/>
        <v>E:\附赠：Excel模板\企业管理全套报表EXCEL模板\财务行政EXCEL模板338个</v>
      </c>
      <c r="S1667" s="9">
        <v>43600.3821990741</v>
      </c>
      <c r="T1667" s="9">
        <v>43390.5151388889</v>
      </c>
    </row>
    <row r="1668" spans="14:20">
      <c r="N1668" s="7" t="str">
        <f>HYPERLINK("E:\附赠：Excel模板\企业管理全套报表EXCEL模板\财务行政EXCEL模板338个\内部报酬率法投资分析表.xlt","内部报酬率法投资分析表.xlt")</f>
        <v>内部报酬率法投资分析表.xlt</v>
      </c>
      <c r="Q1668">
        <v>0.04</v>
      </c>
      <c r="R1668" s="7" t="str">
        <f t="shared" si="36"/>
        <v>E:\附赠：Excel模板\企业管理全套报表EXCEL模板\财务行政EXCEL模板338个</v>
      </c>
      <c r="S1668" s="9">
        <v>43600.3821990741</v>
      </c>
      <c r="T1668" s="9">
        <v>43390.5153240741</v>
      </c>
    </row>
    <row r="1669" spans="14:20">
      <c r="N1669" s="7" t="str">
        <f>HYPERLINK("E:\附赠：Excel模板\企业管理全套报表EXCEL模板\财务行政EXCEL模板338个\内部操守道德检查表.xls","内部操守道德检查表.xls")</f>
        <v>内部操守道德检查表.xls</v>
      </c>
      <c r="Q1669">
        <v>0.02</v>
      </c>
      <c r="R1669" s="7" t="str">
        <f t="shared" si="36"/>
        <v>E:\附赠：Excel模板\企业管理全套报表EXCEL模板\财务行政EXCEL模板338个</v>
      </c>
      <c r="S1669" s="9">
        <v>43600.3821990741</v>
      </c>
      <c r="T1669" s="9">
        <v>43390.5153240741</v>
      </c>
    </row>
    <row r="1670" spans="14:20">
      <c r="N1670" s="7" t="str">
        <f>HYPERLINK("E:\附赠：Excel模板\企业管理全套报表EXCEL模板\财务行政EXCEL模板338个\净现值法投资分析表.xlt","净现值法投资分析表.xlt")</f>
        <v>净现值法投资分析表.xlt</v>
      </c>
      <c r="Q1670">
        <v>0.03</v>
      </c>
      <c r="R1670" s="7" t="str">
        <f t="shared" si="36"/>
        <v>E:\附赠：Excel模板\企业管理全套报表EXCEL模板\财务行政EXCEL模板338个</v>
      </c>
      <c r="S1670" s="9">
        <v>43600.3821990741</v>
      </c>
      <c r="T1670" s="9">
        <v>43390.5153472222</v>
      </c>
    </row>
    <row r="1671" spans="14:20">
      <c r="N1671" s="7" t="str">
        <f>HYPERLINK("E:\附赠：Excel模板\企业管理全套报表EXCEL模板\财务行政EXCEL模板338个\出勤表.xls","出勤表.xls")</f>
        <v>出勤表.xls</v>
      </c>
      <c r="Q1671">
        <v>0.02</v>
      </c>
      <c r="R1671" s="7" t="str">
        <f t="shared" si="36"/>
        <v>E:\附赠：Excel模板\企业管理全套报表EXCEL模板\财务行政EXCEL模板338个</v>
      </c>
      <c r="S1671" s="9">
        <v>43600.3821990741</v>
      </c>
      <c r="T1671" s="9">
        <v>43390.5154861111</v>
      </c>
    </row>
    <row r="1672" spans="14:20">
      <c r="N1672" s="7" t="str">
        <f>HYPERLINK("E:\附赠：Excel模板\企业管理全套报表EXCEL模板\财务行政EXCEL模板338个\出勤表.xlt","出勤表.xlt")</f>
        <v>出勤表.xlt</v>
      </c>
      <c r="Q1672">
        <v>0.02</v>
      </c>
      <c r="R1672" s="7" t="str">
        <f t="shared" si="36"/>
        <v>E:\附赠：Excel模板\企业管理全套报表EXCEL模板\财务行政EXCEL模板338个</v>
      </c>
      <c r="S1672" s="9">
        <v>43600.3821990741</v>
      </c>
      <c r="T1672" s="9">
        <v>43390.5154861111</v>
      </c>
    </row>
    <row r="1673" spans="14:20">
      <c r="N1673" s="7" t="str">
        <f>HYPERLINK("E:\附赠：Excel模板\企业管理全套报表EXCEL模板\财务行政EXCEL模板338个\分期贷款业务.xls","分期贷款业务.xls")</f>
        <v>分期贷款业务.xls</v>
      </c>
      <c r="Q1673">
        <v>0.03</v>
      </c>
      <c r="R1673" s="7" t="str">
        <f t="shared" si="36"/>
        <v>E:\附赠：Excel模板\企业管理全套报表EXCEL模板\财务行政EXCEL模板338个</v>
      </c>
      <c r="S1673" s="9">
        <v>43600.3821990741</v>
      </c>
      <c r="T1673" s="9">
        <v>43390.5154398148</v>
      </c>
    </row>
    <row r="1674" spans="14:20">
      <c r="N1674" s="7" t="str">
        <f>HYPERLINK("E:\附赠：Excel模板\企业管理全套报表EXCEL模板\财务行政EXCEL模板338个\分期贷款业务.xlt","分期贷款业务.xlt")</f>
        <v>分期贷款业务.xlt</v>
      </c>
      <c r="Q1674">
        <v>0.03</v>
      </c>
      <c r="R1674" s="7" t="str">
        <f t="shared" si="36"/>
        <v>E:\附赠：Excel模板\企业管理全套报表EXCEL模板\财务行政EXCEL模板338个</v>
      </c>
      <c r="S1674" s="9">
        <v>43600.3821990741</v>
      </c>
      <c r="T1674" s="9">
        <v>43390.5154398148</v>
      </c>
    </row>
    <row r="1675" spans="14:20">
      <c r="N1675" s="7" t="str">
        <f>HYPERLINK("E:\附赠：Excel模板\企业管理全套报表EXCEL模板\财务行政EXCEL模板338个\判别分析.xls","判别分析.xls")</f>
        <v>判别分析.xls</v>
      </c>
      <c r="Q1675">
        <v>0.03</v>
      </c>
      <c r="R1675" s="7" t="str">
        <f t="shared" si="36"/>
        <v>E:\附赠：Excel模板\企业管理全套报表EXCEL模板\财务行政EXCEL模板338个</v>
      </c>
      <c r="S1675" s="9">
        <v>43600.3821990741</v>
      </c>
      <c r="T1675" s="9">
        <v>43390.5153009259</v>
      </c>
    </row>
    <row r="1676" spans="14:20">
      <c r="N1676" s="7" t="str">
        <f>HYPERLINK("E:\附赠：Excel模板\企业管理全套报表EXCEL模板\财务行政EXCEL模板338个\判别分析.xlt","判别分析.xlt")</f>
        <v>判别分析.xlt</v>
      </c>
      <c r="Q1676">
        <v>0.03</v>
      </c>
      <c r="R1676" s="7" t="str">
        <f t="shared" si="36"/>
        <v>E:\附赠：Excel模板\企业管理全套报表EXCEL模板\财务行政EXCEL模板338个</v>
      </c>
      <c r="S1676" s="9">
        <v>43600.3821990741</v>
      </c>
      <c r="T1676" s="9">
        <v>43390.5153009259</v>
      </c>
    </row>
    <row r="1677" spans="14:20">
      <c r="N1677" s="7" t="str">
        <f>HYPERLINK("E:\附赠：Excel模板\企业管理全套报表EXCEL模板\财务行政EXCEL模板338个\利润表.xls","利润表.xls")</f>
        <v>利润表.xls</v>
      </c>
      <c r="Q1677">
        <v>0.03</v>
      </c>
      <c r="R1677" s="7" t="str">
        <f t="shared" si="36"/>
        <v>E:\附赠：Excel模板\企业管理全套报表EXCEL模板\财务行政EXCEL模板338个</v>
      </c>
      <c r="S1677" s="9">
        <v>43600.3821990741</v>
      </c>
      <c r="T1677" s="9">
        <v>43390.5153240741</v>
      </c>
    </row>
    <row r="1678" spans="14:20">
      <c r="N1678" s="7" t="str">
        <f>HYPERLINK("E:\附赠：Excel模板\企业管理全套报表EXCEL模板\财务行政EXCEL模板338个\利润表.xlt","利润表.xlt")</f>
        <v>利润表.xlt</v>
      </c>
      <c r="Q1678">
        <v>0.03</v>
      </c>
      <c r="R1678" s="7" t="str">
        <f t="shared" si="36"/>
        <v>E:\附赠：Excel模板\企业管理全套报表EXCEL模板\财务行政EXCEL模板338个</v>
      </c>
      <c r="S1678" s="9">
        <v>43600.3821990741</v>
      </c>
      <c r="T1678" s="9">
        <v>43390.5153240741</v>
      </c>
    </row>
    <row r="1679" spans="14:20">
      <c r="N1679" s="7" t="str">
        <f>HYPERLINK("E:\附赠：Excel模板\企业管理全套报表EXCEL模板\财务行政EXCEL模板338个\利润表2.xls","利润表2.xls")</f>
        <v>利润表2.xls</v>
      </c>
      <c r="Q1679">
        <v>0.03</v>
      </c>
      <c r="R1679" s="7" t="str">
        <f t="shared" si="36"/>
        <v>E:\附赠：Excel模板\企业管理全套报表EXCEL模板\财务行政EXCEL模板338个</v>
      </c>
      <c r="S1679" s="9">
        <v>43600.3821990741</v>
      </c>
      <c r="T1679" s="9">
        <v>43390.5153240741</v>
      </c>
    </row>
    <row r="1680" spans="14:20">
      <c r="N1680" s="7" t="str">
        <f>HYPERLINK("E:\附赠：Excel模板\企业管理全套报表EXCEL模板\财务行政EXCEL模板338个\利润表3.xls","利润表3.xls")</f>
        <v>利润表3.xls</v>
      </c>
      <c r="Q1680">
        <v>0.03</v>
      </c>
      <c r="R1680" s="7" t="str">
        <f t="shared" si="36"/>
        <v>E:\附赠：Excel模板\企业管理全套报表EXCEL模板\财务行政EXCEL模板338个</v>
      </c>
      <c r="S1680" s="9">
        <v>43600.3821990741</v>
      </c>
      <c r="T1680" s="9">
        <v>43390.5153240741</v>
      </c>
    </row>
    <row r="1681" spans="14:20">
      <c r="N1681" s="7" t="str">
        <f>HYPERLINK("E:\附赠：Excel模板\企业管理全套报表EXCEL模板\财务行政EXCEL模板338个\利润规划.xls","利润规划.xls")</f>
        <v>利润规划.xls</v>
      </c>
      <c r="Q1681">
        <v>0.03</v>
      </c>
      <c r="R1681" s="7" t="str">
        <f t="shared" si="36"/>
        <v>E:\附赠：Excel模板\企业管理全套报表EXCEL模板\财务行政EXCEL模板338个</v>
      </c>
      <c r="S1681" s="9">
        <v>43600.3821990741</v>
      </c>
      <c r="T1681" s="9">
        <v>43390.5153240741</v>
      </c>
    </row>
    <row r="1682" spans="14:20">
      <c r="N1682" s="7" t="str">
        <f>HYPERLINK("E:\附赠：Excel模板\企业管理全套报表EXCEL模板\财务行政EXCEL模板338个\利润规划.xlt","利润规划.xlt")</f>
        <v>利润规划.xlt</v>
      </c>
      <c r="Q1682">
        <v>0.03</v>
      </c>
      <c r="R1682" s="7" t="str">
        <f t="shared" si="36"/>
        <v>E:\附赠：Excel模板\企业管理全套报表EXCEL模板\财务行政EXCEL模板338个</v>
      </c>
      <c r="S1682" s="9">
        <v>43600.3821990741</v>
      </c>
      <c r="T1682" s="9">
        <v>43390.5153240741</v>
      </c>
    </row>
    <row r="1683" spans="14:20">
      <c r="N1683" s="7" t="str">
        <f>HYPERLINK("E:\附赠：Excel模板\企业管理全套报表EXCEL模板\财务行政EXCEL模板338个\利润规划2.xlt","利润规划2.xlt")</f>
        <v>利润规划2.xlt</v>
      </c>
      <c r="Q1683">
        <v>0.02</v>
      </c>
      <c r="R1683" s="7" t="str">
        <f t="shared" si="36"/>
        <v>E:\附赠：Excel模板\企业管理全套报表EXCEL模板\财务行政EXCEL模板338个</v>
      </c>
      <c r="S1683" s="9">
        <v>43600.3821990741</v>
      </c>
      <c r="T1683" s="9">
        <v>43390.5153240741</v>
      </c>
    </row>
    <row r="1684" spans="14:20">
      <c r="N1684" s="7" t="str">
        <f>HYPERLINK("E:\附赠：Excel模板\企业管理全套报表EXCEL模板\财务行政EXCEL模板338个\制作员工通讯录.xlt","制作员工通讯录.xlt")</f>
        <v>制作员工通讯录.xlt</v>
      </c>
      <c r="Q1684">
        <v>0.03</v>
      </c>
      <c r="R1684" s="7" t="str">
        <f t="shared" si="36"/>
        <v>E:\附赠：Excel模板\企业管理全套报表EXCEL模板\财务行政EXCEL模板338个</v>
      </c>
      <c r="S1684" s="9">
        <v>43600.3821990741</v>
      </c>
      <c r="T1684" s="9">
        <v>43390.5150462963</v>
      </c>
    </row>
    <row r="1685" spans="14:20">
      <c r="N1685" s="7" t="str">
        <f>HYPERLINK("E:\附赠：Excel模板\企业管理全套报表EXCEL模板\财务行政EXCEL模板338个\制作股票收益计算器.xlt","制作股票收益计算器.xlt")</f>
        <v>制作股票收益计算器.xlt</v>
      </c>
      <c r="Q1685">
        <v>0.02</v>
      </c>
      <c r="R1685" s="7" t="str">
        <f t="shared" ref="R1685:R1748" si="37">HYPERLINK("E:\附赠：Excel模板\企业管理全套报表EXCEL模板\财务行政EXCEL模板338个","E:\附赠：Excel模板\企业管理全套报表EXCEL模板\财务行政EXCEL模板338个")</f>
        <v>E:\附赠：Excel模板\企业管理全套报表EXCEL模板\财务行政EXCEL模板338个</v>
      </c>
      <c r="S1685" s="9">
        <v>43600.3821990741</v>
      </c>
      <c r="T1685" s="9">
        <v>43390.5150694444</v>
      </c>
    </row>
    <row r="1686" spans="14:20">
      <c r="N1686" s="7" t="str">
        <f>HYPERLINK("E:\附赠：Excel模板\企业管理全套报表EXCEL模板\财务行政EXCEL模板338个\办公用品领用记录表.xlt","办公用品领用记录表.xlt")</f>
        <v>办公用品领用记录表.xlt</v>
      </c>
      <c r="Q1686">
        <v>0.02</v>
      </c>
      <c r="R1686" s="7" t="str">
        <f t="shared" si="37"/>
        <v>E:\附赠：Excel模板\企业管理全套报表EXCEL模板\财务行政EXCEL模板338个</v>
      </c>
      <c r="S1686" s="9">
        <v>43600.3821990741</v>
      </c>
      <c r="T1686" s="9">
        <v>43390.5155324074</v>
      </c>
    </row>
    <row r="1687" spans="14:20">
      <c r="N1687" s="7" t="str">
        <f>HYPERLINK("E:\附赠：Excel模板\企业管理全套报表EXCEL模板\财务行政EXCEL模板338个\加班申请单.xls","加班申请单.xls")</f>
        <v>加班申请单.xls</v>
      </c>
      <c r="Q1687">
        <v>0.02</v>
      </c>
      <c r="R1687" s="7" t="str">
        <f t="shared" si="37"/>
        <v>E:\附赠：Excel模板\企业管理全套报表EXCEL模板\财务行政EXCEL模板338个</v>
      </c>
      <c r="S1687" s="9">
        <v>43600.3821990741</v>
      </c>
      <c r="T1687" s="9">
        <v>43390.5153935185</v>
      </c>
    </row>
    <row r="1688" spans="14:20">
      <c r="N1688" s="7" t="str">
        <f>HYPERLINK("E:\附赠：Excel模板\企业管理全套报表EXCEL模板\财务行政EXCEL模板338个\加班记录表.xls","加班记录表.xls")</f>
        <v>加班记录表.xls</v>
      </c>
      <c r="Q1688">
        <v>0.02</v>
      </c>
      <c r="R1688" s="7" t="str">
        <f t="shared" si="37"/>
        <v>E:\附赠：Excel模板\企业管理全套报表EXCEL模板\财务行政EXCEL模板338个</v>
      </c>
      <c r="S1688" s="9">
        <v>43600.3821990741</v>
      </c>
      <c r="T1688" s="9">
        <v>43390.5153935185</v>
      </c>
    </row>
    <row r="1689" spans="14:20">
      <c r="N1689" s="7" t="str">
        <f>HYPERLINK("E:\附赠：Excel模板\企业管理全套报表EXCEL模板\财务行政EXCEL模板338个\加班记录表.xlt","加班记录表.xlt")</f>
        <v>加班记录表.xlt</v>
      </c>
      <c r="Q1689">
        <v>0.02</v>
      </c>
      <c r="R1689" s="7" t="str">
        <f t="shared" si="37"/>
        <v>E:\附赠：Excel模板\企业管理全套报表EXCEL模板\财务行政EXCEL模板338个</v>
      </c>
      <c r="S1689" s="9">
        <v>43600.3821990741</v>
      </c>
      <c r="T1689" s="9">
        <v>43390.5153703704</v>
      </c>
    </row>
    <row r="1690" spans="14:20">
      <c r="N1690" s="7" t="str">
        <f>HYPERLINK("E:\附赠：Excel模板\企业管理全套报表EXCEL模板\财务行政EXCEL模板338个\加班记录表A.xls","加班记录表A.xls")</f>
        <v>加班记录表A.xls</v>
      </c>
      <c r="Q1690">
        <v>0.03</v>
      </c>
      <c r="R1690" s="7" t="str">
        <f t="shared" si="37"/>
        <v>E:\附赠：Excel模板\企业管理全套报表EXCEL模板\财务行政EXCEL模板338个</v>
      </c>
      <c r="S1690" s="9">
        <v>43600.3821990741</v>
      </c>
      <c r="T1690" s="9">
        <v>43390.5153935185</v>
      </c>
    </row>
    <row r="1691" spans="14:20">
      <c r="N1691" s="7" t="str">
        <f>HYPERLINK("E:\附赠：Excel模板\企业管理全套报表EXCEL模板\财务行政EXCEL模板338个\加班记录表实例拓展.xlt","加班记录表实例拓展.xlt")</f>
        <v>加班记录表实例拓展.xlt</v>
      </c>
      <c r="Q1691">
        <v>0.03</v>
      </c>
      <c r="R1691" s="7" t="str">
        <f t="shared" si="37"/>
        <v>E:\附赠：Excel模板\企业管理全套报表EXCEL模板\财务行政EXCEL模板338个</v>
      </c>
      <c r="S1691" s="9">
        <v>43600.3821990741</v>
      </c>
      <c r="T1691" s="9">
        <v>43390.5153703704</v>
      </c>
    </row>
    <row r="1692" spans="14:20">
      <c r="N1692" s="7" t="str">
        <f>HYPERLINK("E:\附赠：Excel模板\企业管理全套报表EXCEL模板\财务行政EXCEL模板338个\动态模型.xls","动态模型.xls")</f>
        <v>动态模型.xls</v>
      </c>
      <c r="Q1692">
        <v>0.05</v>
      </c>
      <c r="R1692" s="7" t="str">
        <f t="shared" si="37"/>
        <v>E:\附赠：Excel模板\企业管理全套报表EXCEL模板\财务行政EXCEL模板338个</v>
      </c>
      <c r="S1692" s="9">
        <v>43600.3821990741</v>
      </c>
      <c r="T1692" s="9">
        <v>43390.515462963</v>
      </c>
    </row>
    <row r="1693" spans="14:20">
      <c r="N1693" s="7" t="str">
        <f>HYPERLINK("E:\附赠：Excel模板\企业管理全套报表EXCEL模板\财务行政EXCEL模板338个\动态模型.xlt","动态模型.xlt")</f>
        <v>动态模型.xlt</v>
      </c>
      <c r="Q1693">
        <v>0.05</v>
      </c>
      <c r="R1693" s="7" t="str">
        <f t="shared" si="37"/>
        <v>E:\附赠：Excel模板\企业管理全套报表EXCEL模板\财务行政EXCEL模板338个</v>
      </c>
      <c r="S1693" s="9">
        <v>43600.3821990741</v>
      </c>
      <c r="T1693" s="9">
        <v>43390.515462963</v>
      </c>
    </row>
    <row r="1694" spans="14:20">
      <c r="N1694" s="7" t="str">
        <f>HYPERLINK("E:\附赠：Excel模板\企业管理全套报表EXCEL模板\财务行政EXCEL模板338个\勤  務  表.xls","勤  務  表.xls")</f>
        <v>勤  務  表.xls</v>
      </c>
      <c r="Q1694">
        <v>0.02</v>
      </c>
      <c r="R1694" s="7" t="str">
        <f t="shared" si="37"/>
        <v>E:\附赠：Excel模板\企业管理全套报表EXCEL模板\财务行政EXCEL模板338个</v>
      </c>
      <c r="S1694" s="9">
        <v>43600.3821990741</v>
      </c>
      <c r="T1694" s="9">
        <v>43390.5152777778</v>
      </c>
    </row>
    <row r="1695" spans="14:20">
      <c r="N1695" s="7" t="str">
        <f>HYPERLINK("E:\附赠：Excel模板\企业管理全套报表EXCEL模板\财务行政EXCEL模板338个\包含同名同姓员工的销售部员工资料表.xls","包含同名同姓员工的销售部员工资料表.xls")</f>
        <v>包含同名同姓员工的销售部员工资料表.xls</v>
      </c>
      <c r="Q1695">
        <v>0.68</v>
      </c>
      <c r="R1695" s="7" t="str">
        <f t="shared" si="37"/>
        <v>E:\附赠：Excel模板\企业管理全套报表EXCEL模板\财务行政EXCEL模板338个</v>
      </c>
      <c r="S1695" s="9">
        <v>43600.3821990741</v>
      </c>
      <c r="T1695" s="9">
        <v>43390.5155555556</v>
      </c>
    </row>
    <row r="1696" spans="14:20">
      <c r="N1696" s="7" t="str">
        <f>HYPERLINK("E:\附赠：Excel模板\企业管理全套报表EXCEL模板\财务行政EXCEL模板338个\包含同名同姓员工的销售部员工资料表.xlt","包含同名同姓员工的销售部员工资料表.xlt")</f>
        <v>包含同名同姓员工的销售部员工资料表.xlt</v>
      </c>
      <c r="Q1696">
        <v>0.68</v>
      </c>
      <c r="R1696" s="7" t="str">
        <f t="shared" si="37"/>
        <v>E:\附赠：Excel模板\企业管理全套报表EXCEL模板\财务行政EXCEL模板338个</v>
      </c>
      <c r="S1696" s="9">
        <v>43600.3821990741</v>
      </c>
      <c r="T1696" s="9">
        <v>43390.5155324074</v>
      </c>
    </row>
    <row r="1697" spans="14:20">
      <c r="N1697" s="7" t="str">
        <f>HYPERLINK("E:\附赠：Excel模板\企业管理全套报表EXCEL模板\财务行政EXCEL模板338个\单变量及双变量运算.xlt","单变量及双变量运算.xlt")</f>
        <v>单变量及双变量运算.xlt</v>
      </c>
      <c r="Q1697">
        <v>0.02</v>
      </c>
      <c r="R1697" s="7" t="str">
        <f t="shared" si="37"/>
        <v>E:\附赠：Excel模板\企业管理全套报表EXCEL模板\财务行政EXCEL模板338个</v>
      </c>
      <c r="S1697" s="9">
        <v>43600.3821990741</v>
      </c>
      <c r="T1697" s="9">
        <v>43390.5154861111</v>
      </c>
    </row>
    <row r="1698" spans="14:20">
      <c r="N1698" s="7" t="str">
        <f>HYPERLINK("E:\附赠：Excel模板\企业管理全套报表EXCEL模板\财务行政EXCEL模板338个\单据.xls","单据.xls")</f>
        <v>单据.xls</v>
      </c>
      <c r="Q1698">
        <v>0.02</v>
      </c>
      <c r="R1698" s="7" t="str">
        <f t="shared" si="37"/>
        <v>E:\附赠：Excel模板\企业管理全套报表EXCEL模板\财务行政EXCEL模板338个</v>
      </c>
      <c r="S1698" s="9">
        <v>43600.3821990741</v>
      </c>
      <c r="T1698" s="9">
        <v>43390.5154861111</v>
      </c>
    </row>
    <row r="1699" spans="14:20">
      <c r="N1699" s="7" t="str">
        <f>HYPERLINK("E:\附赠：Excel模板\企业管理全套报表EXCEL模板\财务行政EXCEL模板338个\单据.xlt","单据.xlt")</f>
        <v>单据.xlt</v>
      </c>
      <c r="Q1699">
        <v>0.02</v>
      </c>
      <c r="R1699" s="7" t="str">
        <f t="shared" si="37"/>
        <v>E:\附赠：Excel模板\企业管理全套报表EXCEL模板\财务行政EXCEL模板338个</v>
      </c>
      <c r="S1699" s="9">
        <v>43600.3821990741</v>
      </c>
      <c r="T1699" s="9">
        <v>43390.5154861111</v>
      </c>
    </row>
    <row r="1700" spans="14:20">
      <c r="N1700" s="7" t="str">
        <f>HYPERLINK("E:\附赠：Excel模板\企业管理全套报表EXCEL模板\财务行政EXCEL模板338个\各类型车销售情况.xls","各类型车销售情况.xls")</f>
        <v>各类型车销售情况.xls</v>
      </c>
      <c r="Q1700">
        <v>0.05</v>
      </c>
      <c r="R1700" s="7" t="str">
        <f t="shared" si="37"/>
        <v>E:\附赠：Excel模板\企业管理全套报表EXCEL模板\财务行政EXCEL模板338个</v>
      </c>
      <c r="S1700" s="9">
        <v>43600.3821990741</v>
      </c>
      <c r="T1700" s="9">
        <v>43390.5154398148</v>
      </c>
    </row>
    <row r="1701" spans="14:20">
      <c r="N1701" s="7" t="str">
        <f>HYPERLINK("E:\附赠：Excel模板\企业管理全套报表EXCEL模板\财务行政EXCEL模板338个\各类型车销售情况.xlt","各类型车销售情况.xlt")</f>
        <v>各类型车销售情况.xlt</v>
      </c>
      <c r="Q1701">
        <v>0.05</v>
      </c>
      <c r="R1701" s="7" t="str">
        <f t="shared" si="37"/>
        <v>E:\附赠：Excel模板\企业管理全套报表EXCEL模板\财务行政EXCEL模板338个</v>
      </c>
      <c r="S1701" s="9">
        <v>43600.3821990741</v>
      </c>
      <c r="T1701" s="9">
        <v>43390.5154398148</v>
      </c>
    </row>
    <row r="1702" spans="14:20">
      <c r="N1702" s="7" t="str">
        <f>HYPERLINK("E:\附赠：Excel模板\企业管理全套报表EXCEL模板\财务行政EXCEL模板338个\员工医疗费用统计表.xlt","员工医疗费用统计表.xlt")</f>
        <v>员工医疗费用统计表.xlt</v>
      </c>
      <c r="Q1702">
        <v>0.02</v>
      </c>
      <c r="R1702" s="7" t="str">
        <f t="shared" si="37"/>
        <v>E:\附赠：Excel模板\企业管理全套报表EXCEL模板\财务行政EXCEL模板338个</v>
      </c>
      <c r="S1702" s="9">
        <v>43600.3821990741</v>
      </c>
      <c r="T1702" s="9">
        <v>43390.5150925926</v>
      </c>
    </row>
    <row r="1703" spans="14:20">
      <c r="N1703" s="7" t="str">
        <f>HYPERLINK("E:\附赠：Excel模板\企业管理全套报表EXCEL模板\财务行政EXCEL模板338个\员工名片印制申请单据.xlt","员工名片印制申请单据.xlt")</f>
        <v>员工名片印制申请单据.xlt</v>
      </c>
      <c r="Q1703">
        <v>0.01</v>
      </c>
      <c r="R1703" s="7" t="str">
        <f t="shared" si="37"/>
        <v>E:\附赠：Excel模板\企业管理全套报表EXCEL模板\财务行政EXCEL模板338个</v>
      </c>
      <c r="S1703" s="9">
        <v>43600.3821990741</v>
      </c>
      <c r="T1703" s="9">
        <v>43390.5150925926</v>
      </c>
    </row>
    <row r="1704" spans="14:20">
      <c r="N1704" s="7" t="str">
        <f>HYPERLINK("E:\附赠：Excel模板\企业管理全套报表EXCEL模板\财务行政EXCEL模板338个\员工学历表.xls","员工学历表.xls")</f>
        <v>员工学历表.xls</v>
      </c>
      <c r="Q1704">
        <v>0.02</v>
      </c>
      <c r="R1704" s="7" t="str">
        <f t="shared" si="37"/>
        <v>E:\附赠：Excel模板\企业管理全套报表EXCEL模板\财务行政EXCEL模板338个</v>
      </c>
      <c r="S1704" s="9">
        <v>43600.3821990741</v>
      </c>
      <c r="T1704" s="9">
        <v>43390.5150925926</v>
      </c>
    </row>
    <row r="1705" spans="14:20">
      <c r="N1705" s="7" t="str">
        <f>HYPERLINK("E:\附赠：Excel模板\企业管理全套报表EXCEL模板\财务行政EXCEL模板338个\员工学历表.xlt","员工学历表.xlt")</f>
        <v>员工学历表.xlt</v>
      </c>
      <c r="Q1705">
        <v>0.02</v>
      </c>
      <c r="R1705" s="7" t="str">
        <f t="shared" si="37"/>
        <v>E:\附赠：Excel模板\企业管理全套报表EXCEL模板\财务行政EXCEL模板338个</v>
      </c>
      <c r="S1705" s="9">
        <v>43600.3821990741</v>
      </c>
      <c r="T1705" s="9">
        <v>43390.5150925926</v>
      </c>
    </row>
    <row r="1706" spans="14:20">
      <c r="N1706" s="7" t="str">
        <f>HYPERLINK("E:\附赠：Excel模板\企业管理全套报表EXCEL模板\财务行政EXCEL模板338个\员工工资数据表.xls","员工工资数据表.xls")</f>
        <v>员工工资数据表.xls</v>
      </c>
      <c r="Q1706">
        <v>0.03</v>
      </c>
      <c r="R1706" s="7" t="str">
        <f t="shared" si="37"/>
        <v>E:\附赠：Excel模板\企业管理全套报表EXCEL模板\财务行政EXCEL模板338个</v>
      </c>
      <c r="S1706" s="9">
        <v>43600.3821990741</v>
      </c>
      <c r="T1706" s="9">
        <v>43390.5151157407</v>
      </c>
    </row>
    <row r="1707" spans="14:20">
      <c r="N1707" s="7" t="str">
        <f>HYPERLINK("E:\附赠：Excel模板\企业管理全套报表EXCEL模板\财务行政EXCEL模板338个\员工工资数据表.xlt","员工工资数据表.xlt")</f>
        <v>员工工资数据表.xlt</v>
      </c>
      <c r="Q1707">
        <v>0.03</v>
      </c>
      <c r="R1707" s="7" t="str">
        <f t="shared" si="37"/>
        <v>E:\附赠：Excel模板\企业管理全套报表EXCEL模板\财务行政EXCEL模板338个</v>
      </c>
      <c r="S1707" s="9">
        <v>43600.3821990741</v>
      </c>
      <c r="T1707" s="9">
        <v>43390.5151157407</v>
      </c>
    </row>
    <row r="1708" spans="14:20">
      <c r="N1708" s="7" t="str">
        <f>HYPERLINK("E:\附赠：Excel模板\企业管理全套报表EXCEL模板\财务行政EXCEL模板338个\员工离职申请表.xls","员工离职申请表.xls")</f>
        <v>员工离职申请表.xls</v>
      </c>
      <c r="Q1708">
        <v>0.02</v>
      </c>
      <c r="R1708" s="7" t="str">
        <f t="shared" si="37"/>
        <v>E:\附赠：Excel模板\企业管理全套报表EXCEL模板\财务行政EXCEL模板338个</v>
      </c>
      <c r="S1708" s="9">
        <v>43600.3821990741</v>
      </c>
      <c r="T1708" s="9">
        <v>43390.5150925926</v>
      </c>
    </row>
    <row r="1709" spans="14:20">
      <c r="N1709" s="7" t="str">
        <f>HYPERLINK("E:\附赠：Excel模板\企业管理全套报表EXCEL模板\财务行政EXCEL模板338个\员工离职申请表.xlt","员工离职申请表.xlt")</f>
        <v>员工离职申请表.xlt</v>
      </c>
      <c r="Q1709">
        <v>0.01</v>
      </c>
      <c r="R1709" s="7" t="str">
        <f t="shared" si="37"/>
        <v>E:\附赠：Excel模板\企业管理全套报表EXCEL模板\财务行政EXCEL模板338个</v>
      </c>
      <c r="S1709" s="9">
        <v>43600.3821990741</v>
      </c>
      <c r="T1709" s="9">
        <v>43390.5150925926</v>
      </c>
    </row>
    <row r="1710" spans="14:20">
      <c r="N1710" s="7" t="str">
        <f>HYPERLINK("E:\附赠：Excel模板\企业管理全套报表EXCEL模板\财务行政EXCEL模板338个\员工离职程序表.xls","员工离职程序表.xls")</f>
        <v>员工离职程序表.xls</v>
      </c>
      <c r="Q1710">
        <v>0.03</v>
      </c>
      <c r="R1710" s="7" t="str">
        <f t="shared" si="37"/>
        <v>E:\附赠：Excel模板\企业管理全套报表EXCEL模板\财务行政EXCEL模板338个</v>
      </c>
      <c r="S1710" s="9">
        <v>43600.3821990741</v>
      </c>
      <c r="T1710" s="9">
        <v>43390.5151157407</v>
      </c>
    </row>
    <row r="1711" spans="14:20">
      <c r="N1711" s="7" t="str">
        <f>HYPERLINK("E:\附赠：Excel模板\企业管理全套报表EXCEL模板\财务行政EXCEL模板338个\员工离职程序表.xlt","员工离职程序表.xlt")</f>
        <v>员工离职程序表.xlt</v>
      </c>
      <c r="Q1711">
        <v>0.03</v>
      </c>
      <c r="R1711" s="7" t="str">
        <f t="shared" si="37"/>
        <v>E:\附赠：Excel模板\企业管理全套报表EXCEL模板\财务行政EXCEL模板338个</v>
      </c>
      <c r="S1711" s="9">
        <v>43600.3821990741</v>
      </c>
      <c r="T1711" s="9">
        <v>43390.5150925926</v>
      </c>
    </row>
    <row r="1712" spans="14:20">
      <c r="N1712" s="7" t="str">
        <f>HYPERLINK("E:\附赠：Excel模板\企业管理全套报表EXCEL模板\财务行政EXCEL模板338个\员工考核测评表.xls","员工考核测评表.xls")</f>
        <v>员工考核测评表.xls</v>
      </c>
      <c r="Q1712">
        <v>0.04</v>
      </c>
      <c r="R1712" s="7" t="str">
        <f t="shared" si="37"/>
        <v>E:\附赠：Excel模板\企业管理全套报表EXCEL模板\财务行政EXCEL模板338个</v>
      </c>
      <c r="S1712" s="9">
        <v>43600.3821990741</v>
      </c>
      <c r="T1712" s="9">
        <v>43390.5151157407</v>
      </c>
    </row>
    <row r="1713" spans="14:20">
      <c r="N1713" s="7" t="str">
        <f>HYPERLINK("E:\附赠：Excel模板\企业管理全套报表EXCEL模板\财务行政EXCEL模板338个\员工考核测评表.xlt","员工考核测评表.xlt")</f>
        <v>员工考核测评表.xlt</v>
      </c>
      <c r="Q1713">
        <v>0.04</v>
      </c>
      <c r="R1713" s="7" t="str">
        <f t="shared" si="37"/>
        <v>E:\附赠：Excel模板\企业管理全套报表EXCEL模板\财务行政EXCEL模板338个</v>
      </c>
      <c r="S1713" s="9">
        <v>43600.3821990741</v>
      </c>
      <c r="T1713" s="9">
        <v>43390.5151157407</v>
      </c>
    </row>
    <row r="1714" spans="14:20">
      <c r="N1714" s="7" t="str">
        <f>HYPERLINK("E:\附赠：Excel模板\企业管理全套报表EXCEL模板\财务行政EXCEL模板338个\员工过往薪资记录表.xlt","员工过往薪资记录表.xlt")</f>
        <v>员工过往薪资记录表.xlt</v>
      </c>
      <c r="Q1714">
        <v>0.02</v>
      </c>
      <c r="R1714" s="7" t="str">
        <f t="shared" si="37"/>
        <v>E:\附赠：Excel模板\企业管理全套报表EXCEL模板\财务行政EXCEL模板338个</v>
      </c>
      <c r="S1714" s="9">
        <v>43600.3821990741</v>
      </c>
      <c r="T1714" s="9">
        <v>43390.5151157407</v>
      </c>
    </row>
    <row r="1715" spans="14:20">
      <c r="N1715" s="7" t="str">
        <f>HYPERLINK("E:\附赠：Excel模板\企业管理全套报表EXCEL模板\财务行政EXCEL模板338个\员工销售量表.xls","员工销售量表.xls")</f>
        <v>员工销售量表.xls</v>
      </c>
      <c r="Q1715">
        <v>0.02</v>
      </c>
      <c r="R1715" s="7" t="str">
        <f t="shared" si="37"/>
        <v>E:\附赠：Excel模板\企业管理全套报表EXCEL模板\财务行政EXCEL模板338个</v>
      </c>
      <c r="S1715" s="9">
        <v>43600.3821990741</v>
      </c>
      <c r="T1715" s="9">
        <v>43390.5150925926</v>
      </c>
    </row>
    <row r="1716" spans="14:20">
      <c r="N1716" s="7" t="str">
        <f>HYPERLINK("E:\附赠：Excel模板\企业管理全套报表EXCEL模板\财务行政EXCEL模板338个\员工销售量表.xlt","员工销售量表.xlt")</f>
        <v>员工销售量表.xlt</v>
      </c>
      <c r="Q1716">
        <v>0.02</v>
      </c>
      <c r="R1716" s="7" t="str">
        <f t="shared" si="37"/>
        <v>E:\附赠：Excel模板\企业管理全套报表EXCEL模板\财务行政EXCEL模板338个</v>
      </c>
      <c r="S1716" s="9">
        <v>43600.3821990741</v>
      </c>
      <c r="T1716" s="9">
        <v>43390.5150925926</v>
      </c>
    </row>
    <row r="1717" spans="14:20">
      <c r="N1717" s="7" t="str">
        <f>HYPERLINK("E:\附赠：Excel模板\企业管理全套报表EXCEL模板\财务行政EXCEL模板338个\商品分期付款决策.xls","商品分期付款决策.xls")</f>
        <v>商品分期付款决策.xls</v>
      </c>
      <c r="Q1717">
        <v>0.03</v>
      </c>
      <c r="R1717" s="7" t="str">
        <f t="shared" si="37"/>
        <v>E:\附赠：Excel模板\企业管理全套报表EXCEL模板\财务行政EXCEL模板338个</v>
      </c>
      <c r="S1717" s="9">
        <v>43600.3821990741</v>
      </c>
      <c r="T1717" s="9">
        <v>43390.5152546296</v>
      </c>
    </row>
    <row r="1718" spans="14:20">
      <c r="N1718" s="7" t="str">
        <f>HYPERLINK("E:\附赠：Excel模板\企业管理全套报表EXCEL模板\财务行政EXCEL模板338个\商品分期付款决策.xlt","商品分期付款决策.xlt")</f>
        <v>商品分期付款决策.xlt</v>
      </c>
      <c r="Q1718">
        <v>0.03</v>
      </c>
      <c r="R1718" s="7" t="str">
        <f t="shared" si="37"/>
        <v>E:\附赠：Excel模板\企业管理全套报表EXCEL模板\财务行政EXCEL模板338个</v>
      </c>
      <c r="S1718" s="9">
        <v>43600.3821990741</v>
      </c>
      <c r="T1718" s="9">
        <v>43390.5152777778</v>
      </c>
    </row>
    <row r="1719" spans="14:20">
      <c r="N1719" s="7" t="str">
        <f>HYPERLINK("E:\附赠：Excel模板\企业管理全套报表EXCEL模板\财务行政EXCEL模板338个\商品库存需求分析表.xls","商品库存需求分析表.xls")</f>
        <v>商品库存需求分析表.xls</v>
      </c>
      <c r="Q1719">
        <v>0.03</v>
      </c>
      <c r="R1719" s="7" t="str">
        <f t="shared" si="37"/>
        <v>E:\附赠：Excel模板\企业管理全套报表EXCEL模板\财务行政EXCEL模板338个</v>
      </c>
      <c r="S1719" s="9">
        <v>43600.3821990741</v>
      </c>
      <c r="T1719" s="9">
        <v>43390.5152546296</v>
      </c>
    </row>
    <row r="1720" spans="14:20">
      <c r="N1720" s="7" t="str">
        <f>HYPERLINK("E:\附赠：Excel模板\企业管理全套报表EXCEL模板\财务行政EXCEL模板338个\商品库存需求分析表.xlt","商品库存需求分析表.xlt")</f>
        <v>商品库存需求分析表.xlt</v>
      </c>
      <c r="Q1720">
        <v>0.03</v>
      </c>
      <c r="R1720" s="7" t="str">
        <f t="shared" si="37"/>
        <v>E:\附赠：Excel模板\企业管理全套报表EXCEL模板\财务行政EXCEL模板338个</v>
      </c>
      <c r="S1720" s="9">
        <v>43600.3821990741</v>
      </c>
      <c r="T1720" s="9">
        <v>43390.5152546296</v>
      </c>
    </row>
    <row r="1721" spans="14:20">
      <c r="N1721" s="7" t="str">
        <f>HYPERLINK("E:\附赠：Excel模板\企业管理全套报表EXCEL模板\财务行政EXCEL模板338个\商品进货量决策.xls","商品进货量决策.xls")</f>
        <v>商品进货量决策.xls</v>
      </c>
      <c r="Q1721">
        <v>0.02</v>
      </c>
      <c r="R1721" s="7" t="str">
        <f t="shared" si="37"/>
        <v>E:\附赠：Excel模板\企业管理全套报表EXCEL模板\财务行政EXCEL模板338个</v>
      </c>
      <c r="S1721" s="9">
        <v>43600.3821990741</v>
      </c>
      <c r="T1721" s="9">
        <v>43390.5152546296</v>
      </c>
    </row>
    <row r="1722" spans="14:20">
      <c r="N1722" s="7" t="str">
        <f>HYPERLINK("E:\附赠：Excel模板\企业管理全套报表EXCEL模板\财务行政EXCEL模板338个\商品进货量决策.xlt","商品进货量决策.xlt")</f>
        <v>商品进货量决策.xlt</v>
      </c>
      <c r="Q1722">
        <v>0.02</v>
      </c>
      <c r="R1722" s="7" t="str">
        <f t="shared" si="37"/>
        <v>E:\附赠：Excel模板\企业管理全套报表EXCEL模板\财务行政EXCEL模板338个</v>
      </c>
      <c r="S1722" s="9">
        <v>43600.3821990741</v>
      </c>
      <c r="T1722" s="9">
        <v>43390.5152546296</v>
      </c>
    </row>
    <row r="1723" spans="14:20">
      <c r="N1723" s="7" t="str">
        <f>HYPERLINK("E:\附赠：Excel模板\企业管理全套报表EXCEL模板\财务行政EXCEL模板338个\商品销售数据表.xls","商品销售数据表.xls")</f>
        <v>商品销售数据表.xls</v>
      </c>
      <c r="Q1723">
        <v>0.03</v>
      </c>
      <c r="R1723" s="7" t="str">
        <f t="shared" si="37"/>
        <v>E:\附赠：Excel模板\企业管理全套报表EXCEL模板\财务行政EXCEL模板338个</v>
      </c>
      <c r="S1723" s="9">
        <v>43600.3821990741</v>
      </c>
      <c r="T1723" s="9">
        <v>43390.5152546296</v>
      </c>
    </row>
    <row r="1724" spans="14:20">
      <c r="N1724" s="7" t="str">
        <f>HYPERLINK("E:\附赠：Excel模板\企业管理全套报表EXCEL模板\财务行政EXCEL模板338个\商品销售数据表.xlt","商品销售数据表.xlt")</f>
        <v>商品销售数据表.xlt</v>
      </c>
      <c r="Q1724">
        <v>0.03</v>
      </c>
      <c r="R1724" s="7" t="str">
        <f t="shared" si="37"/>
        <v>E:\附赠：Excel模板\企业管理全套报表EXCEL模板\财务行政EXCEL模板338个</v>
      </c>
      <c r="S1724" s="9">
        <v>43600.3821990741</v>
      </c>
      <c r="T1724" s="9">
        <v>43390.5152546296</v>
      </c>
    </row>
    <row r="1725" spans="14:20">
      <c r="N1725" s="7" t="str">
        <f>HYPERLINK("E:\附赠：Excel模板\企业管理全套报表EXCEL模板\财务行政EXCEL模板338个\商品销售方式决策.xls","商品销售方式决策.xls")</f>
        <v>商品销售方式决策.xls</v>
      </c>
      <c r="Q1725">
        <v>0.05</v>
      </c>
      <c r="R1725" s="7" t="str">
        <f t="shared" si="37"/>
        <v>E:\附赠：Excel模板\企业管理全套报表EXCEL模板\财务行政EXCEL模板338个</v>
      </c>
      <c r="S1725" s="9">
        <v>43600.3821990741</v>
      </c>
      <c r="T1725" s="9">
        <v>43390.5152546296</v>
      </c>
    </row>
    <row r="1726" spans="14:20">
      <c r="N1726" s="7" t="str">
        <f>HYPERLINK("E:\附赠：Excel模板\企业管理全套报表EXCEL模板\财务行政EXCEL模板338个\商品销售方式决策.xlt","商品销售方式决策.xlt")</f>
        <v>商品销售方式决策.xlt</v>
      </c>
      <c r="Q1726">
        <v>0.05</v>
      </c>
      <c r="R1726" s="7" t="str">
        <f t="shared" si="37"/>
        <v>E:\附赠：Excel模板\企业管理全套报表EXCEL模板\财务行政EXCEL模板338个</v>
      </c>
      <c r="S1726" s="9">
        <v>43600.3821990741</v>
      </c>
      <c r="T1726" s="9">
        <v>43390.5152546296</v>
      </c>
    </row>
    <row r="1727" spans="14:20">
      <c r="N1727" s="7" t="str">
        <f>HYPERLINK("E:\附赠：Excel模板\企业管理全套报表EXCEL模板\财务行政EXCEL模板338个\回收期法投资分析表.xlt","回收期法投资分析表.xlt")</f>
        <v>回收期法投资分析表.xlt</v>
      </c>
      <c r="Q1727">
        <v>0.05</v>
      </c>
      <c r="R1727" s="7" t="str">
        <f t="shared" si="37"/>
        <v>E:\附赠：Excel模板\企业管理全套报表EXCEL模板\财务行政EXCEL模板338个</v>
      </c>
      <c r="S1727" s="9">
        <v>43600.3821990741</v>
      </c>
      <c r="T1727" s="9">
        <v>43390.5154166667</v>
      </c>
    </row>
    <row r="1728" spans="14:20">
      <c r="N1728" s="7" t="str">
        <f>HYPERLINK("E:\附赠：Excel模板\企业管理全套报表EXCEL模板\财务行政EXCEL模板338个\固定资产卡片.xlt","固定资产卡片.xlt")</f>
        <v>固定资产卡片.xlt</v>
      </c>
      <c r="Q1728">
        <v>0.02</v>
      </c>
      <c r="R1728" s="7" t="str">
        <f t="shared" si="37"/>
        <v>E:\附赠：Excel模板\企业管理全套报表EXCEL模板\财务行政EXCEL模板338个</v>
      </c>
      <c r="S1728" s="9">
        <v>43600.3821990741</v>
      </c>
      <c r="T1728" s="9">
        <v>43390.5154166667</v>
      </c>
    </row>
    <row r="1729" spans="14:20">
      <c r="N1729" s="7" t="str">
        <f>HYPERLINK("E:\附赠：Excel模板\企业管理全套报表EXCEL模板\财务行政EXCEL模板338个\固定资产清查盘点统计表.xlt","固定资产清查盘点统计表.xlt")</f>
        <v>固定资产清查盘点统计表.xlt</v>
      </c>
      <c r="Q1729">
        <v>0.04</v>
      </c>
      <c r="R1729" s="7" t="str">
        <f t="shared" si="37"/>
        <v>E:\附赠：Excel模板\企业管理全套报表EXCEL模板\财务行政EXCEL模板338个</v>
      </c>
      <c r="S1729" s="9">
        <v>43600.3821990741</v>
      </c>
      <c r="T1729" s="9">
        <v>43390.5154166667</v>
      </c>
    </row>
    <row r="1730" spans="14:20">
      <c r="N1730" s="7" t="str">
        <f>HYPERLINK("E:\附赠：Excel模板\企业管理全套报表EXCEL模板\财务行政EXCEL模板338个\固定资产管理.xls","固定资产管理.xls")</f>
        <v>固定资产管理.xls</v>
      </c>
      <c r="Q1730">
        <v>0.03</v>
      </c>
      <c r="R1730" s="7" t="str">
        <f t="shared" si="37"/>
        <v>E:\附赠：Excel模板\企业管理全套报表EXCEL模板\财务行政EXCEL模板338个</v>
      </c>
      <c r="S1730" s="9">
        <v>43600.3821990741</v>
      </c>
      <c r="T1730" s="9">
        <v>43390.5154166667</v>
      </c>
    </row>
    <row r="1731" spans="14:20">
      <c r="N1731" s="7" t="str">
        <f>HYPERLINK("E:\附赠：Excel模板\企业管理全套报表EXCEL模板\财务行政EXCEL模板338个\固定资产管理.xlt","固定资产管理.xlt")</f>
        <v>固定资产管理.xlt</v>
      </c>
      <c r="Q1731">
        <v>0.03</v>
      </c>
      <c r="R1731" s="7" t="str">
        <f t="shared" si="37"/>
        <v>E:\附赠：Excel模板\企业管理全套报表EXCEL模板\财务行政EXCEL模板338个</v>
      </c>
      <c r="S1731" s="9">
        <v>43600.3821990741</v>
      </c>
      <c r="T1731" s="9">
        <v>43390.5154166667</v>
      </c>
    </row>
    <row r="1732" spans="14:20">
      <c r="N1732" s="7" t="str">
        <f>HYPERLINK("E:\附赠：Excel模板\企业管理全套报表EXCEL模板\财务行政EXCEL模板338个\在住房贷款中运用财务函数.xlt","在住房贷款中运用财务函数.xlt")</f>
        <v>在住房贷款中运用财务函数.xlt</v>
      </c>
      <c r="Q1732">
        <v>0.02</v>
      </c>
      <c r="R1732" s="7" t="str">
        <f t="shared" si="37"/>
        <v>E:\附赠：Excel模板\企业管理全套报表EXCEL模板\财务行政EXCEL模板338个</v>
      </c>
      <c r="S1732" s="9">
        <v>43600.3821990741</v>
      </c>
      <c r="T1732" s="9">
        <v>43390.5150694444</v>
      </c>
    </row>
    <row r="1733" spans="14:20">
      <c r="N1733" s="7" t="str">
        <f>HYPERLINK("E:\附赠：Excel模板\企业管理全套报表EXCEL模板\财务行政EXCEL模板338个\在员工季度考核中使用查询函数.xlt","在员工季度考核中使用查询函数.xlt")</f>
        <v>在员工季度考核中使用查询函数.xlt</v>
      </c>
      <c r="Q1733">
        <v>0.02</v>
      </c>
      <c r="R1733" s="7" t="str">
        <f t="shared" si="37"/>
        <v>E:\附赠：Excel模板\企业管理全套报表EXCEL模板\财务行政EXCEL模板338个</v>
      </c>
      <c r="S1733" s="9">
        <v>43600.3821990741</v>
      </c>
      <c r="T1733" s="9">
        <v>43390.5150694444</v>
      </c>
    </row>
    <row r="1734" spans="14:20">
      <c r="N1734" s="7" t="str">
        <f>HYPERLINK("E:\附赠：Excel模板\企业管理全套报表EXCEL模板\财务行政EXCEL模板338个\在贷款经营表中运用财务函数.xlt","在贷款经营表中运用财务函数.xlt")</f>
        <v>在贷款经营表中运用财务函数.xlt</v>
      </c>
      <c r="Q1734">
        <v>0.02</v>
      </c>
      <c r="R1734" s="7" t="str">
        <f t="shared" si="37"/>
        <v>E:\附赠：Excel模板\企业管理全套报表EXCEL模板\财务行政EXCEL模板338个</v>
      </c>
      <c r="S1734" s="9">
        <v>43600.3821990741</v>
      </c>
      <c r="T1734" s="9">
        <v>43390.5150925926</v>
      </c>
    </row>
    <row r="1735" spans="14:20">
      <c r="N1735" s="7" t="str">
        <f>HYPERLINK("E:\附赠：Excel模板\企业管理全套报表EXCEL模板\财务行政EXCEL模板338个\多元线性回归.xls","多元线性回归.xls")</f>
        <v>多元线性回归.xls</v>
      </c>
      <c r="Q1735">
        <v>0.34</v>
      </c>
      <c r="R1735" s="7" t="str">
        <f t="shared" si="37"/>
        <v>E:\附赠：Excel模板\企业管理全套报表EXCEL模板\财务行政EXCEL模板338个</v>
      </c>
      <c r="S1735" s="9">
        <v>43600.3821990741</v>
      </c>
      <c r="T1735" s="9">
        <v>43390.515462963</v>
      </c>
    </row>
    <row r="1736" spans="14:20">
      <c r="N1736" s="7" t="str">
        <f>HYPERLINK("E:\附赠：Excel模板\企业管理全套报表EXCEL模板\财务行政EXCEL模板338个\多元线性回归.xlt","多元线性回归.xlt")</f>
        <v>多元线性回归.xlt</v>
      </c>
      <c r="Q1736">
        <v>0.34</v>
      </c>
      <c r="R1736" s="7" t="str">
        <f t="shared" si="37"/>
        <v>E:\附赠：Excel模板\企业管理全套报表EXCEL模板\财务行政EXCEL模板338个</v>
      </c>
      <c r="S1736" s="9">
        <v>43600.3821990741</v>
      </c>
      <c r="T1736" s="9">
        <v>43390.515462963</v>
      </c>
    </row>
    <row r="1737" spans="14:20">
      <c r="N1737" s="7" t="str">
        <f>HYPERLINK("E:\附赠：Excel模板\企业管理全套报表EXCEL模板\财务行政EXCEL模板338个\天力公司回款情况.xls","天力公司回款情况.xls")</f>
        <v>天力公司回款情况.xls</v>
      </c>
      <c r="Q1737">
        <v>0.04</v>
      </c>
      <c r="R1737" s="7" t="str">
        <f t="shared" si="37"/>
        <v>E:\附赠：Excel模板\企业管理全套报表EXCEL模板\财务行政EXCEL模板338个</v>
      </c>
      <c r="S1737" s="9">
        <v>43600.3821990741</v>
      </c>
      <c r="T1737" s="9">
        <v>43390.5152083333</v>
      </c>
    </row>
    <row r="1738" spans="14:20">
      <c r="N1738" s="7" t="str">
        <f>HYPERLINK("E:\附赠：Excel模板\企业管理全套报表EXCEL模板\财务行政EXCEL模板338个\天力公司回款情况.xlt","天力公司回款情况.xlt")</f>
        <v>天力公司回款情况.xlt</v>
      </c>
      <c r="Q1738">
        <v>0.04</v>
      </c>
      <c r="R1738" s="7" t="str">
        <f t="shared" si="37"/>
        <v>E:\附赠：Excel模板\企业管理全套报表EXCEL模板\财务行政EXCEL模板338个</v>
      </c>
      <c r="S1738" s="9">
        <v>43600.3821990741</v>
      </c>
      <c r="T1738" s="9">
        <v>43390.5152083333</v>
      </c>
    </row>
    <row r="1739" spans="14:20">
      <c r="N1739" s="7" t="str">
        <f>HYPERLINK("E:\附赠：Excel模板\企业管理全套报表EXCEL模板\财务行政EXCEL模板338个\奖金评定.xls","奖金评定.xls")</f>
        <v>奖金评定.xls</v>
      </c>
      <c r="Q1739">
        <v>0.04</v>
      </c>
      <c r="R1739" s="7" t="str">
        <f t="shared" si="37"/>
        <v>E:\附赠：Excel模板\企业管理全套报表EXCEL模板\财务行政EXCEL模板338个</v>
      </c>
      <c r="S1739" s="9">
        <v>43600.3821990741</v>
      </c>
      <c r="T1739" s="9">
        <v>43390.5153703704</v>
      </c>
    </row>
    <row r="1740" spans="14:20">
      <c r="N1740" s="7" t="str">
        <f>HYPERLINK("E:\附赠：Excel模板\企业管理全套报表EXCEL模板\财务行政EXCEL模板338个\奖金评定.xlt","奖金评定.xlt")</f>
        <v>奖金评定.xlt</v>
      </c>
      <c r="Q1740">
        <v>0.04</v>
      </c>
      <c r="R1740" s="7" t="str">
        <f t="shared" si="37"/>
        <v>E:\附赠：Excel模板\企业管理全套报表EXCEL模板\财务行政EXCEL模板338个</v>
      </c>
      <c r="S1740" s="9">
        <v>43600.3821990741</v>
      </c>
      <c r="T1740" s="9">
        <v>43390.5153703704</v>
      </c>
    </row>
    <row r="1741" spans="14:20">
      <c r="N1741" s="7" t="str">
        <f>HYPERLINK("E:\附赠：Excel模板\企业管理全套报表EXCEL模板\财务行政EXCEL模板338个\奖金评定表.xlt","奖金评定表.xlt")</f>
        <v>奖金评定表.xlt</v>
      </c>
      <c r="Q1741">
        <v>0.02</v>
      </c>
      <c r="R1741" s="7" t="str">
        <f t="shared" si="37"/>
        <v>E:\附赠：Excel模板\企业管理全套报表EXCEL模板\财务行政EXCEL模板338个</v>
      </c>
      <c r="S1741" s="9">
        <v>43600.3821990741</v>
      </c>
      <c r="T1741" s="9">
        <v>43390.5153703704</v>
      </c>
    </row>
    <row r="1742" spans="14:20">
      <c r="N1742" s="7" t="str">
        <f>HYPERLINK("E:\附赠：Excel模板\企业管理全套报表EXCEL模板\财务行政EXCEL模板338个\奖金评定表1.xls","奖金评定表1.xls")</f>
        <v>奖金评定表1.xls</v>
      </c>
      <c r="Q1742">
        <v>0.02</v>
      </c>
      <c r="R1742" s="7" t="str">
        <f t="shared" si="37"/>
        <v>E:\附赠：Excel模板\企业管理全套报表EXCEL模板\财务行政EXCEL模板338个</v>
      </c>
      <c r="S1742" s="9">
        <v>43600.3821990741</v>
      </c>
      <c r="T1742" s="9">
        <v>43390.5153703704</v>
      </c>
    </row>
    <row r="1743" spans="14:20">
      <c r="N1743" s="7" t="str">
        <f>HYPERLINK("E:\附赠：Excel模板\企业管理全套报表EXCEL模板\财务行政EXCEL模板338个\存货明细表.xlt","存货明细表.xlt")</f>
        <v>存货明细表.xlt</v>
      </c>
      <c r="Q1743">
        <v>0.02</v>
      </c>
      <c r="R1743" s="7" t="str">
        <f t="shared" si="37"/>
        <v>E:\附赠：Excel模板\企业管理全套报表EXCEL模板\财务行政EXCEL模板338个</v>
      </c>
      <c r="S1743" s="9">
        <v>43600.3821990741</v>
      </c>
      <c r="T1743" s="9">
        <v>43390.5154861111</v>
      </c>
    </row>
    <row r="1744" spans="14:20">
      <c r="N1744" s="7" t="str">
        <f>HYPERLINK("E:\附赠：Excel模板\企业管理全套报表EXCEL模板\财务行政EXCEL模板338个\季节变动.xls","季节变动.xls")</f>
        <v>季节变动.xls</v>
      </c>
      <c r="Q1744">
        <v>0.03</v>
      </c>
      <c r="R1744" s="7" t="str">
        <f t="shared" si="37"/>
        <v>E:\附赠：Excel模板\企业管理全套报表EXCEL模板\财务行政EXCEL模板338个</v>
      </c>
      <c r="S1744" s="9">
        <v>43600.3821990741</v>
      </c>
      <c r="T1744" s="9">
        <v>43390.5153935185</v>
      </c>
    </row>
    <row r="1745" spans="14:20">
      <c r="N1745" s="7" t="str">
        <f>HYPERLINK("E:\附赠：Excel模板\企业管理全套报表EXCEL模板\财务行政EXCEL模板338个\季节变动.xlt","季节变动.xlt")</f>
        <v>季节变动.xlt</v>
      </c>
      <c r="Q1745">
        <v>0.03</v>
      </c>
      <c r="R1745" s="7" t="str">
        <f t="shared" si="37"/>
        <v>E:\附赠：Excel模板\企业管理全套报表EXCEL模板\财务行政EXCEL模板338个</v>
      </c>
      <c r="S1745" s="9">
        <v>43600.3821990741</v>
      </c>
      <c r="T1745" s="9">
        <v>43390.5153935185</v>
      </c>
    </row>
    <row r="1746" spans="14:20">
      <c r="N1746" s="7" t="str">
        <f>HYPERLINK("E:\附赠：Excel模板\企业管理全套报表EXCEL模板\财务行政EXCEL模板338个\学生信息表.xlt","学生信息表.xlt")</f>
        <v>学生信息表.xlt</v>
      </c>
      <c r="Q1746">
        <v>0.02</v>
      </c>
      <c r="R1746" s="7" t="str">
        <f t="shared" si="37"/>
        <v>E:\附赠：Excel模板\企业管理全套报表EXCEL模板\财务行政EXCEL模板338个</v>
      </c>
      <c r="S1746" s="9">
        <v>43600.3821990741</v>
      </c>
      <c r="T1746" s="9">
        <v>43390.5151388889</v>
      </c>
    </row>
    <row r="1747" spans="14:20">
      <c r="N1747" s="7" t="str">
        <f>HYPERLINK("E:\附赠：Excel模板\企业管理全套报表EXCEL模板\财务行政EXCEL模板338个\学生成绩表.xls","学生成绩表.xls")</f>
        <v>学生成绩表.xls</v>
      </c>
      <c r="Q1747">
        <v>0.02</v>
      </c>
      <c r="R1747" s="7" t="str">
        <f t="shared" si="37"/>
        <v>E:\附赠：Excel模板\企业管理全套报表EXCEL模板\财务行政EXCEL模板338个</v>
      </c>
      <c r="S1747" s="9">
        <v>43600.3821990741</v>
      </c>
      <c r="T1747" s="9">
        <v>43390.5151388889</v>
      </c>
    </row>
    <row r="1748" spans="14:20">
      <c r="N1748" s="7" t="str">
        <f>HYPERLINK("E:\附赠：Excel模板\企业管理全套报表EXCEL模板\财务行政EXCEL模板338个\学生成绩表.xlt","学生成绩表.xlt")</f>
        <v>学生成绩表.xlt</v>
      </c>
      <c r="Q1748">
        <v>0.02</v>
      </c>
      <c r="R1748" s="7" t="str">
        <f t="shared" si="37"/>
        <v>E:\附赠：Excel模板\企业管理全套报表EXCEL模板\财务行政EXCEL模板338个</v>
      </c>
      <c r="S1748" s="9">
        <v>43600.3821990741</v>
      </c>
      <c r="T1748" s="9">
        <v>43390.5151388889</v>
      </c>
    </row>
    <row r="1749" spans="14:20">
      <c r="N1749" s="7" t="str">
        <f>HYPERLINK("E:\附赠：Excel模板\企业管理全套报表EXCEL模板\财务行政EXCEL模板338个\学生档案表.xls","学生档案表.xls")</f>
        <v>学生档案表.xls</v>
      </c>
      <c r="Q1749">
        <v>0.02</v>
      </c>
      <c r="R1749" s="7" t="str">
        <f t="shared" ref="R1749:R1812" si="38">HYPERLINK("E:\附赠：Excel模板\企业管理全套报表EXCEL模板\财务行政EXCEL模板338个","E:\附赠：Excel模板\企业管理全套报表EXCEL模板\财务行政EXCEL模板338个")</f>
        <v>E:\附赠：Excel模板\企业管理全套报表EXCEL模板\财务行政EXCEL模板338个</v>
      </c>
      <c r="S1749" s="9">
        <v>43600.3821990741</v>
      </c>
      <c r="T1749" s="9">
        <v>43390.5151388889</v>
      </c>
    </row>
    <row r="1750" spans="14:20">
      <c r="N1750" s="7" t="str">
        <f>HYPERLINK("E:\附赠：Excel模板\企业管理全套报表EXCEL模板\财务行政EXCEL模板338个\学生档案表.xlt","学生档案表.xlt")</f>
        <v>学生档案表.xlt</v>
      </c>
      <c r="Q1750">
        <v>0.02</v>
      </c>
      <c r="R1750" s="7" t="str">
        <f t="shared" si="38"/>
        <v>E:\附赠：Excel模板\企业管理全套报表EXCEL模板\财务行政EXCEL模板338个</v>
      </c>
      <c r="S1750" s="9">
        <v>43600.3821990741</v>
      </c>
      <c r="T1750" s="9">
        <v>43390.5151388889</v>
      </c>
    </row>
    <row r="1751" spans="14:20">
      <c r="N1751" s="7" t="str">
        <f>HYPERLINK("E:\附赠：Excel模板\企业管理全套报表EXCEL模板\财务行政EXCEL模板338个\学生考勤表.xls","学生考勤表.xls")</f>
        <v>学生考勤表.xls</v>
      </c>
      <c r="Q1751">
        <v>0.04</v>
      </c>
      <c r="R1751" s="7" t="str">
        <f t="shared" si="38"/>
        <v>E:\附赠：Excel模板\企业管理全套报表EXCEL模板\财务行政EXCEL模板338个</v>
      </c>
      <c r="S1751" s="9">
        <v>43600.3821990741</v>
      </c>
      <c r="T1751" s="9">
        <v>43390.5151388889</v>
      </c>
    </row>
    <row r="1752" spans="14:20">
      <c r="N1752" s="7" t="str">
        <f>HYPERLINK("E:\附赠：Excel模板\企业管理全套报表EXCEL模板\财务行政EXCEL模板338个\学生考勤表.xlt","学生考勤表.xlt")</f>
        <v>学生考勤表.xlt</v>
      </c>
      <c r="Q1752">
        <v>0.04</v>
      </c>
      <c r="R1752" s="7" t="str">
        <f t="shared" si="38"/>
        <v>E:\附赠：Excel模板\企业管理全套报表EXCEL模板\财务行政EXCEL模板338个</v>
      </c>
      <c r="S1752" s="9">
        <v>43600.3821990741</v>
      </c>
      <c r="T1752" s="9">
        <v>43390.5151388889</v>
      </c>
    </row>
    <row r="1753" spans="14:20">
      <c r="N1753" s="7" t="str">
        <f>HYPERLINK("E:\附赠：Excel模板\企业管理全套报表EXCEL模板\财务行政EXCEL模板338个\学生资料.xls","学生资料.xls")</f>
        <v>学生资料.xls</v>
      </c>
      <c r="Q1753">
        <v>0.03</v>
      </c>
      <c r="R1753" s="7" t="str">
        <f t="shared" si="38"/>
        <v>E:\附赠：Excel模板\企业管理全套报表EXCEL模板\财务行政EXCEL模板338个</v>
      </c>
      <c r="S1753" s="9">
        <v>43600.3821990741</v>
      </c>
      <c r="T1753" s="9">
        <v>43390.5151388889</v>
      </c>
    </row>
    <row r="1754" spans="14:20">
      <c r="N1754" s="7" t="str">
        <f>HYPERLINK("E:\附赠：Excel模板\企业管理全套报表EXCEL模板\财务行政EXCEL模板338个\学生资料.xlt","学生资料.xlt")</f>
        <v>学生资料.xlt</v>
      </c>
      <c r="Q1754">
        <v>0.03</v>
      </c>
      <c r="R1754" s="7" t="str">
        <f t="shared" si="38"/>
        <v>E:\附赠：Excel模板\企业管理全套报表EXCEL模板\财务行政EXCEL模板338个</v>
      </c>
      <c r="S1754" s="9">
        <v>43600.3821990741</v>
      </c>
      <c r="T1754" s="9">
        <v>43390.5151388889</v>
      </c>
    </row>
    <row r="1755" spans="14:20">
      <c r="N1755" s="7" t="str">
        <f>HYPERLINK("E:\附赠：Excel模板\企业管理全套报表EXCEL模板\财务行政EXCEL模板338个\定性资料的假设检验.xls","定性资料的假设检验.xls")</f>
        <v>定性资料的假设检验.xls</v>
      </c>
      <c r="Q1755">
        <v>0.03</v>
      </c>
      <c r="R1755" s="7" t="str">
        <f t="shared" si="38"/>
        <v>E:\附赠：Excel模板\企业管理全套报表EXCEL模板\财务行政EXCEL模板338个</v>
      </c>
      <c r="S1755" s="9">
        <v>43600.3821990741</v>
      </c>
      <c r="T1755" s="9">
        <v>43390.515462963</v>
      </c>
    </row>
    <row r="1756" spans="14:20">
      <c r="N1756" s="7" t="str">
        <f>HYPERLINK("E:\附赠：Excel模板\企业管理全套报表EXCEL模板\财务行政EXCEL模板338个\定性资料的假设检验.xlt","定性资料的假设检验.xlt")</f>
        <v>定性资料的假设检验.xlt</v>
      </c>
      <c r="Q1756">
        <v>0.03</v>
      </c>
      <c r="R1756" s="7" t="str">
        <f t="shared" si="38"/>
        <v>E:\附赠：Excel模板\企业管理全套报表EXCEL模板\财务行政EXCEL模板338个</v>
      </c>
      <c r="S1756" s="9">
        <v>43600.3821990741</v>
      </c>
      <c r="T1756" s="9">
        <v>43390.515462963</v>
      </c>
    </row>
    <row r="1757" spans="14:20">
      <c r="N1757" s="7" t="str">
        <f>HYPERLINK("E:\附赠：Excel模板\企业管理全套报表EXCEL模板\财务行政EXCEL模板338个\定性资料的相对数.xls","定性资料的相对数.xls")</f>
        <v>定性资料的相对数.xls</v>
      </c>
      <c r="Q1757">
        <v>0.01</v>
      </c>
      <c r="R1757" s="7" t="str">
        <f t="shared" si="38"/>
        <v>E:\附赠：Excel模板\企业管理全套报表EXCEL模板\财务行政EXCEL模板338个</v>
      </c>
      <c r="S1757" s="9">
        <v>43600.3821990741</v>
      </c>
      <c r="T1757" s="9">
        <v>43390.515462963</v>
      </c>
    </row>
    <row r="1758" spans="14:20">
      <c r="N1758" s="7" t="str">
        <f>HYPERLINK("E:\附赠：Excel模板\企业管理全套报表EXCEL模板\财务行政EXCEL模板338个\定性资料的相对数.xlt","定性资料的相对数.xlt")</f>
        <v>定性资料的相对数.xlt</v>
      </c>
      <c r="Q1758">
        <v>0.01</v>
      </c>
      <c r="R1758" s="7" t="str">
        <f t="shared" si="38"/>
        <v>E:\附赠：Excel模板\企业管理全套报表EXCEL模板\财务行政EXCEL模板338个</v>
      </c>
      <c r="S1758" s="9">
        <v>43600.3821990741</v>
      </c>
      <c r="T1758" s="9">
        <v>43390.515462963</v>
      </c>
    </row>
    <row r="1759" spans="14:20">
      <c r="N1759" s="7" t="str">
        <f>HYPERLINK("E:\附赠：Excel模板\企业管理全套报表EXCEL模板\财务行政EXCEL模板338个\实例拓展.xls","实例拓展.xls")</f>
        <v>实例拓展.xls</v>
      </c>
      <c r="Q1759">
        <v>0.01</v>
      </c>
      <c r="R1759" s="7" t="str">
        <f t="shared" si="38"/>
        <v>E:\附赠：Excel模板\企业管理全套报表EXCEL模板\财务行政EXCEL模板338个</v>
      </c>
      <c r="S1759" s="9">
        <v>43600.3821990741</v>
      </c>
      <c r="T1759" s="9">
        <v>43390.5152314815</v>
      </c>
    </row>
    <row r="1760" spans="14:20">
      <c r="N1760" s="7" t="str">
        <f>HYPERLINK("E:\附赠：Excel模板\企业管理全套报表EXCEL模板\财务行政EXCEL模板338个\实例拓展.xlt","实例拓展.xlt")</f>
        <v>实例拓展.xlt</v>
      </c>
      <c r="Q1760">
        <v>0.01</v>
      </c>
      <c r="R1760" s="7" t="str">
        <f t="shared" si="38"/>
        <v>E:\附赠：Excel模板\企业管理全套报表EXCEL模板\财务行政EXCEL模板338个</v>
      </c>
      <c r="S1760" s="9">
        <v>43600.3821990741</v>
      </c>
      <c r="T1760" s="9">
        <v>43390.5152314815</v>
      </c>
    </row>
    <row r="1761" spans="14:20">
      <c r="N1761" s="7" t="str">
        <f>HYPERLINK("E:\附赠：Excel模板\企业管理全套报表EXCEL模板\财务行政EXCEL模板338个\实例拓展0 (1).xls","实例拓展0 (1).xls")</f>
        <v>实例拓展0 (1).xls</v>
      </c>
      <c r="Q1761">
        <v>0.12</v>
      </c>
      <c r="R1761" s="7" t="str">
        <f t="shared" si="38"/>
        <v>E:\附赠：Excel模板\企业管理全套报表EXCEL模板\财务行政EXCEL模板338个</v>
      </c>
      <c r="S1761" s="9">
        <v>43600.3821990741</v>
      </c>
      <c r="T1761" s="9">
        <v>43390.5152314815</v>
      </c>
    </row>
    <row r="1762" spans="14:20">
      <c r="N1762" s="7" t="str">
        <f>HYPERLINK("E:\附赠：Excel模板\企业管理全套报表EXCEL模板\财务行政EXCEL模板338个\实例拓展0.xls","实例拓展0.xls")</f>
        <v>实例拓展0.xls</v>
      </c>
      <c r="Q1762">
        <v>0.04</v>
      </c>
      <c r="R1762" s="7" t="str">
        <f t="shared" si="38"/>
        <v>E:\附赠：Excel模板\企业管理全套报表EXCEL模板\财务行政EXCEL模板338个</v>
      </c>
      <c r="S1762" s="9">
        <v>43600.3821990741</v>
      </c>
      <c r="T1762" s="9">
        <v>43390.5152314815</v>
      </c>
    </row>
    <row r="1763" spans="14:20">
      <c r="N1763" s="7" t="str">
        <f>HYPERLINK("E:\附赠：Excel模板\企业管理全套报表EXCEL模板\财务行政EXCEL模板338个\实例拓展007.xls","实例拓展007.xls")</f>
        <v>实例拓展007.xls</v>
      </c>
      <c r="Q1763">
        <v>0.02</v>
      </c>
      <c r="R1763" s="7" t="str">
        <f t="shared" si="38"/>
        <v>E:\附赠：Excel模板\企业管理全套报表EXCEL模板\财务行政EXCEL模板338个</v>
      </c>
      <c r="S1763" s="9">
        <v>43600.3821990741</v>
      </c>
      <c r="T1763" s="9">
        <v>43390.5152314815</v>
      </c>
    </row>
    <row r="1764" spans="14:20">
      <c r="N1764" s="7" t="str">
        <f>HYPERLINK("E:\附赠：Excel模板\企业管理全套报表EXCEL模板\财务行政EXCEL模板338个\实例拓展05.xls","实例拓展05.xls")</f>
        <v>实例拓展05.xls</v>
      </c>
      <c r="Q1764">
        <v>0.02</v>
      </c>
      <c r="R1764" s="7" t="str">
        <f t="shared" si="38"/>
        <v>E:\附赠：Excel模板\企业管理全套报表EXCEL模板\财务行政EXCEL模板338个</v>
      </c>
      <c r="S1764" s="9">
        <v>43600.3821990741</v>
      </c>
      <c r="T1764" s="9">
        <v>43390.5152314815</v>
      </c>
    </row>
    <row r="1765" spans="14:20">
      <c r="N1765" s="7" t="str">
        <f>HYPERLINK("E:\附赠：Excel模板\企业管理全套报表EXCEL模板\财务行政EXCEL模板338个\实例拓展08.xls","实例拓展08.xls")</f>
        <v>实例拓展08.xls</v>
      </c>
      <c r="Q1765">
        <v>0.02</v>
      </c>
      <c r="R1765" s="7" t="str">
        <f t="shared" si="38"/>
        <v>E:\附赠：Excel模板\企业管理全套报表EXCEL模板\财务行政EXCEL模板338个</v>
      </c>
      <c r="S1765" s="9">
        <v>43600.3821990741</v>
      </c>
      <c r="T1765" s="9">
        <v>43390.5152314815</v>
      </c>
    </row>
    <row r="1766" spans="14:20">
      <c r="N1766" s="7" t="str">
        <f>HYPERLINK("E:\附赠：Excel模板\企业管理全套报表EXCEL模板\财务行政EXCEL模板338个\实例拓展11.xlt","实例拓展11.xlt")</f>
        <v>实例拓展11.xlt</v>
      </c>
      <c r="Q1766">
        <v>0.04</v>
      </c>
      <c r="R1766" s="7" t="str">
        <f t="shared" si="38"/>
        <v>E:\附赠：Excel模板\企业管理全套报表EXCEL模板\财务行政EXCEL模板338个</v>
      </c>
      <c r="S1766" s="9">
        <v>43600.3821990741</v>
      </c>
      <c r="T1766" s="9">
        <v>43390.5152314815</v>
      </c>
    </row>
    <row r="1767" spans="14:20">
      <c r="N1767" s="7" t="str">
        <f>HYPERLINK("E:\附赠：Excel模板\企业管理全套报表EXCEL模板\财务行政EXCEL模板338个\实例拓展12.xls","实例拓展12.xls")</f>
        <v>实例拓展12.xls</v>
      </c>
      <c r="Q1767">
        <v>0.01</v>
      </c>
      <c r="R1767" s="7" t="str">
        <f t="shared" si="38"/>
        <v>E:\附赠：Excel模板\企业管理全套报表EXCEL模板\财务行政EXCEL模板338个</v>
      </c>
      <c r="S1767" s="9">
        <v>43600.3821990741</v>
      </c>
      <c r="T1767" s="9">
        <v>43390.5152314815</v>
      </c>
    </row>
    <row r="1768" spans="14:20">
      <c r="N1768" s="7" t="str">
        <f>HYPERLINK("E:\附赠：Excel模板\企业管理全套报表EXCEL模板\财务行政EXCEL模板338个\实例拓展12.xlt","实例拓展12.xlt")</f>
        <v>实例拓展12.xlt</v>
      </c>
      <c r="Q1768">
        <v>0.01</v>
      </c>
      <c r="R1768" s="7" t="str">
        <f t="shared" si="38"/>
        <v>E:\附赠：Excel模板\企业管理全套报表EXCEL模板\财务行政EXCEL模板338个</v>
      </c>
      <c r="S1768" s="9">
        <v>43600.3821990741</v>
      </c>
      <c r="T1768" s="9">
        <v>43390.5152314815</v>
      </c>
    </row>
    <row r="1769" spans="14:20">
      <c r="N1769" s="7" t="str">
        <f>HYPERLINK("E:\附赠：Excel模板\企业管理全套报表EXCEL模板\财务行政EXCEL模板338个\实例拓展14.xlt","实例拓展14.xlt")</f>
        <v>实例拓展14.xlt</v>
      </c>
      <c r="Q1769">
        <v>0.02</v>
      </c>
      <c r="R1769" s="7" t="str">
        <f t="shared" si="38"/>
        <v>E:\附赠：Excel模板\企业管理全套报表EXCEL模板\财务行政EXCEL模板338个</v>
      </c>
      <c r="S1769" s="9">
        <v>43600.3821990741</v>
      </c>
      <c r="T1769" s="9">
        <v>43390.5152314815</v>
      </c>
    </row>
    <row r="1770" spans="14:20">
      <c r="N1770" s="7" t="str">
        <f>HYPERLINK("E:\附赠：Excel模板\企业管理全套报表EXCEL模板\财务行政EXCEL模板338个\实例拓展3.xls","实例拓展3.xls")</f>
        <v>实例拓展3.xls</v>
      </c>
      <c r="Q1770">
        <v>0.01</v>
      </c>
      <c r="R1770" s="7" t="str">
        <f t="shared" si="38"/>
        <v>E:\附赠：Excel模板\企业管理全套报表EXCEL模板\财务行政EXCEL模板338个</v>
      </c>
      <c r="S1770" s="9">
        <v>43600.3821990741</v>
      </c>
      <c r="T1770" s="9">
        <v>43390.5152314815</v>
      </c>
    </row>
    <row r="1771" spans="14:20">
      <c r="N1771" s="7" t="str">
        <f>HYPERLINK("E:\附赠：Excel模板\企业管理全套报表EXCEL模板\财务行政EXCEL模板338个\实例拓展31.xls","实例拓展31.xls")</f>
        <v>实例拓展31.xls</v>
      </c>
      <c r="Q1771">
        <v>0.02</v>
      </c>
      <c r="R1771" s="7" t="str">
        <f t="shared" si="38"/>
        <v>E:\附赠：Excel模板\企业管理全套报表EXCEL模板\财务行政EXCEL模板338个</v>
      </c>
      <c r="S1771" s="9">
        <v>43600.3821990741</v>
      </c>
      <c r="T1771" s="9">
        <v>43390.5152314815</v>
      </c>
    </row>
    <row r="1772" spans="14:20">
      <c r="N1772" s="7" t="str">
        <f>HYPERLINK("E:\附赠：Excel模板\企业管理全套报表EXCEL模板\财务行政EXCEL模板338个\实例拓展32.xls","实例拓展32.xls")</f>
        <v>实例拓展32.xls</v>
      </c>
      <c r="Q1772">
        <v>0.02</v>
      </c>
      <c r="R1772" s="7" t="str">
        <f t="shared" si="38"/>
        <v>E:\附赠：Excel模板\企业管理全套报表EXCEL模板\财务行政EXCEL模板338个</v>
      </c>
      <c r="S1772" s="9">
        <v>43600.3821990741</v>
      </c>
      <c r="T1772" s="9">
        <v>43390.5152314815</v>
      </c>
    </row>
    <row r="1773" spans="14:20">
      <c r="N1773" s="7" t="str">
        <f>HYPERLINK("E:\附赠：Excel模板\企业管理全套报表EXCEL模板\财务行政EXCEL模板338个\实例拓展44.xls","实例拓展44.xls")</f>
        <v>实例拓展44.xls</v>
      </c>
      <c r="Q1773">
        <v>0.02</v>
      </c>
      <c r="R1773" s="7" t="str">
        <f t="shared" si="38"/>
        <v>E:\附赠：Excel模板\企业管理全套报表EXCEL模板\财务行政EXCEL模板338个</v>
      </c>
      <c r="S1773" s="9">
        <v>43600.3821990741</v>
      </c>
      <c r="T1773" s="9">
        <v>43390.5152314815</v>
      </c>
    </row>
    <row r="1774" spans="14:20">
      <c r="N1774" s="7" t="str">
        <f>HYPERLINK("E:\附赠：Excel模板\企业管理全套报表EXCEL模板\财务行政EXCEL模板338个\实例拓展6.xlt","实例拓展6.xlt")</f>
        <v>实例拓展6.xlt</v>
      </c>
      <c r="Q1774">
        <v>0.01</v>
      </c>
      <c r="R1774" s="7" t="str">
        <f t="shared" si="38"/>
        <v>E:\附赠：Excel模板\企业管理全套报表EXCEL模板\财务行政EXCEL模板338个</v>
      </c>
      <c r="S1774" s="9">
        <v>43600.3821990741</v>
      </c>
      <c r="T1774" s="9">
        <v>43390.5152083333</v>
      </c>
    </row>
    <row r="1775" spans="14:20">
      <c r="N1775" s="7" t="str">
        <f>HYPERLINK("E:\附赠：Excel模板\企业管理全套报表EXCEL模板\财务行政EXCEL模板338个\实例拓展78.xls","实例拓展78.xls")</f>
        <v>实例拓展78.xls</v>
      </c>
      <c r="Q1775">
        <v>0.02</v>
      </c>
      <c r="R1775" s="7" t="str">
        <f t="shared" si="38"/>
        <v>E:\附赠：Excel模板\企业管理全套报表EXCEL模板\财务行政EXCEL模板338个</v>
      </c>
      <c r="S1775" s="9">
        <v>43600.3821990741</v>
      </c>
      <c r="T1775" s="9">
        <v>43390.5152083333</v>
      </c>
    </row>
    <row r="1776" spans="14:20">
      <c r="N1776" s="7" t="str">
        <f>HYPERLINK("E:\附赠：Excel模板\企业管理全套报表EXCEL模板\财务行政EXCEL模板338个\实例拓展98.xls","实例拓展98.xls")</f>
        <v>实例拓展98.xls</v>
      </c>
      <c r="Q1776">
        <v>0.01</v>
      </c>
      <c r="R1776" s="7" t="str">
        <f t="shared" si="38"/>
        <v>E:\附赠：Excel模板\企业管理全套报表EXCEL模板\财务行政EXCEL模板338个</v>
      </c>
      <c r="S1776" s="9">
        <v>43600.3821990741</v>
      </c>
      <c r="T1776" s="9">
        <v>43390.5152083333</v>
      </c>
    </row>
    <row r="1777" spans="14:20">
      <c r="N1777" s="7" t="str">
        <f>HYPERLINK("E:\附赠：Excel模板\企业管理全套报表EXCEL模板\财务行政EXCEL模板338个\客户审批单.xls","客户审批单.xls")</f>
        <v>客户审批单.xls</v>
      </c>
      <c r="Q1777">
        <v>0.02</v>
      </c>
      <c r="R1777" s="7" t="str">
        <f t="shared" si="38"/>
        <v>E:\附赠：Excel模板\企业管理全套报表EXCEL模板\财务行政EXCEL模板338个</v>
      </c>
      <c r="S1777" s="9">
        <v>43600.3821990741</v>
      </c>
      <c r="T1777" s="9">
        <v>43390.5153472222</v>
      </c>
    </row>
    <row r="1778" spans="14:20">
      <c r="N1778" s="7" t="str">
        <f>HYPERLINK("E:\附赠：Excel模板\企业管理全套报表EXCEL模板\财务行政EXCEL模板338个\客户审批单.xlt","客户审批单.xlt")</f>
        <v>客户审批单.xlt</v>
      </c>
      <c r="Q1778">
        <v>0.02</v>
      </c>
      <c r="R1778" s="7" t="str">
        <f t="shared" si="38"/>
        <v>E:\附赠：Excel模板\企业管理全套报表EXCEL模板\财务行政EXCEL模板338个</v>
      </c>
      <c r="S1778" s="9">
        <v>43600.3821990741</v>
      </c>
      <c r="T1778" s="9">
        <v>43390.5153240741</v>
      </c>
    </row>
    <row r="1779" spans="14:20">
      <c r="N1779" s="7" t="str">
        <f>HYPERLINK("E:\附赠：Excel模板\企业管理全套报表EXCEL模板\财务行政EXCEL模板338个\客户档案表.xls","客户档案表.xls")</f>
        <v>客户档案表.xls</v>
      </c>
      <c r="Q1779">
        <v>0.02</v>
      </c>
      <c r="R1779" s="7" t="str">
        <f t="shared" si="38"/>
        <v>E:\附赠：Excel模板\企业管理全套报表EXCEL模板\财务行政EXCEL模板338个</v>
      </c>
      <c r="S1779" s="9">
        <v>43600.3821990741</v>
      </c>
      <c r="T1779" s="9">
        <v>43390.5153472222</v>
      </c>
    </row>
    <row r="1780" spans="14:20">
      <c r="N1780" s="7" t="str">
        <f>HYPERLINK("E:\附赠：Excel模板\企业管理全套报表EXCEL模板\财务行政EXCEL模板338个\客户档案表.xlt","客户档案表.xlt")</f>
        <v>客户档案表.xlt</v>
      </c>
      <c r="Q1780">
        <v>0.02</v>
      </c>
      <c r="R1780" s="7" t="str">
        <f t="shared" si="38"/>
        <v>E:\附赠：Excel模板\企业管理全套报表EXCEL模板\财务行政EXCEL模板338个</v>
      </c>
      <c r="S1780" s="9">
        <v>43600.3821990741</v>
      </c>
      <c r="T1780" s="9">
        <v>43390.5153472222</v>
      </c>
    </row>
    <row r="1781" spans="14:20">
      <c r="N1781" s="7" t="str">
        <f>HYPERLINK("E:\附赠：Excel模板\企业管理全套报表EXCEL模板\财务行政EXCEL模板338个\客户资料管理.xlt","客户资料管理.xlt")</f>
        <v>客户资料管理.xlt</v>
      </c>
      <c r="Q1781">
        <v>0.12</v>
      </c>
      <c r="R1781" s="7" t="str">
        <f t="shared" si="38"/>
        <v>E:\附赠：Excel模板\企业管理全套报表EXCEL模板\财务行政EXCEL模板338个</v>
      </c>
      <c r="S1781" s="9">
        <v>43600.3821990741</v>
      </c>
      <c r="T1781" s="9">
        <v>43390.5153472222</v>
      </c>
    </row>
    <row r="1782" spans="14:20">
      <c r="N1782" s="7" t="str">
        <f>HYPERLINK("E:\附赠：Excel模板\企业管理全套报表EXCEL模板\财务行政EXCEL模板338个\客户资料管理表.xls","客户资料管理表.xls")</f>
        <v>客户资料管理表.xls</v>
      </c>
      <c r="Q1782">
        <v>0.09</v>
      </c>
      <c r="R1782" s="7" t="str">
        <f t="shared" si="38"/>
        <v>E:\附赠：Excel模板\企业管理全套报表EXCEL模板\财务行政EXCEL模板338个</v>
      </c>
      <c r="S1782" s="9">
        <v>43600.3821990741</v>
      </c>
      <c r="T1782" s="9">
        <v>43390.5153240741</v>
      </c>
    </row>
    <row r="1783" spans="14:20">
      <c r="N1783" s="7" t="str">
        <f>HYPERLINK("E:\附赠：Excel模板\企业管理全套报表EXCEL模板\财务行政EXCEL模板338个\客户资料管理表.xlt","客户资料管理表.xlt")</f>
        <v>客户资料管理表.xlt</v>
      </c>
      <c r="Q1783">
        <v>0.09</v>
      </c>
      <c r="R1783" s="7" t="str">
        <f t="shared" si="38"/>
        <v>E:\附赠：Excel模板\企业管理全套报表EXCEL模板\财务行政EXCEL模板338个</v>
      </c>
      <c r="S1783" s="9">
        <v>43600.3821990741</v>
      </c>
      <c r="T1783" s="9">
        <v>43390.5153240741</v>
      </c>
    </row>
    <row r="1784" spans="14:20">
      <c r="N1784" s="7" t="str">
        <f>HYPERLINK("E:\附赠：Excel模板\企业管理全套报表EXCEL模板\财务行政EXCEL模板338个\工作任务分配时间表.xlt","工作任务分配时间表.xlt")</f>
        <v>工作任务分配时间表.xlt</v>
      </c>
      <c r="Q1784">
        <v>0.03</v>
      </c>
      <c r="R1784" s="7" t="str">
        <f t="shared" si="38"/>
        <v>E:\附赠：Excel模板\企业管理全套报表EXCEL模板\财务行政EXCEL模板338个</v>
      </c>
      <c r="S1784" s="9">
        <v>43600.3821990741</v>
      </c>
      <c r="T1784" s="9">
        <v>43390.5154166667</v>
      </c>
    </row>
    <row r="1785" spans="14:20">
      <c r="N1785" s="7" t="str">
        <f>HYPERLINK("E:\附赠：Excel模板\企业管理全套报表EXCEL模板\财务行政EXCEL模板338个\工资管理.xls","工资管理.xls")</f>
        <v>工资管理.xls</v>
      </c>
      <c r="Q1785">
        <v>0.13</v>
      </c>
      <c r="R1785" s="7" t="str">
        <f t="shared" si="38"/>
        <v>E:\附赠：Excel模板\企业管理全套报表EXCEL模板\财务行政EXCEL模板338个</v>
      </c>
      <c r="S1785" s="9">
        <v>43600.3821990741</v>
      </c>
      <c r="T1785" s="9">
        <v>43390.5154398148</v>
      </c>
    </row>
    <row r="1786" spans="14:20">
      <c r="N1786" s="7" t="str">
        <f>HYPERLINK("E:\附赠：Excel模板\企业管理全套报表EXCEL模板\财务行政EXCEL模板338个\工资管理.xlt","工资管理.xlt")</f>
        <v>工资管理.xlt</v>
      </c>
      <c r="Q1786">
        <v>0.13</v>
      </c>
      <c r="R1786" s="7" t="str">
        <f t="shared" si="38"/>
        <v>E:\附赠：Excel模板\企业管理全套报表EXCEL模板\财务行政EXCEL模板338个</v>
      </c>
      <c r="S1786" s="9">
        <v>43600.3821990741</v>
      </c>
      <c r="T1786" s="9">
        <v>43390.5154398148</v>
      </c>
    </row>
    <row r="1787" spans="14:20">
      <c r="N1787" s="7" t="str">
        <f>HYPERLINK("E:\附赠：Excel模板\企业管理全套报表EXCEL模板\财务行政EXCEL模板338个\工资管理系统.xls","工资管理系统.xls")</f>
        <v>工资管理系统.xls</v>
      </c>
      <c r="Q1787">
        <v>0.07</v>
      </c>
      <c r="R1787" s="7" t="str">
        <f t="shared" si="38"/>
        <v>E:\附赠：Excel模板\企业管理全套报表EXCEL模板\财务行政EXCEL模板338个</v>
      </c>
      <c r="S1787" s="9">
        <v>43600.3821990741</v>
      </c>
      <c r="T1787" s="9">
        <v>43390.5154166667</v>
      </c>
    </row>
    <row r="1788" spans="14:20">
      <c r="N1788" s="7" t="str">
        <f>HYPERLINK("E:\附赠：Excel模板\企业管理全套报表EXCEL模板\财务行政EXCEL模板338个\工资管理系统.xlt","工资管理系统.xlt")</f>
        <v>工资管理系统.xlt</v>
      </c>
      <c r="Q1788">
        <v>0.25</v>
      </c>
      <c r="R1788" s="7" t="str">
        <f t="shared" si="38"/>
        <v>E:\附赠：Excel模板\企业管理全套报表EXCEL模板\财务行政EXCEL模板338个</v>
      </c>
      <c r="S1788" s="9">
        <v>43600.3821990741</v>
      </c>
      <c r="T1788" s="9">
        <v>43390.5154166667</v>
      </c>
    </row>
    <row r="1789" spans="14:20">
      <c r="N1789" s="7" t="str">
        <f>HYPERLINK("E:\附赠：Excel模板\企业管理全套报表EXCEL模板\财务行政EXCEL模板338个\差旅费报晓单.xlt","差旅费报晓单.xlt")</f>
        <v>差旅费报晓单.xlt</v>
      </c>
      <c r="Q1789">
        <v>0.02</v>
      </c>
      <c r="R1789" s="7" t="str">
        <f t="shared" si="38"/>
        <v>E:\附赠：Excel模板\企业管理全套报表EXCEL模板\财务行政EXCEL模板338个</v>
      </c>
      <c r="S1789" s="9">
        <v>43600.3821990741</v>
      </c>
      <c r="T1789" s="9">
        <v>43390.5155324074</v>
      </c>
    </row>
    <row r="1790" spans="14:20">
      <c r="N1790" s="7" t="str">
        <f>HYPERLINK("E:\附赠：Excel模板\企业管理全套报表EXCEL模板\财务行政EXCEL模板338个\市场调查问卷数据管理.xls","市场调查问卷数据管理.xls")</f>
        <v>市场调查问卷数据管理.xls</v>
      </c>
      <c r="Q1790">
        <v>0.08</v>
      </c>
      <c r="R1790" s="7" t="str">
        <f t="shared" si="38"/>
        <v>E:\附赠：Excel模板\企业管理全套报表EXCEL模板\财务行政EXCEL模板338个</v>
      </c>
      <c r="S1790" s="9">
        <v>43600.3821990741</v>
      </c>
      <c r="T1790" s="9">
        <v>43390.5152083333</v>
      </c>
    </row>
    <row r="1791" spans="14:20">
      <c r="N1791" s="7" t="str">
        <f>HYPERLINK("E:\附赠：Excel模板\企业管理全套报表EXCEL模板\财务行政EXCEL模板338个\市场调查问卷数据管理.xlt","市场调查问卷数据管理.xlt")</f>
        <v>市场调查问卷数据管理.xlt</v>
      </c>
      <c r="Q1791">
        <v>0.08</v>
      </c>
      <c r="R1791" s="7" t="str">
        <f t="shared" si="38"/>
        <v>E:\附赠：Excel模板\企业管理全套报表EXCEL模板\财务行政EXCEL模板338个</v>
      </c>
      <c r="S1791" s="9">
        <v>43600.3821990741</v>
      </c>
      <c r="T1791" s="9">
        <v>43390.5152083333</v>
      </c>
    </row>
    <row r="1792" spans="14:20">
      <c r="N1792" s="7" t="str">
        <f>HYPERLINK("E:\附赠：Excel模板\企业管理全套报表EXCEL模板\财务行政EXCEL模板338个\市场调研问卷.xls","市场调研问卷.xls")</f>
        <v>市场调研问卷.xls</v>
      </c>
      <c r="Q1792">
        <v>0.05</v>
      </c>
      <c r="R1792" s="7" t="str">
        <f t="shared" si="38"/>
        <v>E:\附赠：Excel模板\企业管理全套报表EXCEL模板\财务行政EXCEL模板338个</v>
      </c>
      <c r="S1792" s="9">
        <v>43600.3821990741</v>
      </c>
      <c r="T1792" s="9">
        <v>43390.5152083333</v>
      </c>
    </row>
    <row r="1793" spans="14:20">
      <c r="N1793" s="7" t="str">
        <f>HYPERLINK("E:\附赠：Excel模板\企业管理全套报表EXCEL模板\财务行政EXCEL模板338个\市场调研问卷.xlt","市场调研问卷.xlt")</f>
        <v>市场调研问卷.xlt</v>
      </c>
      <c r="Q1793">
        <v>0.05</v>
      </c>
      <c r="R1793" s="7" t="str">
        <f t="shared" si="38"/>
        <v>E:\附赠：Excel模板\企业管理全套报表EXCEL模板\财务行政EXCEL模板338个</v>
      </c>
      <c r="S1793" s="9">
        <v>43600.3821990741</v>
      </c>
      <c r="T1793" s="9">
        <v>43390.5152083333</v>
      </c>
    </row>
    <row r="1794" spans="14:20">
      <c r="N1794" s="7" t="str">
        <f>HYPERLINK("E:\附赠：Excel模板\企业管理全套报表EXCEL模板\财务行政EXCEL模板338个\年度收支预算表.xlt","年度收支预算表.xlt")</f>
        <v>年度收支预算表.xlt</v>
      </c>
      <c r="Q1794">
        <v>0.05</v>
      </c>
      <c r="R1794" s="7" t="str">
        <f t="shared" si="38"/>
        <v>E:\附赠：Excel模板\企业管理全套报表EXCEL模板\财务行政EXCEL模板338个</v>
      </c>
      <c r="S1794" s="9">
        <v>43600.3821990741</v>
      </c>
      <c r="T1794" s="9">
        <v>43390.5153009259</v>
      </c>
    </row>
    <row r="1795" spans="14:20">
      <c r="N1795" s="7" t="str">
        <f>HYPERLINK("E:\附赠：Excel模板\企业管理全套报表EXCEL模板\财务行政EXCEL模板338个\年度考核.xls","年度考核.xls")</f>
        <v>年度考核.xls</v>
      </c>
      <c r="Q1795">
        <v>0.04</v>
      </c>
      <c r="R1795" s="7" t="str">
        <f t="shared" si="38"/>
        <v>E:\附赠：Excel模板\企业管理全套报表EXCEL模板\财务行政EXCEL模板338个</v>
      </c>
      <c r="S1795" s="9">
        <v>43600.3821990741</v>
      </c>
      <c r="T1795" s="9">
        <v>43390.5153009259</v>
      </c>
    </row>
    <row r="1796" spans="14:20">
      <c r="N1796" s="7" t="str">
        <f>HYPERLINK("E:\附赠：Excel模板\企业管理全套报表EXCEL模板\财务行政EXCEL模板338个\年度考核.xlt","年度考核.xlt")</f>
        <v>年度考核.xlt</v>
      </c>
      <c r="Q1796">
        <v>0.04</v>
      </c>
      <c r="R1796" s="7" t="str">
        <f t="shared" si="38"/>
        <v>E:\附赠：Excel模板\企业管理全套报表EXCEL模板\财务行政EXCEL模板338个</v>
      </c>
      <c r="S1796" s="9">
        <v>43600.3821990741</v>
      </c>
      <c r="T1796" s="9">
        <v>43390.5153240741</v>
      </c>
    </row>
    <row r="1797" spans="14:20">
      <c r="N1797" s="7" t="str">
        <f>HYPERLINK("E:\附赠：Excel模板\企业管理全套报表EXCEL模板\财务行政EXCEL模板338个\广告预算分配方案.xlt","广告预算分配方案.xlt")</f>
        <v>广告预算分配方案.xlt</v>
      </c>
      <c r="Q1797">
        <v>0.02</v>
      </c>
      <c r="R1797" s="7" t="str">
        <f t="shared" si="38"/>
        <v>E:\附赠：Excel模板\企业管理全套报表EXCEL模板\财务行政EXCEL模板338个</v>
      </c>
      <c r="S1797" s="9">
        <v>43600.3821990741</v>
      </c>
      <c r="T1797" s="9">
        <v>43390.5154166667</v>
      </c>
    </row>
    <row r="1798" spans="14:20">
      <c r="N1798" s="7" t="str">
        <f>HYPERLINK("E:\附赠：Excel模板\企业管理全套报表EXCEL模板\财务行政EXCEL模板338个\应收账款账龄分析.xlt","应收账款账龄分析.xlt")</f>
        <v>应收账款账龄分析.xlt</v>
      </c>
      <c r="Q1798">
        <v>0.02</v>
      </c>
      <c r="R1798" s="7" t="str">
        <f t="shared" si="38"/>
        <v>E:\附赠：Excel模板\企业管理全套报表EXCEL模板\财务行政EXCEL模板338个</v>
      </c>
      <c r="S1798" s="9">
        <v>43600.3821990741</v>
      </c>
      <c r="T1798" s="9">
        <v>43390.5151157407</v>
      </c>
    </row>
    <row r="1799" spans="14:20">
      <c r="N1799" s="7" t="str">
        <f>HYPERLINK("E:\附赠：Excel模板\企业管理全套报表EXCEL模板\财务行政EXCEL模板338个\座位编排.xls","座位编排.xls")</f>
        <v>座位编排.xls</v>
      </c>
      <c r="Q1799">
        <v>0.03</v>
      </c>
      <c r="R1799" s="7" t="str">
        <f t="shared" si="38"/>
        <v>E:\附赠：Excel模板\企业管理全套报表EXCEL模板\财务行政EXCEL模板338个</v>
      </c>
      <c r="S1799" s="9">
        <v>43600.3821990741</v>
      </c>
      <c r="T1799" s="9">
        <v>43390.5150462963</v>
      </c>
    </row>
    <row r="1800" spans="14:20">
      <c r="N1800" s="7" t="str">
        <f>HYPERLINK("E:\附赠：Excel模板\企业管理全套报表EXCEL模板\财务行政EXCEL模板338个\座位编排.xlt","座位编排.xlt")</f>
        <v>座位编排.xlt</v>
      </c>
      <c r="Q1800">
        <v>0.03</v>
      </c>
      <c r="R1800" s="7" t="str">
        <f t="shared" si="38"/>
        <v>E:\附赠：Excel模板\企业管理全套报表EXCEL模板\财务行政EXCEL模板338个</v>
      </c>
      <c r="S1800" s="9">
        <v>43600.3821990741</v>
      </c>
      <c r="T1800" s="9">
        <v>43390.5150462963</v>
      </c>
    </row>
    <row r="1801" spans="14:20">
      <c r="N1801" s="7" t="str">
        <f>HYPERLINK("E:\附赠：Excel模板\企业管理全套报表EXCEL模板\财务行政EXCEL模板338个\建立复杂级联菜单.xls","建立复杂级联菜单.xls")</f>
        <v>建立复杂级联菜单.xls</v>
      </c>
      <c r="Q1801">
        <v>0.03</v>
      </c>
      <c r="R1801" s="7" t="str">
        <f t="shared" si="38"/>
        <v>E:\附赠：Excel模板\企业管理全套报表EXCEL模板\财务行政EXCEL模板338个</v>
      </c>
      <c r="S1801" s="9">
        <v>43600.3821990741</v>
      </c>
      <c r="T1801" s="9">
        <v>43390.5153703704</v>
      </c>
    </row>
    <row r="1802" spans="14:20">
      <c r="N1802" s="7" t="str">
        <f>HYPERLINK("E:\附赠：Excel模板\企业管理全套报表EXCEL模板\财务行政EXCEL模板338个\建立复杂级联菜单.xlt","建立复杂级联菜单.xlt")</f>
        <v>建立复杂级联菜单.xlt</v>
      </c>
      <c r="Q1802">
        <v>0.03</v>
      </c>
      <c r="R1802" s="7" t="str">
        <f t="shared" si="38"/>
        <v>E:\附赠：Excel模板\企业管理全套报表EXCEL模板\财务行政EXCEL模板338个</v>
      </c>
      <c r="S1802" s="9">
        <v>43600.3821990741</v>
      </c>
      <c r="T1802" s="9">
        <v>43390.5153703704</v>
      </c>
    </row>
    <row r="1803" spans="14:20">
      <c r="N1803" s="7" t="str">
        <f>HYPERLINK("E:\附赠：Excel模板\企业管理全套报表EXCEL模板\财务行政EXCEL模板338个\往来账款的处理.xls","往来账款的处理.xls")</f>
        <v>往来账款的处理.xls</v>
      </c>
      <c r="Q1803">
        <v>0.11</v>
      </c>
      <c r="R1803" s="7" t="str">
        <f t="shared" si="38"/>
        <v>E:\附赠：Excel模板\企业管理全套报表EXCEL模板\财务行政EXCEL模板338个</v>
      </c>
      <c r="S1803" s="9">
        <v>43600.3821990741</v>
      </c>
      <c r="T1803" s="9">
        <v>43390.5151851852</v>
      </c>
    </row>
    <row r="1804" spans="14:20">
      <c r="N1804" s="7" t="str">
        <f>HYPERLINK("E:\附赠：Excel模板\企业管理全套报表EXCEL模板\财务行政EXCEL模板338个\往来账款的处理.xlt","往来账款的处理.xlt")</f>
        <v>往来账款的处理.xlt</v>
      </c>
      <c r="Q1804">
        <v>0.11</v>
      </c>
      <c r="R1804" s="7" t="str">
        <f t="shared" si="38"/>
        <v>E:\附赠：Excel模板\企业管理全套报表EXCEL模板\财务行政EXCEL模板338个</v>
      </c>
      <c r="S1804" s="9">
        <v>43600.3821990741</v>
      </c>
      <c r="T1804" s="9">
        <v>43390.5151851852</v>
      </c>
    </row>
    <row r="1805" spans="14:20">
      <c r="N1805" s="7" t="str">
        <f>HYPERLINK("E:\附赠：Excel模板\企业管理全套报表EXCEL模板\财务行政EXCEL模板338个\成本分析.xls","成本分析.xls")</f>
        <v>成本分析.xls</v>
      </c>
      <c r="Q1805">
        <v>0.02</v>
      </c>
      <c r="R1805" s="7" t="str">
        <f t="shared" si="38"/>
        <v>E:\附赠：Excel模板\企业管理全套报表EXCEL模板\财务行政EXCEL模板338个</v>
      </c>
      <c r="S1805" s="9">
        <v>43600.3821990741</v>
      </c>
      <c r="T1805" s="9">
        <v>43390.5155092593</v>
      </c>
    </row>
    <row r="1806" spans="14:20">
      <c r="N1806" s="7" t="str">
        <f>HYPERLINK("E:\附赠：Excel模板\企业管理全套报表EXCEL模板\财务行政EXCEL模板338个\成本分析.xlt","成本分析.xlt")</f>
        <v>成本分析.xlt</v>
      </c>
      <c r="Q1806">
        <v>0.02</v>
      </c>
      <c r="R1806" s="7" t="str">
        <f t="shared" si="38"/>
        <v>E:\附赠：Excel模板\企业管理全套报表EXCEL模板\财务行政EXCEL模板338个</v>
      </c>
      <c r="S1806" s="9">
        <v>43600.3821990741</v>
      </c>
      <c r="T1806" s="9">
        <v>43390.5155092593</v>
      </c>
    </row>
    <row r="1807" spans="14:20">
      <c r="N1807" s="7" t="str">
        <f>HYPERLINK("E:\附赠：Excel模板\企业管理全套报表EXCEL模板\财务行政EXCEL模板338个\成本分析模板.xlt","成本分析模板.xlt")</f>
        <v>成本分析模板.xlt</v>
      </c>
      <c r="Q1807">
        <v>0.02</v>
      </c>
      <c r="R1807" s="7" t="str">
        <f t="shared" si="38"/>
        <v>E:\附赠：Excel模板\企业管理全套报表EXCEL模板\财务行政EXCEL模板338个</v>
      </c>
      <c r="S1807" s="9">
        <v>43600.3821990741</v>
      </c>
      <c r="T1807" s="9">
        <v>43390.5155092593</v>
      </c>
    </row>
    <row r="1808" spans="14:20">
      <c r="N1808" s="7" t="str">
        <f>HYPERLINK("E:\附赠：Excel模板\企业管理全套报表EXCEL模板\财务行政EXCEL模板338个\成本预测.xls","成本预测.xls")</f>
        <v>成本预测.xls</v>
      </c>
      <c r="Q1808">
        <v>0.02</v>
      </c>
      <c r="R1808" s="7" t="str">
        <f t="shared" si="38"/>
        <v>E:\附赠：Excel模板\企业管理全套报表EXCEL模板\财务行政EXCEL模板338个</v>
      </c>
      <c r="S1808" s="9">
        <v>43600.3821990741</v>
      </c>
      <c r="T1808" s="9">
        <v>43390.5155092593</v>
      </c>
    </row>
    <row r="1809" spans="14:20">
      <c r="N1809" s="7" t="str">
        <f>HYPERLINK("E:\附赠：Excel模板\企业管理全套报表EXCEL模板\财务行政EXCEL模板338个\成本预测.xlt","成本预测.xlt")</f>
        <v>成本预测.xlt</v>
      </c>
      <c r="Q1809">
        <v>0.02</v>
      </c>
      <c r="R1809" s="7" t="str">
        <f t="shared" si="38"/>
        <v>E:\附赠：Excel模板\企业管理全套报表EXCEL模板\财务行政EXCEL模板338个</v>
      </c>
      <c r="S1809" s="9">
        <v>43600.3821990741</v>
      </c>
      <c r="T1809" s="9">
        <v>43390.5154861111</v>
      </c>
    </row>
    <row r="1810" spans="14:20">
      <c r="N1810" s="7" t="str">
        <f>HYPERLINK("E:\附赠：Excel模板\企业管理全套报表EXCEL模板\财务行政EXCEL模板338个\成本预测模板.xlt","成本预测模板.xlt")</f>
        <v>成本预测模板.xlt</v>
      </c>
      <c r="Q1810">
        <v>0.02</v>
      </c>
      <c r="R1810" s="7" t="str">
        <f t="shared" si="38"/>
        <v>E:\附赠：Excel模板\企业管理全套报表EXCEL模板\财务行政EXCEL模板338个</v>
      </c>
      <c r="S1810" s="9">
        <v>43600.3821990741</v>
      </c>
      <c r="T1810" s="9">
        <v>43390.5154861111</v>
      </c>
    </row>
    <row r="1811" spans="14:20">
      <c r="N1811" s="7" t="str">
        <f>HYPERLINK("E:\附赠：Excel模板\企业管理全套报表EXCEL模板\财务行政EXCEL模板338个\成绩表.xls","成绩表.xls")</f>
        <v>成绩表.xls</v>
      </c>
      <c r="Q1811">
        <v>0.03</v>
      </c>
      <c r="R1811" s="7" t="str">
        <f t="shared" si="38"/>
        <v>E:\附赠：Excel模板\企业管理全套报表EXCEL模板\财务行政EXCEL模板338个</v>
      </c>
      <c r="S1811" s="9">
        <v>43600.3821990741</v>
      </c>
      <c r="T1811" s="9">
        <v>43390.5154861111</v>
      </c>
    </row>
    <row r="1812" spans="14:20">
      <c r="N1812" s="7" t="str">
        <f>HYPERLINK("E:\附赠：Excel模板\企业管理全套报表EXCEL模板\财务行政EXCEL模板338个\成绩表.xlt","成绩表.xlt")</f>
        <v>成绩表.xlt</v>
      </c>
      <c r="Q1812">
        <v>0.03</v>
      </c>
      <c r="R1812" s="7" t="str">
        <f t="shared" si="38"/>
        <v>E:\附赠：Excel模板\企业管理全套报表EXCEL模板\财务行政EXCEL模板338个</v>
      </c>
      <c r="S1812" s="9">
        <v>43600.3821990741</v>
      </c>
      <c r="T1812" s="9">
        <v>43390.5154861111</v>
      </c>
    </row>
    <row r="1813" spans="14:20">
      <c r="N1813" s="7" t="str">
        <f>HYPERLINK("E:\附赠：Excel模板\企业管理全套报表EXCEL模板\财务行政EXCEL模板338个\房屋贷款计算器.xlt","房屋贷款计算器.xlt")</f>
        <v>房屋贷款计算器.xlt</v>
      </c>
      <c r="Q1813">
        <v>0.04</v>
      </c>
      <c r="R1813" s="7" t="str">
        <f t="shared" ref="R1813:R1876" si="39">HYPERLINK("E:\附赠：Excel模板\企业管理全套报表EXCEL模板\财务行政EXCEL模板338个","E:\附赠：Excel模板\企业管理全套报表EXCEL模板\财务行政EXCEL模板338个")</f>
        <v>E:\附赠：Excel模板\企业管理全套报表EXCEL模板\财务行政EXCEL模板338个</v>
      </c>
      <c r="S1813" s="9">
        <v>43600.3821990741</v>
      </c>
      <c r="T1813" s="9">
        <v>43390.5154398148</v>
      </c>
    </row>
    <row r="1814" spans="14:20">
      <c r="N1814" s="7" t="str">
        <f>HYPERLINK("E:\附赠：Excel模板\企业管理全套报表EXCEL模板\财务行政EXCEL模板338个\技術單位人事考績表-B.xls","技術單位人事考績表-B.xls")</f>
        <v>技術單位人事考績表-B.xls</v>
      </c>
      <c r="Q1814">
        <v>0.02</v>
      </c>
      <c r="R1814" s="7" t="str">
        <f t="shared" si="39"/>
        <v>E:\附赠：Excel模板\企业管理全套报表EXCEL模板\财务行政EXCEL模板338个</v>
      </c>
      <c r="S1814" s="9">
        <v>43600.3821990741</v>
      </c>
      <c r="T1814" s="9">
        <v>43390.5153935185</v>
      </c>
    </row>
    <row r="1815" spans="14:20">
      <c r="N1815" s="7" t="str">
        <f>HYPERLINK("E:\附赠：Excel模板\企业管理全套报表EXCEL模板\财务行政EXCEL模板338个\技術單位人事考績表.xls","技術單位人事考績表.xls")</f>
        <v>技術單位人事考績表.xls</v>
      </c>
      <c r="Q1815">
        <v>0.02</v>
      </c>
      <c r="R1815" s="7" t="str">
        <f t="shared" si="39"/>
        <v>E:\附赠：Excel模板\企业管理全套报表EXCEL模板\财务行政EXCEL模板338个</v>
      </c>
      <c r="S1815" s="9">
        <v>43600.3821990741</v>
      </c>
      <c r="T1815" s="9">
        <v>43390.5153935185</v>
      </c>
    </row>
    <row r="1816" spans="14:20">
      <c r="N1816" s="7" t="str">
        <f>HYPERLINK("E:\附赠：Excel模板\企业管理全套报表EXCEL模板\财务行政EXCEL模板338个\投资决策分析.xls","投资决策分析.xls")</f>
        <v>投资决策分析.xls</v>
      </c>
      <c r="Q1816">
        <v>0.05</v>
      </c>
      <c r="R1816" s="7" t="str">
        <f t="shared" si="39"/>
        <v>E:\附赠：Excel模板\企业管理全套报表EXCEL模板\财务行政EXCEL模板338个</v>
      </c>
      <c r="S1816" s="9">
        <v>43600.3821990741</v>
      </c>
      <c r="T1816" s="9">
        <v>43390.5151851852</v>
      </c>
    </row>
    <row r="1817" spans="14:20">
      <c r="N1817" s="7" t="str">
        <f>HYPERLINK("E:\附赠：Excel模板\企业管理全套报表EXCEL模板\财务行政EXCEL模板338个\投资决策分析.xlt","投资决策分析.xlt")</f>
        <v>投资决策分析.xlt</v>
      </c>
      <c r="Q1817">
        <v>0.03</v>
      </c>
      <c r="R1817" s="7" t="str">
        <f t="shared" si="39"/>
        <v>E:\附赠：Excel模板\企业管理全套报表EXCEL模板\财务行政EXCEL模板338个</v>
      </c>
      <c r="S1817" s="9">
        <v>43600.3821990741</v>
      </c>
      <c r="T1817" s="9">
        <v>43390.5151851852</v>
      </c>
    </row>
    <row r="1818" spans="14:20">
      <c r="N1818" s="7" t="str">
        <f>HYPERLINK("E:\附赠：Excel模板\企业管理全套报表EXCEL模板\财务行政EXCEL模板338个\投资决策分析.共享前.xls","投资决策分析.共享前.xls")</f>
        <v>投资决策分析.共享前.xls</v>
      </c>
      <c r="Q1818">
        <v>0.04</v>
      </c>
      <c r="R1818" s="7" t="str">
        <f t="shared" si="39"/>
        <v>E:\附赠：Excel模板\企业管理全套报表EXCEL模板\财务行政EXCEL模板338个</v>
      </c>
      <c r="S1818" s="9">
        <v>43600.3821990741</v>
      </c>
      <c r="T1818" s="9">
        <v>43390.5151851852</v>
      </c>
    </row>
    <row r="1819" spans="14:20">
      <c r="N1819" s="7" t="str">
        <f>HYPERLINK("E:\附赠：Excel模板\企业管理全套报表EXCEL模板\财务行政EXCEL模板338个\投资指标函数应用.xls","投资指标函数应用.xls")</f>
        <v>投资指标函数应用.xls</v>
      </c>
      <c r="Q1819">
        <v>0.02</v>
      </c>
      <c r="R1819" s="7" t="str">
        <f t="shared" si="39"/>
        <v>E:\附赠：Excel模板\企业管理全套报表EXCEL模板\财务行政EXCEL模板338个</v>
      </c>
      <c r="S1819" s="9">
        <v>43600.3821990741</v>
      </c>
      <c r="T1819" s="9">
        <v>43390.5151851852</v>
      </c>
    </row>
    <row r="1820" spans="14:20">
      <c r="N1820" s="7" t="str">
        <f>HYPERLINK("E:\附赠：Excel模板\企业管理全套报表EXCEL模板\财务行政EXCEL模板338个\投资指标函数应用.xlt","投资指标函数应用.xlt")</f>
        <v>投资指标函数应用.xlt</v>
      </c>
      <c r="Q1820">
        <v>0.02</v>
      </c>
      <c r="R1820" s="7" t="str">
        <f t="shared" si="39"/>
        <v>E:\附赠：Excel模板\企业管理全套报表EXCEL模板\财务行政EXCEL模板338个</v>
      </c>
      <c r="S1820" s="9">
        <v>43600.3821990741</v>
      </c>
      <c r="T1820" s="9">
        <v>43390.5151851852</v>
      </c>
    </row>
    <row r="1821" spans="14:20">
      <c r="N1821" s="7" t="str">
        <f>HYPERLINK("E:\附赠：Excel模板\企业管理全套报表EXCEL模板\财务行政EXCEL模板338个\投资收益模拟测算器.XLT","投资收益模拟测算器.XLT")</f>
        <v>投资收益模拟测算器.XLT</v>
      </c>
      <c r="Q1821">
        <v>0.08</v>
      </c>
      <c r="R1821" s="7" t="str">
        <f t="shared" si="39"/>
        <v>E:\附赠：Excel模板\企业管理全套报表EXCEL模板\财务行政EXCEL模板338个</v>
      </c>
      <c r="S1821" s="9">
        <v>43600.3821990741</v>
      </c>
      <c r="T1821" s="9">
        <v>43390.5151851852</v>
      </c>
    </row>
    <row r="1822" spans="14:20">
      <c r="N1822" s="7" t="str">
        <f>HYPERLINK("E:\附赠：Excel模板\企业管理全套报表EXCEL模板\财务行政EXCEL模板338个\投资方案.xls","投资方案.xls")</f>
        <v>投资方案.xls</v>
      </c>
      <c r="Q1822">
        <v>0.01</v>
      </c>
      <c r="R1822" s="7" t="str">
        <f t="shared" si="39"/>
        <v>E:\附赠：Excel模板\企业管理全套报表EXCEL模板\财务行政EXCEL模板338个</v>
      </c>
      <c r="S1822" s="9">
        <v>43600.3821990741</v>
      </c>
      <c r="T1822" s="9">
        <v>43390.5151851852</v>
      </c>
    </row>
    <row r="1823" spans="14:20">
      <c r="N1823" s="7" t="str">
        <f>HYPERLINK("E:\附赠：Excel模板\企业管理全套报表EXCEL模板\财务行政EXCEL模板338个\投资方案.xlt","投资方案.xlt")</f>
        <v>投资方案.xlt</v>
      </c>
      <c r="Q1823">
        <v>0.01</v>
      </c>
      <c r="R1823" s="7" t="str">
        <f t="shared" si="39"/>
        <v>E:\附赠：Excel模板\企业管理全套报表EXCEL模板\财务行政EXCEL模板338个</v>
      </c>
      <c r="S1823" s="9">
        <v>43600.3821990741</v>
      </c>
      <c r="T1823" s="9">
        <v>43390.5151851852</v>
      </c>
    </row>
    <row r="1824" spans="14:20">
      <c r="N1824" s="7" t="str">
        <f>HYPERLINK("E:\附赠：Excel模板\企业管理全套报表EXCEL模板\财务行政EXCEL模板338个\折旧计提法.xls","折旧计提法.xls")</f>
        <v>折旧计提法.xls</v>
      </c>
      <c r="Q1824">
        <v>0.02</v>
      </c>
      <c r="R1824" s="7" t="str">
        <f t="shared" si="39"/>
        <v>E:\附赠：Excel模板\企业管理全套报表EXCEL模板\财务行政EXCEL模板338个</v>
      </c>
      <c r="S1824" s="9">
        <v>43600.3821990741</v>
      </c>
      <c r="T1824" s="9">
        <v>43390.5150694444</v>
      </c>
    </row>
    <row r="1825" spans="14:20">
      <c r="N1825" s="7" t="str">
        <f>HYPERLINK("E:\附赠：Excel模板\企业管理全套报表EXCEL模板\财务行政EXCEL模板338个\折旧计提法.xlt","折旧计提法.xlt")</f>
        <v>折旧计提法.xlt</v>
      </c>
      <c r="Q1825">
        <v>0.02</v>
      </c>
      <c r="R1825" s="7" t="str">
        <f t="shared" si="39"/>
        <v>E:\附赠：Excel模板\企业管理全套报表EXCEL模板\财务行政EXCEL模板338个</v>
      </c>
      <c r="S1825" s="9">
        <v>43600.3821990741</v>
      </c>
      <c r="T1825" s="9">
        <v>43390.5150694444</v>
      </c>
    </row>
    <row r="1826" spans="14:20">
      <c r="N1826" s="7" t="str">
        <f>HYPERLINK("E:\附赠：Excel模板\企业管理全套报表EXCEL模板\财务行政EXCEL模板338个\报价单.xlt","报价单.xlt")</f>
        <v>报价单.xlt</v>
      </c>
      <c r="Q1826">
        <v>0.03</v>
      </c>
      <c r="R1826" s="7" t="str">
        <f t="shared" si="39"/>
        <v>E:\附赠：Excel模板\企业管理全套报表EXCEL模板\财务行政EXCEL模板338个</v>
      </c>
      <c r="S1826" s="9">
        <v>43600.3821990741</v>
      </c>
      <c r="T1826" s="9">
        <v>43390.5155324074</v>
      </c>
    </row>
    <row r="1827" spans="14:20">
      <c r="N1827" s="7" t="str">
        <f>HYPERLINK("E:\附赠：Excel模板\企业管理全套报表EXCEL模板\财务行政EXCEL模板338个\报销单.xls","报销单.xls")</f>
        <v>报销单.xls</v>
      </c>
      <c r="Q1827">
        <v>0.02</v>
      </c>
      <c r="R1827" s="7" t="str">
        <f t="shared" si="39"/>
        <v>E:\附赠：Excel模板\企业管理全套报表EXCEL模板\财务行政EXCEL模板338个</v>
      </c>
      <c r="S1827" s="9">
        <v>43600.3821990741</v>
      </c>
      <c r="T1827" s="9">
        <v>43390.5155324074</v>
      </c>
    </row>
    <row r="1828" spans="14:20">
      <c r="N1828" s="7" t="str">
        <f>HYPERLINK("E:\附赠：Excel模板\企业管理全套报表EXCEL模板\财务行政EXCEL模板338个\报销单.xlt","报销单.xlt")</f>
        <v>报销单.xlt</v>
      </c>
      <c r="Q1828">
        <v>0.02</v>
      </c>
      <c r="R1828" s="7" t="str">
        <f t="shared" si="39"/>
        <v>E:\附赠：Excel模板\企业管理全套报表EXCEL模板\财务行政EXCEL模板338个</v>
      </c>
      <c r="S1828" s="9">
        <v>43600.3821990741</v>
      </c>
      <c r="T1828" s="9">
        <v>43390.5155324074</v>
      </c>
    </row>
    <row r="1829" spans="14:20">
      <c r="N1829" s="7" t="str">
        <f>HYPERLINK("E:\附赠：Excel模板\企业管理全套报表EXCEL模板\财务行政EXCEL模板338个\报销单2.xls","报销单2.xls")</f>
        <v>报销单2.xls</v>
      </c>
      <c r="Q1829">
        <v>0.02</v>
      </c>
      <c r="R1829" s="7" t="str">
        <f t="shared" si="39"/>
        <v>E:\附赠：Excel模板\企业管理全套报表EXCEL模板\财务行政EXCEL模板338个</v>
      </c>
      <c r="S1829" s="9">
        <v>43600.3821990741</v>
      </c>
      <c r="T1829" s="9">
        <v>43390.5155324074</v>
      </c>
    </row>
    <row r="1830" spans="14:20">
      <c r="N1830" s="7" t="str">
        <f>HYPERLINK("E:\附赠：Excel模板\企业管理全套报表EXCEL模板\财务行政EXCEL模板338个\报销单4.xls","报销单4.xls")</f>
        <v>报销单4.xls</v>
      </c>
      <c r="Q1830">
        <v>0.01</v>
      </c>
      <c r="R1830" s="7" t="str">
        <f t="shared" si="39"/>
        <v>E:\附赠：Excel模板\企业管理全套报表EXCEL模板\财务行政EXCEL模板338个</v>
      </c>
      <c r="S1830" s="9">
        <v>43600.3821990741</v>
      </c>
      <c r="T1830" s="9">
        <v>43390.5155324074</v>
      </c>
    </row>
    <row r="1831" spans="14:20">
      <c r="N1831" s="7" t="str">
        <f>HYPERLINK("E:\附赠：Excel模板\企业管理全套报表EXCEL模板\财务行政EXCEL模板338个\报销单实例拓展1.xlt","报销单实例拓展1.xlt")</f>
        <v>报销单实例拓展1.xlt</v>
      </c>
      <c r="Q1831">
        <v>0.01</v>
      </c>
      <c r="R1831" s="7" t="str">
        <f t="shared" si="39"/>
        <v>E:\附赠：Excel模板\企业管理全套报表EXCEL模板\财务行政EXCEL模板338个</v>
      </c>
      <c r="S1831" s="9">
        <v>43600.3821990741</v>
      </c>
      <c r="T1831" s="9">
        <v>43390.5155324074</v>
      </c>
    </row>
    <row r="1832" spans="14:20">
      <c r="N1832" s="7" t="str">
        <f>HYPERLINK("E:\附赠：Excel模板\企业管理全套报表EXCEL模板\财务行政EXCEL模板338个\报销单实例拓展2.xlt","报销单实例拓展2.xlt")</f>
        <v>报销单实例拓展2.xlt</v>
      </c>
      <c r="Q1832">
        <v>0.02</v>
      </c>
      <c r="R1832" s="7" t="str">
        <f t="shared" si="39"/>
        <v>E:\附赠：Excel模板\企业管理全套报表EXCEL模板\财务行政EXCEL模板338个</v>
      </c>
      <c r="S1832" s="9">
        <v>43600.3821990741</v>
      </c>
      <c r="T1832" s="9">
        <v>43390.5155324074</v>
      </c>
    </row>
    <row r="1833" spans="14:20">
      <c r="N1833" s="7" t="str">
        <f>HYPERLINK("E:\附赠：Excel模板\企业管理全套报表EXCEL模板\财务行政EXCEL模板338个\指数平滑.xls","指数平滑.xls")</f>
        <v>指数平滑.xls</v>
      </c>
      <c r="Q1833">
        <v>0.04</v>
      </c>
      <c r="R1833" s="7" t="str">
        <f t="shared" si="39"/>
        <v>E:\附赠：Excel模板\企业管理全套报表EXCEL模板\财务行政EXCEL模板338个</v>
      </c>
      <c r="S1833" s="9">
        <v>43600.3821990741</v>
      </c>
      <c r="T1833" s="9">
        <v>43390.5150694444</v>
      </c>
    </row>
    <row r="1834" spans="14:20">
      <c r="N1834" s="7" t="str">
        <f>HYPERLINK("E:\附赠：Excel模板\企业管理全套报表EXCEL模板\财务行政EXCEL模板338个\指数平滑.xlt","指数平滑.xlt")</f>
        <v>指数平滑.xlt</v>
      </c>
      <c r="Q1834">
        <v>0.04</v>
      </c>
      <c r="R1834" s="7" t="str">
        <f t="shared" si="39"/>
        <v>E:\附赠：Excel模板\企业管理全套报表EXCEL模板\财务行政EXCEL模板338个</v>
      </c>
      <c r="S1834" s="9">
        <v>43600.3821990741</v>
      </c>
      <c r="T1834" s="9">
        <v>43390.5150694444</v>
      </c>
    </row>
    <row r="1835" spans="14:20">
      <c r="N1835" s="7" t="str">
        <f>HYPERLINK("E:\附赠：Excel模板\企业管理全套报表EXCEL模板\财务行政EXCEL模板338个\损益表.xls","损益表.xls")</f>
        <v>损益表.xls</v>
      </c>
      <c r="Q1835">
        <v>0.06</v>
      </c>
      <c r="R1835" s="7" t="str">
        <f t="shared" si="39"/>
        <v>E:\附赠：Excel模板\企业管理全套报表EXCEL模板\财务行政EXCEL模板338个</v>
      </c>
      <c r="S1835" s="9">
        <v>43600.3821990741</v>
      </c>
      <c r="T1835" s="9">
        <v>43390.5152314815</v>
      </c>
    </row>
    <row r="1836" spans="14:20">
      <c r="N1836" s="7" t="str">
        <f>HYPERLINK("E:\附赠：Excel模板\企业管理全套报表EXCEL模板\财务行政EXCEL模板338个\损益表.xlt","损益表.xlt")</f>
        <v>损益表.xlt</v>
      </c>
      <c r="Q1836">
        <v>0.06</v>
      </c>
      <c r="R1836" s="7" t="str">
        <f t="shared" si="39"/>
        <v>E:\附赠：Excel模板\企业管理全套报表EXCEL模板\财务行政EXCEL模板338个</v>
      </c>
      <c r="S1836" s="9">
        <v>43600.3821990741</v>
      </c>
      <c r="T1836" s="9">
        <v>43390.5152083333</v>
      </c>
    </row>
    <row r="1837" spans="14:20">
      <c r="N1837" s="7" t="str">
        <f>HYPERLINK("E:\附赠：Excel模板\企业管理全套报表EXCEL模板\财务行政EXCEL模板338个\教师评测表.xls","教师评测表.xls")</f>
        <v>教师评测表.xls</v>
      </c>
      <c r="Q1837">
        <v>0.03</v>
      </c>
      <c r="R1837" s="7" t="str">
        <f t="shared" si="39"/>
        <v>E:\附赠：Excel模板\企业管理全套报表EXCEL模板\财务行政EXCEL模板338个</v>
      </c>
      <c r="S1837" s="9">
        <v>43600.3821990741</v>
      </c>
      <c r="T1837" s="9">
        <v>43390.5153703704</v>
      </c>
    </row>
    <row r="1838" spans="14:20">
      <c r="N1838" s="7" t="str">
        <f>HYPERLINK("E:\附赠：Excel模板\企业管理全套报表EXCEL模板\财务行政EXCEL模板338个\教师评测表.xlt","教师评测表.xlt")</f>
        <v>教师评测表.xlt</v>
      </c>
      <c r="Q1838">
        <v>0.03</v>
      </c>
      <c r="R1838" s="7" t="str">
        <f t="shared" si="39"/>
        <v>E:\附赠：Excel模板\企业管理全套报表EXCEL模板\财务行政EXCEL模板338个</v>
      </c>
      <c r="S1838" s="9">
        <v>43600.3821990741</v>
      </c>
      <c r="T1838" s="9">
        <v>43390.5153703704</v>
      </c>
    </row>
    <row r="1839" spans="14:20">
      <c r="N1839" s="7" t="str">
        <f>HYPERLINK("E:\附赠：Excel模板\企业管理全套报表EXCEL模板\财务行政EXCEL模板338个\文档资料.xls","文档资料.xls")</f>
        <v>文档资料.xls</v>
      </c>
      <c r="Q1839">
        <v>0.25</v>
      </c>
      <c r="R1839" s="7" t="str">
        <f t="shared" si="39"/>
        <v>E:\附赠：Excel模板\企业管理全套报表EXCEL模板\财务行政EXCEL模板338个</v>
      </c>
      <c r="S1839" s="9">
        <v>43600.3821990741</v>
      </c>
      <c r="T1839" s="9">
        <v>43390.5151851852</v>
      </c>
    </row>
    <row r="1840" spans="14:20">
      <c r="N1840" s="7" t="str">
        <f>HYPERLINK("E:\附赠：Excel模板\企业管理全套报表EXCEL模板\财务行政EXCEL模板338个\文档资料.xlt","文档资料.xlt")</f>
        <v>文档资料.xlt</v>
      </c>
      <c r="Q1840">
        <v>0.25</v>
      </c>
      <c r="R1840" s="7" t="str">
        <f t="shared" si="39"/>
        <v>E:\附赠：Excel模板\企业管理全套报表EXCEL模板\财务行政EXCEL模板338个</v>
      </c>
      <c r="S1840" s="9">
        <v>43600.3821990741</v>
      </c>
      <c r="T1840" s="9">
        <v>43390.515162037</v>
      </c>
    </row>
    <row r="1841" spans="14:20">
      <c r="N1841" s="7" t="str">
        <f>HYPERLINK("E:\附赠：Excel模板\企业管理全套报表EXCEL模板\财务行政EXCEL模板338个\新建工作表.xls","新建工作表.xls")</f>
        <v>新建工作表.xls</v>
      </c>
      <c r="Q1841">
        <v>0.01</v>
      </c>
      <c r="R1841" s="7" t="str">
        <f t="shared" si="39"/>
        <v>E:\附赠：Excel模板\企业管理全套报表EXCEL模板\财务行政EXCEL模板338个</v>
      </c>
      <c r="S1841" s="9">
        <v>43600.3821990741</v>
      </c>
      <c r="T1841" s="9">
        <v>43390.515162037</v>
      </c>
    </row>
    <row r="1842" spans="14:20">
      <c r="N1842" s="7" t="str">
        <f>HYPERLINK("E:\附赠：Excel模板\企业管理全套报表EXCEL模板\财务行政EXCEL模板338个\方案.xls","方案.xls")</f>
        <v>方案.xls</v>
      </c>
      <c r="Q1842">
        <v>0.02</v>
      </c>
      <c r="R1842" s="7" t="str">
        <f t="shared" si="39"/>
        <v>E:\附赠：Excel模板\企业管理全套报表EXCEL模板\财务行政EXCEL模板338个</v>
      </c>
      <c r="S1842" s="9">
        <v>43600.3821990741</v>
      </c>
      <c r="T1842" s="9">
        <v>43390.5154398148</v>
      </c>
    </row>
    <row r="1843" spans="14:20">
      <c r="N1843" s="7" t="str">
        <f>HYPERLINK("E:\附赠：Excel模板\企业管理全套报表EXCEL模板\财务行政EXCEL模板338个\方案.xlt","方案.xlt")</f>
        <v>方案.xlt</v>
      </c>
      <c r="Q1843">
        <v>0.02</v>
      </c>
      <c r="R1843" s="7" t="str">
        <f t="shared" si="39"/>
        <v>E:\附赠：Excel模板\企业管理全套报表EXCEL模板\财务行政EXCEL模板338个</v>
      </c>
      <c r="S1843" s="9">
        <v>43600.3821990741</v>
      </c>
      <c r="T1843" s="9">
        <v>43390.5154398148</v>
      </c>
    </row>
    <row r="1844" spans="14:20">
      <c r="N1844" s="7" t="str">
        <f>HYPERLINK("E:\附赠：Excel模板\企业管理全套报表EXCEL模板\财务行政EXCEL模板338个\方案优选.xls","方案优选.xls")</f>
        <v>方案优选.xls</v>
      </c>
      <c r="Q1844">
        <v>0.03</v>
      </c>
      <c r="R1844" s="7" t="str">
        <f t="shared" si="39"/>
        <v>E:\附赠：Excel模板\企业管理全套报表EXCEL模板\财务行政EXCEL模板338个</v>
      </c>
      <c r="S1844" s="9">
        <v>43600.3821990741</v>
      </c>
      <c r="T1844" s="9">
        <v>43390.5154398148</v>
      </c>
    </row>
    <row r="1845" spans="14:20">
      <c r="N1845" s="7" t="str">
        <f>HYPERLINK("E:\附赠：Excel模板\企业管理全套报表EXCEL模板\财务行政EXCEL模板338个\方案优选.xlt","方案优选.xlt")</f>
        <v>方案优选.xlt</v>
      </c>
      <c r="Q1845">
        <v>0.03</v>
      </c>
      <c r="R1845" s="7" t="str">
        <f t="shared" si="39"/>
        <v>E:\附赠：Excel模板\企业管理全套报表EXCEL模板\财务行政EXCEL模板338个</v>
      </c>
      <c r="S1845" s="9">
        <v>43600.3821990741</v>
      </c>
      <c r="T1845" s="9">
        <v>43390.5154398148</v>
      </c>
    </row>
    <row r="1846" spans="14:20">
      <c r="N1846" s="7" t="str">
        <f>HYPERLINK("E:\附赠：Excel模板\企业管理全套报表EXCEL模板\财务行政EXCEL模板338个\日常费用统计系统.xls","日常费用统计系统.xls")</f>
        <v>日常费用统计系统.xls</v>
      </c>
      <c r="Q1846">
        <v>0.02</v>
      </c>
      <c r="R1846" s="7" t="str">
        <f t="shared" si="39"/>
        <v>E:\附赠：Excel模板\企业管理全套报表EXCEL模板\财务行政EXCEL模板338个</v>
      </c>
      <c r="S1846" s="9">
        <v>43600.3821990741</v>
      </c>
      <c r="T1846" s="9">
        <v>43390.5152777778</v>
      </c>
    </row>
    <row r="1847" spans="14:20">
      <c r="N1847" s="7" t="str">
        <f>HYPERLINK("E:\附赠：Excel模板\企业管理全套报表EXCEL模板\财务行政EXCEL模板338个\日常费用统计系统.xlt","日常费用统计系统.xlt")</f>
        <v>日常费用统计系统.xlt</v>
      </c>
      <c r="Q1847">
        <v>0.02</v>
      </c>
      <c r="R1847" s="7" t="str">
        <f t="shared" si="39"/>
        <v>E:\附赠：Excel模板\企业管理全套报表EXCEL模板\财务行政EXCEL模板338个</v>
      </c>
      <c r="S1847" s="9">
        <v>43600.3821990741</v>
      </c>
      <c r="T1847" s="9">
        <v>43390.5152777778</v>
      </c>
    </row>
    <row r="1848" spans="14:20">
      <c r="N1848" s="7" t="str">
        <f>HYPERLINK("E:\附赠：Excel模板\企业管理全套报表EXCEL模板\财务行政EXCEL模板338个\日常费用统计表.xlt","日常费用统计表.xlt")</f>
        <v>日常费用统计表.xlt</v>
      </c>
      <c r="Q1848">
        <v>0.02</v>
      </c>
      <c r="R1848" s="7" t="str">
        <f t="shared" si="39"/>
        <v>E:\附赠：Excel模板\企业管理全套报表EXCEL模板\财务行政EXCEL模板338个</v>
      </c>
      <c r="S1848" s="9">
        <v>43600.3821990741</v>
      </c>
      <c r="T1848" s="9">
        <v>43390.5152777778</v>
      </c>
    </row>
    <row r="1849" spans="14:20">
      <c r="N1849" s="7" t="str">
        <f>HYPERLINK("E:\附赠：Excel模板\企业管理全套报表EXCEL模板\财务行政EXCEL模板338个\日程安排表.xls","日程安排表.xls")</f>
        <v>日程安排表.xls</v>
      </c>
      <c r="Q1849">
        <v>0.06</v>
      </c>
      <c r="R1849" s="7" t="str">
        <f t="shared" si="39"/>
        <v>E:\附赠：Excel模板\企业管理全套报表EXCEL模板\财务行政EXCEL模板338个</v>
      </c>
      <c r="S1849" s="9">
        <v>43600.3821990741</v>
      </c>
      <c r="T1849" s="9">
        <v>43390.5152777778</v>
      </c>
    </row>
    <row r="1850" spans="14:20">
      <c r="N1850" s="7" t="str">
        <f>HYPERLINK("E:\附赠：Excel模板\企业管理全套报表EXCEL模板\财务行政EXCEL模板338个\日程安排表.xlt","日程安排表.xlt")</f>
        <v>日程安排表.xlt</v>
      </c>
      <c r="Q1850">
        <v>0.06</v>
      </c>
      <c r="R1850" s="7" t="str">
        <f t="shared" si="39"/>
        <v>E:\附赠：Excel模板\企业管理全套报表EXCEL模板\财务行政EXCEL模板338个</v>
      </c>
      <c r="S1850" s="9">
        <v>43600.3821990741</v>
      </c>
      <c r="T1850" s="9">
        <v>43390.5153009259</v>
      </c>
    </row>
    <row r="1851" spans="14:20">
      <c r="N1851" s="7" t="str">
        <f>HYPERLINK("E:\附赠：Excel模板\企业管理全套报表EXCEL模板\财务行政EXCEL模板338个\日程表.xls","日程表.xls")</f>
        <v>日程表.xls</v>
      </c>
      <c r="Q1851">
        <v>0.01</v>
      </c>
      <c r="R1851" s="7" t="str">
        <f t="shared" si="39"/>
        <v>E:\附赠：Excel模板\企业管理全套报表EXCEL模板\财务行政EXCEL模板338个</v>
      </c>
      <c r="S1851" s="9">
        <v>43600.3821990741</v>
      </c>
      <c r="T1851" s="9">
        <v>43390.5152546296</v>
      </c>
    </row>
    <row r="1852" spans="14:20">
      <c r="N1852" s="7" t="str">
        <f>HYPERLINK("E:\附赠：Excel模板\企业管理全套报表EXCEL模板\财务行政EXCEL模板338个\日程表.xlt","日程表.xlt")</f>
        <v>日程表.xlt</v>
      </c>
      <c r="Q1852">
        <v>0.01</v>
      </c>
      <c r="R1852" s="7" t="str">
        <f t="shared" si="39"/>
        <v>E:\附赠：Excel模板\企业管理全套报表EXCEL模板\财务行政EXCEL模板338个</v>
      </c>
      <c r="S1852" s="9">
        <v>43600.3821990741</v>
      </c>
      <c r="T1852" s="9">
        <v>43390.5152546296</v>
      </c>
    </row>
    <row r="1853" spans="14:20">
      <c r="N1853" s="7" t="str">
        <f>HYPERLINK("E:\附赠：Excel模板\企业管理全套报表EXCEL模板\财务行政EXCEL模板338个\月偿还额单变量模拟运算表.xlt","月偿还额单变量模拟运算表.xlt")</f>
        <v>月偿还额单变量模拟运算表.xlt</v>
      </c>
      <c r="Q1853">
        <v>0.01</v>
      </c>
      <c r="R1853" s="7" t="str">
        <f t="shared" si="39"/>
        <v>E:\附赠：Excel模板\企业管理全套报表EXCEL模板\财务行政EXCEL模板338个</v>
      </c>
      <c r="S1853" s="9">
        <v>43600.3821990741</v>
      </c>
      <c r="T1853" s="9">
        <v>43390.5150925926</v>
      </c>
    </row>
    <row r="1854" spans="14:20">
      <c r="N1854" s="7" t="str">
        <f>HYPERLINK("E:\附赠：Excel模板\企业管理全套报表EXCEL模板\财务行政EXCEL模板338个\月偿还额双变量模拟运算表.xlt","月偿还额双变量模拟运算表.xlt")</f>
        <v>月偿还额双变量模拟运算表.xlt</v>
      </c>
      <c r="Q1854">
        <v>0.02</v>
      </c>
      <c r="R1854" s="7" t="str">
        <f t="shared" si="39"/>
        <v>E:\附赠：Excel模板\企业管理全套报表EXCEL模板\财务行政EXCEL模板338个</v>
      </c>
      <c r="S1854" s="9">
        <v>43600.3821990741</v>
      </c>
      <c r="T1854" s="9">
        <v>43390.5150925926</v>
      </c>
    </row>
    <row r="1855" spans="14:20">
      <c r="N1855" s="7" t="str">
        <f>HYPERLINK("E:\附赠：Excel模板\企业管理全套报表EXCEL模板\财务行政EXCEL模板338个\月销售报表.xls","月销售报表.xls")</f>
        <v>月销售报表.xls</v>
      </c>
      <c r="Q1855">
        <v>0.06</v>
      </c>
      <c r="R1855" s="7" t="str">
        <f t="shared" si="39"/>
        <v>E:\附赠：Excel模板\企业管理全套报表EXCEL模板\财务行政EXCEL模板338个</v>
      </c>
      <c r="S1855" s="9">
        <v>43600.3821990741</v>
      </c>
      <c r="T1855" s="9">
        <v>43390.5150925926</v>
      </c>
    </row>
    <row r="1856" spans="14:20">
      <c r="N1856" s="7" t="str">
        <f>HYPERLINK("E:\附赠：Excel模板\企业管理全套报表EXCEL模板\财务行政EXCEL模板338个\月销售报表.xlt","月销售报表.xlt")</f>
        <v>月销售报表.xlt</v>
      </c>
      <c r="Q1856">
        <v>0.07</v>
      </c>
      <c r="R1856" s="7" t="str">
        <f t="shared" si="39"/>
        <v>E:\附赠：Excel模板\企业管理全套报表EXCEL模板\财务行政EXCEL模板338个</v>
      </c>
      <c r="S1856" s="9">
        <v>43600.3821990741</v>
      </c>
      <c r="T1856" s="9">
        <v>43390.5150925926</v>
      </c>
    </row>
    <row r="1857" spans="14:20">
      <c r="N1857" s="7" t="str">
        <f>HYPERLINK("E:\附赠：Excel模板\企业管理全套报表EXCEL模板\财务行政EXCEL模板338个\有关节假日的计算.xlt","有关节假日的计算.xlt")</f>
        <v>有关节假日的计算.xlt</v>
      </c>
      <c r="Q1857">
        <v>0.02</v>
      </c>
      <c r="R1857" s="7" t="str">
        <f t="shared" si="39"/>
        <v>E:\附赠：Excel模板\企业管理全套报表EXCEL模板\财务行政EXCEL模板338个</v>
      </c>
      <c r="S1857" s="9">
        <v>43600.3821990741</v>
      </c>
      <c r="T1857" s="9">
        <v>43390.5151157407</v>
      </c>
    </row>
    <row r="1858" spans="14:20">
      <c r="N1858" s="7" t="str">
        <f>HYPERLINK("E:\附赠：Excel模板\企业管理全套报表EXCEL模板\财务行政EXCEL模板338个\根据产品销售情况动态统计库存以及奖金提成.xlt","根据产品销售情况动态统计库存以及奖金提成.xlt")</f>
        <v>根据产品销售情况动态统计库存以及奖金提成.xlt</v>
      </c>
      <c r="Q1858">
        <v>0.02</v>
      </c>
      <c r="R1858" s="7" t="str">
        <f t="shared" si="39"/>
        <v>E:\附赠：Excel模板\企业管理全套报表EXCEL模板\财务行政EXCEL模板338个</v>
      </c>
      <c r="S1858" s="9">
        <v>43600.3821990741</v>
      </c>
      <c r="T1858" s="9">
        <v>43390.5154398148</v>
      </c>
    </row>
    <row r="1859" spans="14:20">
      <c r="N1859" s="7" t="str">
        <f>HYPERLINK("E:\附赠：Excel模板\企业管理全套报表EXCEL模板\财务行政EXCEL模板338个\格式化商品销售明细清单.xls","格式化商品销售明细清单.xls")</f>
        <v>格式化商品销售明细清单.xls</v>
      </c>
      <c r="Q1859">
        <v>0.03</v>
      </c>
      <c r="R1859" s="7" t="str">
        <f t="shared" si="39"/>
        <v>E:\附赠：Excel模板\企业管理全套报表EXCEL模板\财务行政EXCEL模板338个</v>
      </c>
      <c r="S1859" s="9">
        <v>43600.3821990741</v>
      </c>
      <c r="T1859" s="9">
        <v>43390.5154398148</v>
      </c>
    </row>
    <row r="1860" spans="14:20">
      <c r="N1860" s="7" t="str">
        <f>HYPERLINK("E:\附赠：Excel模板\企业管理全套报表EXCEL模板\财务行政EXCEL模板338个\格式化商品销售明细清单.xlt","格式化商品销售明细清单.xlt")</f>
        <v>格式化商品销售明细清单.xlt</v>
      </c>
      <c r="Q1860">
        <v>0.03</v>
      </c>
      <c r="R1860" s="7" t="str">
        <f t="shared" si="39"/>
        <v>E:\附赠：Excel模板\企业管理全套报表EXCEL模板\财务行政EXCEL模板338个</v>
      </c>
      <c r="S1860" s="9">
        <v>43600.3821990741</v>
      </c>
      <c r="T1860" s="9">
        <v>43390.5154398148</v>
      </c>
    </row>
    <row r="1861" spans="14:20">
      <c r="N1861" s="7" t="str">
        <f>HYPERLINK("E:\附赠：Excel模板\企业管理全套报表EXCEL模板\财务行政EXCEL模板338个\档案表.xls","档案表.xls")</f>
        <v>档案表.xls</v>
      </c>
      <c r="Q1861">
        <v>1.4</v>
      </c>
      <c r="R1861" s="7" t="str">
        <f t="shared" si="39"/>
        <v>E:\附赠：Excel模板\企业管理全套报表EXCEL模板\财务行政EXCEL模板338个</v>
      </c>
      <c r="S1861" s="9">
        <v>43600.3821990741</v>
      </c>
      <c r="T1861" s="9">
        <v>43390.5154861111</v>
      </c>
    </row>
    <row r="1862" spans="14:20">
      <c r="N1862" s="7" t="str">
        <f>HYPERLINK("E:\附赠：Excel模板\企业管理全套报表EXCEL模板\财务行政EXCEL模板338个\档案表.xlt","档案表.xlt")</f>
        <v>档案表.xlt</v>
      </c>
      <c r="Q1862">
        <v>1.4</v>
      </c>
      <c r="R1862" s="7" t="str">
        <f t="shared" si="39"/>
        <v>E:\附赠：Excel模板\企业管理全套报表EXCEL模板\财务行政EXCEL模板338个</v>
      </c>
      <c r="S1862" s="9">
        <v>43600.3821990741</v>
      </c>
      <c r="T1862" s="9">
        <v>43390.515462963</v>
      </c>
    </row>
    <row r="1863" spans="14:20">
      <c r="N1863" s="7" t="str">
        <f>HYPERLINK("E:\附赠：Excel模板\企业管理全套报表EXCEL模板\财务行政EXCEL模板338个\档案表A.xls","档案表A.xls")</f>
        <v>档案表A.xls</v>
      </c>
      <c r="Q1863">
        <v>0.02</v>
      </c>
      <c r="R1863" s="7" t="str">
        <f t="shared" si="39"/>
        <v>E:\附赠：Excel模板\企业管理全套报表EXCEL模板\财务行政EXCEL模板338个</v>
      </c>
      <c r="S1863" s="9">
        <v>43600.3821990741</v>
      </c>
      <c r="T1863" s="9">
        <v>43390.515462963</v>
      </c>
    </row>
    <row r="1864" spans="14:20">
      <c r="N1864" s="7" t="str">
        <f>HYPERLINK("E:\附赠：Excel模板\企业管理全套报表EXCEL模板\财务行政EXCEL模板338个\档案表实例拓展.xlt","档案表实例拓展.xlt")</f>
        <v>档案表实例拓展.xlt</v>
      </c>
      <c r="Q1864">
        <v>0.02</v>
      </c>
      <c r="R1864" s="7" t="str">
        <f t="shared" si="39"/>
        <v>E:\附赠：Excel模板\企业管理全套报表EXCEL模板\财务行政EXCEL模板338个</v>
      </c>
      <c r="S1864" s="9">
        <v>43600.3821990741</v>
      </c>
      <c r="T1864" s="9">
        <v>43390.5154861111</v>
      </c>
    </row>
    <row r="1865" spans="14:20">
      <c r="N1865" s="7" t="str">
        <f>HYPERLINK("E:\附赠：Excel模板\企业管理全套报表EXCEL模板\财务行政EXCEL模板338个\涉及到二级科目的账务处理.xlt","涉及到二级科目的账务处理.xlt")</f>
        <v>涉及到二级科目的账务处理.xlt</v>
      </c>
      <c r="Q1865">
        <v>0.08</v>
      </c>
      <c r="R1865" s="7" t="str">
        <f t="shared" si="39"/>
        <v>E:\附赠：Excel模板\企业管理全套报表EXCEL模板\财务行政EXCEL模板338个</v>
      </c>
      <c r="S1865" s="9">
        <v>43600.3821990741</v>
      </c>
      <c r="T1865" s="9">
        <v>43390.5152546296</v>
      </c>
    </row>
    <row r="1866" spans="14:20">
      <c r="N1866" s="7" t="str">
        <f>HYPERLINK("E:\附赠：Excel模板\企业管理全套报表EXCEL模板\财务行政EXCEL模板338个\火车站寄存包裹收费的计算.xlt","火车站寄存包裹收费的计算.xlt")</f>
        <v>火车站寄存包裹收费的计算.xlt</v>
      </c>
      <c r="Q1866">
        <v>0.02</v>
      </c>
      <c r="R1866" s="7" t="str">
        <f t="shared" si="39"/>
        <v>E:\附赠：Excel模板\企业管理全套报表EXCEL模板\财务行政EXCEL模板338个</v>
      </c>
      <c r="S1866" s="9">
        <v>43600.3821990741</v>
      </c>
      <c r="T1866" s="9">
        <v>43390.5153935185</v>
      </c>
    </row>
    <row r="1867" spans="14:20">
      <c r="N1867" s="7" t="str">
        <f>HYPERLINK("E:\附赠：Excel模板\企业管理全套报表EXCEL模板\财务行政EXCEL模板338个\现值指数法投资分析表.xlt","现值指数法投资分析表.xlt")</f>
        <v>现值指数法投资分析表.xlt</v>
      </c>
      <c r="Q1867">
        <v>0.04</v>
      </c>
      <c r="R1867" s="7" t="str">
        <f t="shared" si="39"/>
        <v>E:\附赠：Excel模板\企业管理全套报表EXCEL模板\财务行政EXCEL模板338个</v>
      </c>
      <c r="S1867" s="9">
        <v>43600.3821990741</v>
      </c>
      <c r="T1867" s="9">
        <v>43390.515162037</v>
      </c>
    </row>
    <row r="1868" spans="14:20">
      <c r="N1868" s="7" t="str">
        <f>HYPERLINK("E:\附赠：Excel模板\企业管理全套报表EXCEL模板\财务行政EXCEL模板338个\现金流量表.xls","现金流量表.xls")</f>
        <v>现金流量表.xls</v>
      </c>
      <c r="Q1868">
        <v>0.03</v>
      </c>
      <c r="R1868" s="7" t="str">
        <f t="shared" si="39"/>
        <v>E:\附赠：Excel模板\企业管理全套报表EXCEL模板\财务行政EXCEL模板338个</v>
      </c>
      <c r="S1868" s="9">
        <v>43600.3821990741</v>
      </c>
      <c r="T1868" s="9">
        <v>43390.5151851852</v>
      </c>
    </row>
    <row r="1869" spans="14:20">
      <c r="N1869" s="7" t="str">
        <f>HYPERLINK("E:\附赠：Excel模板\企业管理全套报表EXCEL模板\财务行政EXCEL模板338个\现金流量表.xlt","现金流量表.xlt")</f>
        <v>现金流量表.xlt</v>
      </c>
      <c r="Q1869">
        <v>0.05</v>
      </c>
      <c r="R1869" s="7" t="str">
        <f t="shared" si="39"/>
        <v>E:\附赠：Excel模板\企业管理全套报表EXCEL模板\财务行政EXCEL模板338个</v>
      </c>
      <c r="S1869" s="9">
        <v>43600.3821990741</v>
      </c>
      <c r="T1869" s="9">
        <v>43390.5151851852</v>
      </c>
    </row>
    <row r="1870" spans="14:20">
      <c r="N1870" s="7" t="str">
        <f>HYPERLINK("E:\附赠：Excel模板\企业管理全套报表EXCEL模板\财务行政EXCEL模板338个\现金流量表2.xls","现金流量表2.xls")</f>
        <v>现金流量表2.xls</v>
      </c>
      <c r="Q1870">
        <v>0.05</v>
      </c>
      <c r="R1870" s="7" t="str">
        <f t="shared" si="39"/>
        <v>E:\附赠：Excel模板\企业管理全套报表EXCEL模板\财务行政EXCEL模板338个</v>
      </c>
      <c r="S1870" s="9">
        <v>43600.3821990741</v>
      </c>
      <c r="T1870" s="9">
        <v>43390.5151851852</v>
      </c>
    </row>
    <row r="1871" spans="14:20">
      <c r="N1871" s="7" t="str">
        <f>HYPERLINK("E:\附赠：Excel模板\企业管理全套报表EXCEL模板\财务行政EXCEL模板338个\用户权限管理系统.xls","用户权限管理系统.xls")</f>
        <v>用户权限管理系统.xls</v>
      </c>
      <c r="Q1871">
        <v>0.12</v>
      </c>
      <c r="R1871" s="7" t="str">
        <f t="shared" si="39"/>
        <v>E:\附赠：Excel模板\企业管理全套报表EXCEL模板\财务行政EXCEL模板338个</v>
      </c>
      <c r="S1871" s="9">
        <v>43600.3821990741</v>
      </c>
      <c r="T1871" s="9">
        <v>43390.5151157407</v>
      </c>
    </row>
    <row r="1872" spans="14:20">
      <c r="N1872" s="7" t="str">
        <f>HYPERLINK("E:\附赠：Excel模板\企业管理全套报表EXCEL模板\财务行政EXCEL模板338个\用户权限管理系统.xlt","用户权限管理系统.xlt")</f>
        <v>用户权限管理系统.xlt</v>
      </c>
      <c r="Q1872">
        <v>0.12</v>
      </c>
      <c r="R1872" s="7" t="str">
        <f t="shared" si="39"/>
        <v>E:\附赠：Excel模板\企业管理全套报表EXCEL模板\财务行政EXCEL模板338个</v>
      </c>
      <c r="S1872" s="9">
        <v>43600.3821990741</v>
      </c>
      <c r="T1872" s="9">
        <v>43390.5151157407</v>
      </c>
    </row>
    <row r="1873" spans="14:20">
      <c r="N1873" s="7" t="str">
        <f>HYPERLINK("E:\附赠：Excel模板\企业管理全套报表EXCEL模板\财务行政EXCEL模板338个\电子邮件发送企业产品清单.xlt","电子邮件发送企业产品清单.xlt")</f>
        <v>电子邮件发送企业产品清单.xlt</v>
      </c>
      <c r="Q1873">
        <v>0.06</v>
      </c>
      <c r="R1873" s="7" t="str">
        <f t="shared" si="39"/>
        <v>E:\附赠：Excel模板\企业管理全套报表EXCEL模板\财务行政EXCEL模板338个</v>
      </c>
      <c r="S1873" s="9">
        <v>43600.3821990741</v>
      </c>
      <c r="T1873" s="9">
        <v>43390.515462963</v>
      </c>
    </row>
    <row r="1874" spans="14:20">
      <c r="N1874" s="7" t="str">
        <f>HYPERLINK("E:\附赠：Excel模板\企业管理全套报表EXCEL模板\财务行政EXCEL模板338个\直线回归.xls","直线回归.xls")</f>
        <v>直线回归.xls</v>
      </c>
      <c r="Q1874">
        <v>0.04</v>
      </c>
      <c r="R1874" s="7" t="str">
        <f t="shared" si="39"/>
        <v>E:\附赠：Excel模板\企业管理全套报表EXCEL模板\财务行政EXCEL模板338个</v>
      </c>
      <c r="S1874" s="9">
        <v>43600.3821990741</v>
      </c>
      <c r="T1874" s="9">
        <v>43390.5150694444</v>
      </c>
    </row>
    <row r="1875" spans="14:20">
      <c r="N1875" s="7" t="str">
        <f>HYPERLINK("E:\附赠：Excel模板\企业管理全套报表EXCEL模板\财务行政EXCEL模板338个\直线回归.xlt","直线回归.xlt")</f>
        <v>直线回归.xlt</v>
      </c>
      <c r="Q1875">
        <v>0.04</v>
      </c>
      <c r="R1875" s="7" t="str">
        <f t="shared" si="39"/>
        <v>E:\附赠：Excel模板\企业管理全套报表EXCEL模板\财务行政EXCEL模板338个</v>
      </c>
      <c r="S1875" s="9">
        <v>43600.3821990741</v>
      </c>
      <c r="T1875" s="9">
        <v>43390.5150694444</v>
      </c>
    </row>
    <row r="1876" spans="14:20">
      <c r="N1876" s="7" t="str">
        <f>HYPERLINK("E:\附赠：Excel模板\企业管理全套报表EXCEL模板\财务行政EXCEL模板338个\筹资决策分析模型.xls","筹资决策分析模型.xls")</f>
        <v>筹资决策分析模型.xls</v>
      </c>
      <c r="Q1876">
        <v>0.03</v>
      </c>
      <c r="R1876" s="7" t="str">
        <f t="shared" si="39"/>
        <v>E:\附赠：Excel模板\企业管理全套报表EXCEL模板\财务行政EXCEL模板338个</v>
      </c>
      <c r="S1876" s="9">
        <v>43600.3821990741</v>
      </c>
      <c r="T1876" s="9">
        <v>43390.5154861111</v>
      </c>
    </row>
    <row r="1877" spans="14:20">
      <c r="N1877" s="7" t="str">
        <f>HYPERLINK("E:\附赠：Excel模板\企业管理全套报表EXCEL模板\财务行政EXCEL模板338个\筹资决策分析模型.xlt","筹资决策分析模型.xlt")</f>
        <v>筹资决策分析模型.xlt</v>
      </c>
      <c r="Q1877">
        <v>0.03</v>
      </c>
      <c r="R1877" s="7" t="str">
        <f t="shared" ref="R1877:R1940" si="40">HYPERLINK("E:\附赠：Excel模板\企业管理全套报表EXCEL模板\财务行政EXCEL模板338个","E:\附赠：Excel模板\企业管理全套报表EXCEL模板\财务行政EXCEL模板338个")</f>
        <v>E:\附赠：Excel模板\企业管理全套报表EXCEL模板\财务行政EXCEL模板338个</v>
      </c>
      <c r="S1877" s="9">
        <v>43600.3821990741</v>
      </c>
      <c r="T1877" s="9">
        <v>43390.5154861111</v>
      </c>
    </row>
    <row r="1878" spans="14:20">
      <c r="N1878" s="7" t="str">
        <f>HYPERLINK("E:\附赠：Excel模板\企业管理全套报表EXCEL模板\财务行政EXCEL模板338个\筹资决策的分析.xls","筹资决策的分析.xls")</f>
        <v>筹资决策的分析.xls</v>
      </c>
      <c r="Q1878">
        <v>0.02</v>
      </c>
      <c r="R1878" s="7" t="str">
        <f t="shared" si="40"/>
        <v>E:\附赠：Excel模板\企业管理全套报表EXCEL模板\财务行政EXCEL模板338个</v>
      </c>
      <c r="S1878" s="9">
        <v>43600.3821990741</v>
      </c>
      <c r="T1878" s="9">
        <v>43390.5154861111</v>
      </c>
    </row>
    <row r="1879" spans="14:20">
      <c r="N1879" s="7" t="str">
        <f>HYPERLINK("E:\附赠：Excel模板\企业管理全套报表EXCEL模板\财务行政EXCEL模板338个\筹资决策的分析.xlt","筹资决策的分析.xlt")</f>
        <v>筹资决策的分析.xlt</v>
      </c>
      <c r="Q1879">
        <v>0.02</v>
      </c>
      <c r="R1879" s="7" t="str">
        <f t="shared" si="40"/>
        <v>E:\附赠：Excel模板\企业管理全套报表EXCEL模板\财务行政EXCEL模板338个</v>
      </c>
      <c r="S1879" s="9">
        <v>43600.3821990741</v>
      </c>
      <c r="T1879" s="9">
        <v>43390.5155092593</v>
      </c>
    </row>
    <row r="1880" spans="14:20">
      <c r="N1880" s="7" t="str">
        <f>HYPERLINK("E:\附赠：Excel模板\企业管理全套报表EXCEL模板\财务行政EXCEL模板338个\经济困难学生调查明细表.xls","经济困难学生调查明细表.xls")</f>
        <v>经济困难学生调查明细表.xls</v>
      </c>
      <c r="Q1880">
        <v>0.02</v>
      </c>
      <c r="R1880" s="7" t="str">
        <f t="shared" si="40"/>
        <v>E:\附赠：Excel模板\企业管理全套报表EXCEL模板\财务行政EXCEL模板338个</v>
      </c>
      <c r="S1880" s="9">
        <v>43600.3821990741</v>
      </c>
      <c r="T1880" s="9">
        <v>43390.5153472222</v>
      </c>
    </row>
    <row r="1881" spans="14:20">
      <c r="N1881" s="7" t="str">
        <f>HYPERLINK("E:\附赠：Excel模板\企业管理全套报表EXCEL模板\财务行政EXCEL模板338个\经济困难家庭子女减免费入学汇总表.xls","经济困难家庭子女减免费入学汇总表.xls")</f>
        <v>经济困难家庭子女减免费入学汇总表.xls</v>
      </c>
      <c r="Q1881">
        <v>0.02</v>
      </c>
      <c r="R1881" s="7" t="str">
        <f t="shared" si="40"/>
        <v>E:\附赠：Excel模板\企业管理全套报表EXCEL模板\财务行政EXCEL模板338个</v>
      </c>
      <c r="S1881" s="9">
        <v>43600.3821990741</v>
      </c>
      <c r="T1881" s="9">
        <v>43390.5153472222</v>
      </c>
    </row>
    <row r="1882" spans="14:20">
      <c r="N1882" s="7" t="str">
        <f>HYPERLINK("E:\附赠：Excel模板\企业管理全套报表EXCEL模板\财务行政EXCEL模板338个\绘制员工考核图表.xlt","绘制员工考核图表.xlt")</f>
        <v>绘制员工考核图表.xlt</v>
      </c>
      <c r="Q1882">
        <v>0.02</v>
      </c>
      <c r="R1882" s="7" t="str">
        <f t="shared" si="40"/>
        <v>E:\附赠：Excel模板\企业管理全套报表EXCEL模板\财务行政EXCEL模板338个</v>
      </c>
      <c r="S1882" s="9">
        <v>43600.3821990741</v>
      </c>
      <c r="T1882" s="9">
        <v>43390.5153935185</v>
      </c>
    </row>
    <row r="1883" spans="14:20">
      <c r="N1883" s="7" t="str">
        <f>HYPERLINK("E:\附赠：Excel模板\企业管理全套报表EXCEL模板\财务行政EXCEL模板338个\绘制商品的区域销售图表.xlt","绘制商品的区域销售图表.xlt")</f>
        <v>绘制商品的区域销售图表.xlt</v>
      </c>
      <c r="Q1883">
        <v>0.02</v>
      </c>
      <c r="R1883" s="7" t="str">
        <f t="shared" si="40"/>
        <v>E:\附赠：Excel模板\企业管理全套报表EXCEL模板\财务行政EXCEL模板338个</v>
      </c>
      <c r="S1883" s="9">
        <v>43600.3821990741</v>
      </c>
      <c r="T1883" s="9">
        <v>43390.5153935185</v>
      </c>
    </row>
    <row r="1884" spans="14:20">
      <c r="N1884" s="7" t="str">
        <f>HYPERLINK("E:\附赠：Excel模板\企业管理全套报表EXCEL模板\财务行政EXCEL模板338个\绘制年度支出比例图.xlt","绘制年度支出比例图.xlt")</f>
        <v>绘制年度支出比例图.xlt</v>
      </c>
      <c r="Q1884">
        <v>0.02</v>
      </c>
      <c r="R1884" s="7" t="str">
        <f t="shared" si="40"/>
        <v>E:\附赠：Excel模板\企业管理全套报表EXCEL模板\财务行政EXCEL模板338个</v>
      </c>
      <c r="S1884" s="9">
        <v>43600.3821990741</v>
      </c>
      <c r="T1884" s="9">
        <v>43390.5154166667</v>
      </c>
    </row>
    <row r="1885" spans="14:20">
      <c r="N1885" s="7" t="str">
        <f>HYPERLINK("E:\附赠：Excel模板\企业管理全套报表EXCEL模板\财务行政EXCEL模板338个\考勤管理.xls","考勤管理.xls")</f>
        <v>考勤管理.xls</v>
      </c>
      <c r="Q1885">
        <v>0.11</v>
      </c>
      <c r="R1885" s="7" t="str">
        <f t="shared" si="40"/>
        <v>E:\附赠：Excel模板\企业管理全套报表EXCEL模板\财务行政EXCEL模板338个</v>
      </c>
      <c r="S1885" s="9">
        <v>43600.3821990741</v>
      </c>
      <c r="T1885" s="9">
        <v>43390.5153472222</v>
      </c>
    </row>
    <row r="1886" spans="14:20">
      <c r="N1886" s="7" t="str">
        <f>HYPERLINK("E:\附赠：Excel模板\企业管理全套报表EXCEL模板\财务行政EXCEL模板338个\考勤管理.xlt","考勤管理.xlt")</f>
        <v>考勤管理.xlt</v>
      </c>
      <c r="Q1886">
        <v>0.11</v>
      </c>
      <c r="R1886" s="7" t="str">
        <f t="shared" si="40"/>
        <v>E:\附赠：Excel模板\企业管理全套报表EXCEL模板\财务行政EXCEL模板338个</v>
      </c>
      <c r="S1886" s="9">
        <v>43600.3821990741</v>
      </c>
      <c r="T1886" s="9">
        <v>43390.5153703704</v>
      </c>
    </row>
    <row r="1887" spans="14:20">
      <c r="N1887" s="7" t="str">
        <f>HYPERLINK("E:\附赠：Excel模板\企业管理全套报表EXCEL模板\财务行政EXCEL模板338个\股票行情.xlt","股票行情.xlt")</f>
        <v>股票行情.xlt</v>
      </c>
      <c r="Q1887">
        <v>0.03</v>
      </c>
      <c r="R1887" s="7" t="str">
        <f t="shared" si="40"/>
        <v>E:\附赠：Excel模板\企业管理全套报表EXCEL模板\财务行政EXCEL模板338个</v>
      </c>
      <c r="S1887" s="9">
        <v>43600.3821990741</v>
      </c>
      <c r="T1887" s="9">
        <v>43390.5154166667</v>
      </c>
    </row>
    <row r="1888" spans="14:20">
      <c r="N1888" s="7" t="str">
        <f>HYPERLINK("E:\附赠：Excel模板\企业管理全套报表EXCEL模板\财务行政EXCEL模板338个\色环电阻计算器.xls","色环电阻计算器.xls")</f>
        <v>色环电阻计算器.xls</v>
      </c>
      <c r="Q1888">
        <v>0.06</v>
      </c>
      <c r="R1888" s="7" t="str">
        <f t="shared" si="40"/>
        <v>E:\附赠：Excel模板\企业管理全套报表EXCEL模板\财务行政EXCEL模板338个</v>
      </c>
      <c r="S1888" s="9">
        <v>43600.3821990741</v>
      </c>
      <c r="T1888" s="9">
        <v>43390.5152546296</v>
      </c>
    </row>
    <row r="1889" spans="14:20">
      <c r="N1889" s="7" t="str">
        <f>HYPERLINK("E:\附赠：Excel模板\企业管理全套报表EXCEL模板\财务行政EXCEL模板338个\融资报表.xls","融资报表.xls")</f>
        <v>融资报表.xls</v>
      </c>
      <c r="Q1889">
        <v>0.02</v>
      </c>
      <c r="R1889" s="7" t="str">
        <f t="shared" si="40"/>
        <v>E:\附赠：Excel模板\企业管理全套报表EXCEL模板\财务行政EXCEL模板338个</v>
      </c>
      <c r="S1889" s="9">
        <v>43600.3821990741</v>
      </c>
      <c r="T1889" s="9">
        <v>43390.5152546296</v>
      </c>
    </row>
    <row r="1890" spans="14:20">
      <c r="N1890" s="7" t="str">
        <f>HYPERLINK("E:\附赠：Excel模板\企业管理全套报表EXCEL模板\财务行政EXCEL模板338个\规划求解.xls","规划求解.xls")</f>
        <v>规划求解.xls</v>
      </c>
      <c r="Q1890">
        <v>0.02</v>
      </c>
      <c r="R1890" s="7" t="str">
        <f t="shared" si="40"/>
        <v>E:\附赠：Excel模板\企业管理全套报表EXCEL模板\财务行政EXCEL模板338个</v>
      </c>
      <c r="S1890" s="9">
        <v>43600.3821990741</v>
      </c>
      <c r="T1890" s="9">
        <v>43390.5154166667</v>
      </c>
    </row>
    <row r="1891" spans="14:20">
      <c r="N1891" s="7" t="str">
        <f>HYPERLINK("E:\附赠：Excel模板\企业管理全套报表EXCEL模板\财务行政EXCEL模板338个\规划求解.xlt","规划求解.xlt")</f>
        <v>规划求解.xlt</v>
      </c>
      <c r="Q1891">
        <v>0.02</v>
      </c>
      <c r="R1891" s="7" t="str">
        <f t="shared" si="40"/>
        <v>E:\附赠：Excel模板\企业管理全套报表EXCEL模板\财务行政EXCEL模板338个</v>
      </c>
      <c r="S1891" s="9">
        <v>43600.3821990741</v>
      </c>
      <c r="T1891" s="9">
        <v>43390.5154166667</v>
      </c>
    </row>
    <row r="1892" spans="14:20">
      <c r="N1892" s="7" t="str">
        <f>HYPERLINK("E:\附赠：Excel模板\企业管理全套报表EXCEL模板\财务行政EXCEL模板338个\設侙計冃進嶦報告表.xls","設侙計冃進嶦報告表.xls")</f>
        <v>設侙計冃進嶦報告表.xls</v>
      </c>
      <c r="Q1892">
        <v>0.02</v>
      </c>
      <c r="R1892" s="7" t="str">
        <f t="shared" si="40"/>
        <v>E:\附赠：Excel模板\企业管理全套报表EXCEL模板\财务行政EXCEL模板338个</v>
      </c>
      <c r="S1892" s="9">
        <v>43600.3821990741</v>
      </c>
      <c r="T1892" s="9">
        <v>43390.5151157407</v>
      </c>
    </row>
    <row r="1893" spans="14:20">
      <c r="N1893" s="7" t="str">
        <f>HYPERLINK("E:\附赠：Excel模板\企业管理全套报表EXCEL模板\财务行政EXCEL模板338个\試窗平衡表.xls","試窗平衡表.xls")</f>
        <v>試窗平衡表.xls</v>
      </c>
      <c r="Q1893">
        <v>0.02</v>
      </c>
      <c r="R1893" s="7" t="str">
        <f t="shared" si="40"/>
        <v>E:\附赠：Excel模板\企业管理全套报表EXCEL模板\财务行政EXCEL模板338个</v>
      </c>
      <c r="S1893" s="9">
        <v>43600.3821990741</v>
      </c>
      <c r="T1893" s="9">
        <v>43390.5151157407</v>
      </c>
    </row>
    <row r="1894" spans="14:20">
      <c r="N1894" s="7" t="str">
        <f>HYPERLINK("E:\附赠：Excel模板\企业管理全套报表EXCEL模板\财务行政EXCEL模板338个\試窗表.xls","試窗表.xls")</f>
        <v>試窗表.xls</v>
      </c>
      <c r="Q1894">
        <v>0.01</v>
      </c>
      <c r="R1894" s="7" t="str">
        <f t="shared" si="40"/>
        <v>E:\附赠：Excel模板\企业管理全套报表EXCEL模板\财务行政EXCEL模板338个</v>
      </c>
      <c r="S1894" s="9">
        <v>43600.3821990741</v>
      </c>
      <c r="T1894" s="9">
        <v>43390.5151157407</v>
      </c>
    </row>
    <row r="1895" spans="14:20">
      <c r="N1895" s="7" t="str">
        <f>HYPERLINK("E:\附赠：Excel模板\企业管理全套报表EXCEL模板\财务行政EXCEL模板338个\计件工资.xlt","计件工资.xlt")</f>
        <v>计件工资.xlt</v>
      </c>
      <c r="Q1895">
        <v>0.02</v>
      </c>
      <c r="R1895" s="7" t="str">
        <f t="shared" si="40"/>
        <v>E:\附赠：Excel模板\企业管理全套报表EXCEL模板\财务行政EXCEL模板338个</v>
      </c>
      <c r="S1895" s="9">
        <v>43600.3821990741</v>
      </c>
      <c r="T1895" s="9">
        <v>43390.5153935185</v>
      </c>
    </row>
    <row r="1896" spans="14:20">
      <c r="N1896" s="7" t="str">
        <f>HYPERLINK("E:\附赠：Excel模板\企业管理全套报表EXCEL模板\财务行政EXCEL模板338个\计划表.xls","计划表.xls")</f>
        <v>计划表.xls</v>
      </c>
      <c r="Q1896">
        <v>0.03</v>
      </c>
      <c r="R1896" s="7" t="str">
        <f t="shared" si="40"/>
        <v>E:\附赠：Excel模板\企业管理全套报表EXCEL模板\财务行政EXCEL模板338个</v>
      </c>
      <c r="S1896" s="9">
        <v>43600.3821990741</v>
      </c>
      <c r="T1896" s="9">
        <v>43390.5153935185</v>
      </c>
    </row>
    <row r="1897" spans="14:20">
      <c r="N1897" s="7" t="str">
        <f>HYPERLINK("E:\附赠：Excel模板\企业管理全套报表EXCEL模板\财务行政EXCEL模板338个\计划表.xlt","计划表.xlt")</f>
        <v>计划表.xlt</v>
      </c>
      <c r="Q1897">
        <v>0.03</v>
      </c>
      <c r="R1897" s="7" t="str">
        <f t="shared" si="40"/>
        <v>E:\附赠：Excel模板\企业管理全套报表EXCEL模板\财务行政EXCEL模板338个</v>
      </c>
      <c r="S1897" s="9">
        <v>43600.3821990741</v>
      </c>
      <c r="T1897" s="9">
        <v>43390.5153935185</v>
      </c>
    </row>
    <row r="1898" spans="14:20">
      <c r="N1898" s="7" t="str">
        <f>HYPERLINK("E:\附赠：Excel模板\企业管理全套报表EXCEL模板\财务行政EXCEL模板338个\设备资产清单.xls","设备资产清单.xls")</f>
        <v>设备资产清单.xls</v>
      </c>
      <c r="Q1898">
        <v>0.02</v>
      </c>
      <c r="R1898" s="7" t="str">
        <f t="shared" si="40"/>
        <v>E:\附赠：Excel模板\企业管理全套报表EXCEL模板\财务行政EXCEL模板338个</v>
      </c>
      <c r="S1898" s="9">
        <v>43600.3821990741</v>
      </c>
      <c r="T1898" s="9">
        <v>43390.5152314815</v>
      </c>
    </row>
    <row r="1899" spans="14:20">
      <c r="N1899" s="7" t="str">
        <f>HYPERLINK("E:\附赠：Excel模板\企业管理全套报表EXCEL模板\财务行政EXCEL模板338个\访问登记表.xls","访问登记表.xls")</f>
        <v>访问登记表.xls</v>
      </c>
      <c r="Q1899">
        <v>0.02</v>
      </c>
      <c r="R1899" s="7" t="str">
        <f t="shared" si="40"/>
        <v>E:\附赠：Excel模板\企业管理全套报表EXCEL模板\财务行政EXCEL模板338个</v>
      </c>
      <c r="S1899" s="9">
        <v>43600.3821990741</v>
      </c>
      <c r="T1899" s="9">
        <v>43390.5154398148</v>
      </c>
    </row>
    <row r="1900" spans="14:20">
      <c r="N1900" s="7" t="str">
        <f>HYPERLINK("E:\附赠：Excel模板\企业管理全套报表EXCEL模板\财务行政EXCEL模板338个\访问登记表.xlt","访问登记表.xlt")</f>
        <v>访问登记表.xlt</v>
      </c>
      <c r="Q1900">
        <v>0.02</v>
      </c>
      <c r="R1900" s="7" t="str">
        <f t="shared" si="40"/>
        <v>E:\附赠：Excel模板\企业管理全套报表EXCEL模板\财务行政EXCEL模板338个</v>
      </c>
      <c r="S1900" s="9">
        <v>43600.3821990741</v>
      </c>
      <c r="T1900" s="9">
        <v>43390.5154398148</v>
      </c>
    </row>
    <row r="1901" spans="14:20">
      <c r="N1901" s="7" t="str">
        <f>HYPERLINK("E:\附赠：Excel模板\企业管理全套报表EXCEL模板\财务行政EXCEL模板338个\试验报表系统.xls","试验报表系统.xls")</f>
        <v>试验报表系统.xls</v>
      </c>
      <c r="Q1901">
        <v>0.27</v>
      </c>
      <c r="R1901" s="7" t="str">
        <f t="shared" si="40"/>
        <v>E:\附赠：Excel模板\企业管理全套报表EXCEL模板\财务行政EXCEL模板338个</v>
      </c>
      <c r="S1901" s="9">
        <v>43600.3821990741</v>
      </c>
      <c r="T1901" s="9">
        <v>43390.5152083333</v>
      </c>
    </row>
    <row r="1902" spans="14:20">
      <c r="N1902" s="7" t="str">
        <f>HYPERLINK("E:\附赠：Excel模板\企业管理全套报表EXCEL模板\财务行政EXCEL模板338个\调查问卷.xls","调查问卷.xls")</f>
        <v>调查问卷.xls</v>
      </c>
      <c r="Q1902">
        <v>0.03</v>
      </c>
      <c r="R1902" s="7" t="str">
        <f t="shared" si="40"/>
        <v>E:\附赠：Excel模板\企业管理全套报表EXCEL模板\财务行政EXCEL模板338个</v>
      </c>
      <c r="S1902" s="9">
        <v>43600.3821990741</v>
      </c>
      <c r="T1902" s="9">
        <v>43390.515462963</v>
      </c>
    </row>
    <row r="1903" spans="14:20">
      <c r="N1903" s="7" t="str">
        <f>HYPERLINK("E:\附赠：Excel模板\企业管理全套报表EXCEL模板\财务行政EXCEL模板338个\调查问卷.xlt","调查问卷.xlt")</f>
        <v>调查问卷.xlt</v>
      </c>
      <c r="Q1903">
        <v>0.03</v>
      </c>
      <c r="R1903" s="7" t="str">
        <f t="shared" si="40"/>
        <v>E:\附赠：Excel模板\企业管理全套报表EXCEL模板\财务行政EXCEL模板338个</v>
      </c>
      <c r="S1903" s="9">
        <v>43600.3821990741</v>
      </c>
      <c r="T1903" s="9">
        <v>43390.515462963</v>
      </c>
    </row>
    <row r="1904" spans="14:20">
      <c r="N1904" s="7" t="str">
        <f>HYPERLINK("E:\附赠：Excel模板\企业管理全套报表EXCEL模板\财务行政EXCEL模板338个\调查问卷2.xls","调查问卷2.xls")</f>
        <v>调查问卷2.xls</v>
      </c>
      <c r="Q1904">
        <v>0.08</v>
      </c>
      <c r="R1904" s="7" t="str">
        <f t="shared" si="40"/>
        <v>E:\附赠：Excel模板\企业管理全套报表EXCEL模板\财务行政EXCEL模板338个</v>
      </c>
      <c r="S1904" s="9">
        <v>43600.3821990741</v>
      </c>
      <c r="T1904" s="9">
        <v>43390.515462963</v>
      </c>
    </row>
    <row r="1905" spans="14:20">
      <c r="N1905" s="7" t="str">
        <f>HYPERLINK("E:\附赠：Excel模板\企业管理全套报表EXCEL模板\财务行政EXCEL模板338个\调查问卷2.xlt","调查问卷2.xlt")</f>
        <v>调查问卷2.xlt</v>
      </c>
      <c r="Q1905">
        <v>0.08</v>
      </c>
      <c r="R1905" s="7" t="str">
        <f t="shared" si="40"/>
        <v>E:\附赠：Excel模板\企业管理全套报表EXCEL模板\财务行政EXCEL模板338个</v>
      </c>
      <c r="S1905" s="9">
        <v>43600.3821990741</v>
      </c>
      <c r="T1905" s="9">
        <v>43390.515462963</v>
      </c>
    </row>
    <row r="1906" spans="14:20">
      <c r="N1906" s="7" t="str">
        <f>HYPERLINK("E:\附赠：Excel模板\企业管理全套报表EXCEL模板\财务行政EXCEL模板338个\调研问卷结果统计.xls","调研问卷结果统计.xls")</f>
        <v>调研问卷结果统计.xls</v>
      </c>
      <c r="Q1906">
        <v>0.1</v>
      </c>
      <c r="R1906" s="7" t="str">
        <f t="shared" si="40"/>
        <v>E:\附赠：Excel模板\企业管理全套报表EXCEL模板\财务行政EXCEL模板338个</v>
      </c>
      <c r="S1906" s="9">
        <v>43600.3821990741</v>
      </c>
      <c r="T1906" s="9">
        <v>43390.515462963</v>
      </c>
    </row>
    <row r="1907" spans="14:20">
      <c r="N1907" s="7" t="str">
        <f>HYPERLINK("E:\附赠：Excel模板\企业管理全套报表EXCEL模板\财务行政EXCEL模板338个\调研问卷结果统计.xlt","调研问卷结果统计.xlt")</f>
        <v>调研问卷结果统计.xlt</v>
      </c>
      <c r="Q1907">
        <v>0.1</v>
      </c>
      <c r="R1907" s="7" t="str">
        <f t="shared" si="40"/>
        <v>E:\附赠：Excel模板\企业管理全套报表EXCEL模板\财务行政EXCEL模板338个</v>
      </c>
      <c r="S1907" s="9">
        <v>43600.3821990741</v>
      </c>
      <c r="T1907" s="9">
        <v>43390.515462963</v>
      </c>
    </row>
    <row r="1908" spans="14:20">
      <c r="N1908" s="7" t="str">
        <f>HYPERLINK("E:\附赠：Excel模板\企业管理全套报表EXCEL模板\财务行政EXCEL模板338个\财务分析.xls","财务分析.xls")</f>
        <v>财务分析.xls</v>
      </c>
      <c r="Q1908">
        <v>1.47</v>
      </c>
      <c r="R1908" s="7" t="str">
        <f t="shared" si="40"/>
        <v>E:\附赠：Excel模板\企业管理全套报表EXCEL模板\财务行政EXCEL模板338个</v>
      </c>
      <c r="S1908" s="9">
        <v>43600.3821990741</v>
      </c>
      <c r="T1908" s="9">
        <v>43390.5155324074</v>
      </c>
    </row>
    <row r="1909" spans="14:20">
      <c r="N1909" s="7" t="str">
        <f>HYPERLINK("E:\附赠：Excel模板\企业管理全套报表EXCEL模板\财务行政EXCEL模板338个\财务分析.xlt","财务分析.xlt")</f>
        <v>财务分析.xlt</v>
      </c>
      <c r="Q1909">
        <v>1.47</v>
      </c>
      <c r="R1909" s="7" t="str">
        <f t="shared" si="40"/>
        <v>E:\附赠：Excel模板\企业管理全套报表EXCEL模板\财务行政EXCEL模板338个</v>
      </c>
      <c r="S1909" s="9">
        <v>43600.3821990741</v>
      </c>
      <c r="T1909" s="9">
        <v>43390.5155324074</v>
      </c>
    </row>
    <row r="1910" spans="14:20">
      <c r="N1910" s="7" t="str">
        <f>HYPERLINK("E:\附赠：Excel模板\企业管理全套报表EXCEL模板\财务行政EXCEL模板338个\财务分析2.xls","财务分析2.xls")</f>
        <v>财务分析2.xls</v>
      </c>
      <c r="Q1910">
        <v>1.47</v>
      </c>
      <c r="R1910" s="7" t="str">
        <f t="shared" si="40"/>
        <v>E:\附赠：Excel模板\企业管理全套报表EXCEL模板\财务行政EXCEL模板338个</v>
      </c>
      <c r="S1910" s="9">
        <v>43600.3821990741</v>
      </c>
      <c r="T1910" s="9">
        <v>43390.5155324074</v>
      </c>
    </row>
    <row r="1911" spans="14:20">
      <c r="N1911" s="7" t="str">
        <f>HYPERLINK("E:\附赠：Excel模板\企业管理全套报表EXCEL模板\财务行政EXCEL模板338个\账务处理.xls","账务处理.xls")</f>
        <v>账务处理.xls</v>
      </c>
      <c r="Q1911">
        <v>0.08</v>
      </c>
      <c r="R1911" s="7" t="str">
        <f t="shared" si="40"/>
        <v>E:\附赠：Excel模板\企业管理全套报表EXCEL模板\财务行政EXCEL模板338个</v>
      </c>
      <c r="S1911" s="9">
        <v>43600.3821990741</v>
      </c>
      <c r="T1911" s="9">
        <v>43390.5150694444</v>
      </c>
    </row>
    <row r="1912" spans="14:20">
      <c r="N1912" s="7" t="str">
        <f>HYPERLINK("E:\附赠：Excel模板\企业管理全套报表EXCEL模板\财务行政EXCEL模板338个\账务处理.xlt","账务处理.xlt")</f>
        <v>账务处理.xlt</v>
      </c>
      <c r="Q1912">
        <v>0.08</v>
      </c>
      <c r="R1912" s="7" t="str">
        <f t="shared" si="40"/>
        <v>E:\附赠：Excel模板\企业管理全套报表EXCEL模板\财务行政EXCEL模板338个</v>
      </c>
      <c r="S1912" s="9">
        <v>43600.3821990741</v>
      </c>
      <c r="T1912" s="9">
        <v>43390.5150694444</v>
      </c>
    </row>
    <row r="1913" spans="14:20">
      <c r="N1913" s="7" t="str">
        <f>HYPERLINK("E:\附赠：Excel模板\企业管理全套报表EXCEL模板\财务行政EXCEL模板338个\货币换算.xlt","货币换算.xlt")</f>
        <v>货币换算.xlt</v>
      </c>
      <c r="Q1913">
        <v>0.03</v>
      </c>
      <c r="R1913" s="7" t="str">
        <f t="shared" si="40"/>
        <v>E:\附赠：Excel模板\企业管理全套报表EXCEL模板\财务行政EXCEL模板338个</v>
      </c>
      <c r="S1913" s="9">
        <v>43600.3821990741</v>
      </c>
      <c r="T1913" s="9">
        <v>43390.5153935185</v>
      </c>
    </row>
    <row r="1914" spans="14:20">
      <c r="N1914" s="7" t="str">
        <f>HYPERLINK("E:\附赠：Excel模板\企业管理全套报表EXCEL模板\财务行政EXCEL模板338个\贫困学生登记表.xls","贫困学生登记表.xls")</f>
        <v>贫困学生登记表.xls</v>
      </c>
      <c r="Q1914">
        <v>0.02</v>
      </c>
      <c r="R1914" s="7" t="str">
        <f t="shared" si="40"/>
        <v>E:\附赠：Excel模板\企业管理全套报表EXCEL模板\财务行政EXCEL模板338个</v>
      </c>
      <c r="S1914" s="9">
        <v>43600.3821990741</v>
      </c>
      <c r="T1914" s="9">
        <v>43390.5153009259</v>
      </c>
    </row>
    <row r="1915" spans="14:20">
      <c r="N1915" s="7" t="str">
        <f>HYPERLINK("E:\附赠：Excel模板\企业管理全套报表EXCEL模板\财务行政EXCEL模板338个\贫困户家庭情况一览表.xls","贫困户家庭情况一览表.xls")</f>
        <v>贫困户家庭情况一览表.xls</v>
      </c>
      <c r="Q1915">
        <v>0.01</v>
      </c>
      <c r="R1915" s="7" t="str">
        <f t="shared" si="40"/>
        <v>E:\附赠：Excel模板\企业管理全套报表EXCEL模板\财务行政EXCEL模板338个</v>
      </c>
      <c r="S1915" s="9">
        <v>43600.3821990741</v>
      </c>
      <c r="T1915" s="9">
        <v>43390.5153240741</v>
      </c>
    </row>
    <row r="1916" spans="14:20">
      <c r="N1916" s="7" t="str">
        <f>HYPERLINK("E:\附赠：Excel模板\企业管理全套报表EXCEL模板\财务行政EXCEL模板338个\贷款计算器.xlt","贷款计算器.xlt")</f>
        <v>贷款计算器.xlt</v>
      </c>
      <c r="Q1916">
        <v>0.29</v>
      </c>
      <c r="R1916" s="7" t="str">
        <f t="shared" si="40"/>
        <v>E:\附赠：Excel模板\企业管理全套报表EXCEL模板\财务行政EXCEL模板338个</v>
      </c>
      <c r="S1916" s="9">
        <v>43600.3821990741</v>
      </c>
      <c r="T1916" s="9">
        <v>43390.5154861111</v>
      </c>
    </row>
    <row r="1917" spans="14:20">
      <c r="N1917" s="7" t="str">
        <f>HYPERLINK("E:\附赠：Excel模板\企业管理全套报表EXCEL模板\财务行政EXCEL模板338个\资产负债表.xls","资产负债表.xls")</f>
        <v>资产负债表.xls</v>
      </c>
      <c r="Q1917">
        <v>0.03</v>
      </c>
      <c r="R1917" s="7" t="str">
        <f t="shared" si="40"/>
        <v>E:\附赠：Excel模板\企业管理全套报表EXCEL模板\财务行政EXCEL模板338个</v>
      </c>
      <c r="S1917" s="9">
        <v>43600.3821990741</v>
      </c>
      <c r="T1917" s="9">
        <v>43390.5150462963</v>
      </c>
    </row>
    <row r="1918" spans="14:20">
      <c r="N1918" s="7" t="str">
        <f>HYPERLINK("E:\附赠：Excel模板\企业管理全套报表EXCEL模板\财务行政EXCEL模板338个\资产负债表.xlt","资产负债表.xlt")</f>
        <v>资产负债表.xlt</v>
      </c>
      <c r="Q1918">
        <v>0.05</v>
      </c>
      <c r="R1918" s="7" t="str">
        <f t="shared" si="40"/>
        <v>E:\附赠：Excel模板\企业管理全套报表EXCEL模板\财务行政EXCEL模板338个</v>
      </c>
      <c r="S1918" s="9">
        <v>43600.3821990741</v>
      </c>
      <c r="T1918" s="9">
        <v>43390.5150462963</v>
      </c>
    </row>
    <row r="1919" spans="14:20">
      <c r="N1919" s="7" t="str">
        <f>HYPERLINK("E:\附赠：Excel模板\企业管理全套报表EXCEL模板\财务行政EXCEL模板338个\资产负债表2.xlt","资产负债表2.xlt")</f>
        <v>资产负债表2.xlt</v>
      </c>
      <c r="Q1919">
        <v>0.03</v>
      </c>
      <c r="R1919" s="7" t="str">
        <f t="shared" si="40"/>
        <v>E:\附赠：Excel模板\企业管理全套报表EXCEL模板\财务行政EXCEL模板338个</v>
      </c>
      <c r="S1919" s="9">
        <v>43600.3821990741</v>
      </c>
      <c r="T1919" s="9">
        <v>43390.5150462963</v>
      </c>
    </row>
    <row r="1920" spans="14:20">
      <c r="N1920" s="7" t="str">
        <f>HYPERLINK("E:\附赠：Excel模板\企业管理全套报表EXCEL模板\财务行政EXCEL模板338个\资产负债表9.xls","资产负债表9.xls")</f>
        <v>资产负债表9.xls</v>
      </c>
      <c r="Q1920">
        <v>0.05</v>
      </c>
      <c r="R1920" s="7" t="str">
        <f t="shared" si="40"/>
        <v>E:\附赠：Excel模板\企业管理全套报表EXCEL模板\财务行政EXCEL模板338个</v>
      </c>
      <c r="S1920" s="9">
        <v>43600.3821990741</v>
      </c>
      <c r="T1920" s="9">
        <v>43390.5150462963</v>
      </c>
    </row>
    <row r="1921" spans="14:20">
      <c r="N1921" s="7" t="str">
        <f>HYPERLINK("E:\附赠：Excel模板\企业管理全套报表EXCEL模板\财务行政EXCEL模板338个\资本成本.xls","资本成本.xls")</f>
        <v>资本成本.xls</v>
      </c>
      <c r="Q1921">
        <v>0.02</v>
      </c>
      <c r="R1921" s="7" t="str">
        <f t="shared" si="40"/>
        <v>E:\附赠：Excel模板\企业管理全套报表EXCEL模板\财务行政EXCEL模板338个</v>
      </c>
      <c r="S1921" s="9">
        <v>43600.3821990741</v>
      </c>
      <c r="T1921" s="9">
        <v>43390.5150462963</v>
      </c>
    </row>
    <row r="1922" spans="14:20">
      <c r="N1922" s="7" t="str">
        <f>HYPERLINK("E:\附赠：Excel模板\企业管理全套报表EXCEL模板\财务行政EXCEL模板338个\资本成本.xlt","资本成本.xlt")</f>
        <v>资本成本.xlt</v>
      </c>
      <c r="Q1922">
        <v>0.02</v>
      </c>
      <c r="R1922" s="7" t="str">
        <f t="shared" si="40"/>
        <v>E:\附赠：Excel模板\企业管理全套报表EXCEL模板\财务行政EXCEL模板338个</v>
      </c>
      <c r="S1922" s="9">
        <v>43600.3821990741</v>
      </c>
      <c r="T1922" s="9">
        <v>43390.5150462963</v>
      </c>
    </row>
    <row r="1923" spans="14:20">
      <c r="N1923" s="7" t="str">
        <f>HYPERLINK("E:\附赠：Excel模板\企业管理全套报表EXCEL模板\财务行政EXCEL模板338个\赊销审核表.xls","赊销审核表.xls")</f>
        <v>赊销审核表.xls</v>
      </c>
      <c r="Q1923">
        <v>0.02</v>
      </c>
      <c r="R1923" s="7" t="str">
        <f t="shared" si="40"/>
        <v>E:\附赠：Excel模板\企业管理全套报表EXCEL模板\财务行政EXCEL模板338个</v>
      </c>
      <c r="S1923" s="9">
        <v>43600.3821990741</v>
      </c>
      <c r="T1923" s="9">
        <v>43390.5152546296</v>
      </c>
    </row>
    <row r="1924" spans="14:20">
      <c r="N1924" s="7" t="str">
        <f>HYPERLINK("E:\附赠：Excel模板\企业管理全套报表EXCEL模板\财务行政EXCEL模板338个\趋势分析表.xls","趋势分析表.xls")</f>
        <v>趋势分析表.xls</v>
      </c>
      <c r="Q1924">
        <v>0.02</v>
      </c>
      <c r="R1924" s="7" t="str">
        <f t="shared" si="40"/>
        <v>E:\附赠：Excel模板\企业管理全套报表EXCEL模板\财务行政EXCEL模板338个</v>
      </c>
      <c r="S1924" s="9">
        <v>43600.3821990741</v>
      </c>
      <c r="T1924" s="9">
        <v>43390.5152777778</v>
      </c>
    </row>
    <row r="1925" spans="14:20">
      <c r="N1925" s="7" t="str">
        <f>HYPERLINK("E:\附赠：Excel模板\企业管理全套报表EXCEL模板\财务行政EXCEL模板338个\车辆使用管理.xls","车辆使用管理.xls")</f>
        <v>车辆使用管理.xls</v>
      </c>
      <c r="Q1925">
        <v>0.02</v>
      </c>
      <c r="R1925" s="7" t="str">
        <f t="shared" si="40"/>
        <v>E:\附赠：Excel模板\企业管理全套报表EXCEL模板\财务行政EXCEL模板338个</v>
      </c>
      <c r="S1925" s="9">
        <v>43600.3821990741</v>
      </c>
      <c r="T1925" s="9">
        <v>43390.5155092593</v>
      </c>
    </row>
    <row r="1926" spans="14:20">
      <c r="N1926" s="7" t="str">
        <f>HYPERLINK("E:\附赠：Excel模板\企业管理全套报表EXCEL模板\财务行政EXCEL模板338个\车辆使用管理.xlt","车辆使用管理.xlt")</f>
        <v>车辆使用管理.xlt</v>
      </c>
      <c r="Q1926">
        <v>0.02</v>
      </c>
      <c r="R1926" s="7" t="str">
        <f t="shared" si="40"/>
        <v>E:\附赠：Excel模板\企业管理全套报表EXCEL模板\财务行政EXCEL模板338个</v>
      </c>
      <c r="S1926" s="9">
        <v>43600.3821990741</v>
      </c>
      <c r="T1926" s="9">
        <v>43390.5155092593</v>
      </c>
    </row>
    <row r="1927" spans="14:20">
      <c r="N1927" s="7" t="str">
        <f>HYPERLINK("E:\附赠：Excel模板\企业管理全套报表EXCEL模板\财务行政EXCEL模板338个\车辆使用管理A.xls","车辆使用管理A.xls")</f>
        <v>车辆使用管理A.xls</v>
      </c>
      <c r="Q1927">
        <v>0.02</v>
      </c>
      <c r="R1927" s="7" t="str">
        <f t="shared" si="40"/>
        <v>E:\附赠：Excel模板\企业管理全套报表EXCEL模板\财务行政EXCEL模板338个</v>
      </c>
      <c r="S1927" s="9">
        <v>43600.3821990741</v>
      </c>
      <c r="T1927" s="9">
        <v>43390.5155092593</v>
      </c>
    </row>
    <row r="1928" spans="14:20">
      <c r="N1928" s="7" t="str">
        <f>HYPERLINK("E:\附赠：Excel模板\企业管理全套报表EXCEL模板\财务行政EXCEL模板338个\车辆使用管理实例拓展.xlt","车辆使用管理实例拓展.xlt")</f>
        <v>车辆使用管理实例拓展.xlt</v>
      </c>
      <c r="Q1928">
        <v>0.02</v>
      </c>
      <c r="R1928" s="7" t="str">
        <f t="shared" si="40"/>
        <v>E:\附赠：Excel模板\企业管理全套报表EXCEL模板\财务行政EXCEL模板338个</v>
      </c>
      <c r="S1928" s="9">
        <v>43600.3821990741</v>
      </c>
      <c r="T1928" s="9">
        <v>43390.5155555556</v>
      </c>
    </row>
    <row r="1929" spans="14:20">
      <c r="N1929" s="7" t="str">
        <f>HYPERLINK("E:\附赠：Excel模板\企业管理全套报表EXCEL模板\财务行政EXCEL模板338个\轿车销售.xls","轿车销售.xls")</f>
        <v>轿车销售.xls</v>
      </c>
      <c r="Q1929">
        <v>0.02</v>
      </c>
      <c r="R1929" s="7" t="str">
        <f t="shared" si="40"/>
        <v>E:\附赠：Excel模板\企业管理全套报表EXCEL模板\财务行政EXCEL模板338个</v>
      </c>
      <c r="S1929" s="9">
        <v>43600.3821990741</v>
      </c>
      <c r="T1929" s="9">
        <v>43390.5153703704</v>
      </c>
    </row>
    <row r="1930" spans="14:20">
      <c r="N1930" s="7" t="str">
        <f>HYPERLINK("E:\附赠：Excel模板\企业管理全套报表EXCEL模板\财务行政EXCEL模板338个\轿车销售.xlt","轿车销售.xlt")</f>
        <v>轿车销售.xlt</v>
      </c>
      <c r="Q1930">
        <v>0.02</v>
      </c>
      <c r="R1930" s="7" t="str">
        <f t="shared" si="40"/>
        <v>E:\附赠：Excel模板\企业管理全套报表EXCEL模板\财务行政EXCEL模板338个</v>
      </c>
      <c r="S1930" s="9">
        <v>43600.3821990741</v>
      </c>
      <c r="T1930" s="9">
        <v>43390.5153472222</v>
      </c>
    </row>
    <row r="1931" spans="14:20">
      <c r="N1931" s="7" t="str">
        <f>HYPERLINK("E:\附赠：Excel模板\企业管理全套报表EXCEL模板\财务行政EXCEL模板338个\运用函数建立超链接.xlt","运用函数建立超链接.xlt")</f>
        <v>运用函数建立超链接.xlt</v>
      </c>
      <c r="Q1931">
        <v>0.01</v>
      </c>
      <c r="R1931" s="7" t="str">
        <f t="shared" si="40"/>
        <v>E:\附赠：Excel模板\企业管理全套报表EXCEL模板\财务行政EXCEL模板338个</v>
      </c>
      <c r="S1931" s="9">
        <v>43600.3821990741</v>
      </c>
      <c r="T1931" s="9">
        <v>43390.5150925926</v>
      </c>
    </row>
    <row r="1932" spans="14:20">
      <c r="N1932" s="7" t="str">
        <f>HYPERLINK("E:\附赠：Excel模板\企业管理全套报表EXCEL模板\财务行政EXCEL模板338个\运用逻辑函数判断闰年.xlt","运用逻辑函数判断闰年.xlt")</f>
        <v>运用逻辑函数判断闰年.xlt</v>
      </c>
      <c r="Q1932">
        <v>0.01</v>
      </c>
      <c r="R1932" s="7" t="str">
        <f t="shared" si="40"/>
        <v>E:\附赠：Excel模板\企业管理全套报表EXCEL模板\财务行政EXCEL模板338个</v>
      </c>
      <c r="S1932" s="9">
        <v>43600.3821990741</v>
      </c>
      <c r="T1932" s="9">
        <v>43390.5150925926</v>
      </c>
    </row>
    <row r="1933" spans="14:20">
      <c r="N1933" s="7" t="str">
        <f>HYPERLINK("E:\附赠：Excel模板\企业管理全套报表EXCEL模板\财务行政EXCEL模板338个\进销存管理.xls","进销存管理.xls")</f>
        <v>进销存管理.xls</v>
      </c>
      <c r="Q1933">
        <v>0.04</v>
      </c>
      <c r="R1933" s="7" t="str">
        <f t="shared" si="40"/>
        <v>E:\附赠：Excel模板\企业管理全套报表EXCEL模板\财务行政EXCEL模板338个</v>
      </c>
      <c r="S1933" s="9">
        <v>43600.3821990741</v>
      </c>
      <c r="T1933" s="9">
        <v>43390.5153472222</v>
      </c>
    </row>
    <row r="1934" spans="14:20">
      <c r="N1934" s="7" t="str">
        <f>HYPERLINK("E:\附赠：Excel模板\企业管理全套报表EXCEL模板\财务行政EXCEL模板338个\进销存管理.xlt","进销存管理.xlt")</f>
        <v>进销存管理.xlt</v>
      </c>
      <c r="Q1934">
        <v>0.04</v>
      </c>
      <c r="R1934" s="7" t="str">
        <f t="shared" si="40"/>
        <v>E:\附赠：Excel模板\企业管理全套报表EXCEL模板\财务行政EXCEL模板338个</v>
      </c>
      <c r="S1934" s="9">
        <v>43600.3821990741</v>
      </c>
      <c r="T1934" s="9">
        <v>43390.5153472222</v>
      </c>
    </row>
    <row r="1935" spans="14:20">
      <c r="N1935" s="7" t="str">
        <f>HYPERLINK("E:\附赠：Excel模板\企业管理全套报表EXCEL模板\财务行政EXCEL模板338个\进销存管理界面.xls","进销存管理界面.xls")</f>
        <v>进销存管理界面.xls</v>
      </c>
      <c r="Q1935">
        <v>0.17</v>
      </c>
      <c r="R1935" s="7" t="str">
        <f t="shared" si="40"/>
        <v>E:\附赠：Excel模板\企业管理全套报表EXCEL模板\财务行政EXCEL模板338个</v>
      </c>
      <c r="S1935" s="9">
        <v>43600.3821990741</v>
      </c>
      <c r="T1935" s="9">
        <v>43390.5153472222</v>
      </c>
    </row>
    <row r="1936" spans="14:20">
      <c r="N1936" s="7" t="str">
        <f>HYPERLINK("E:\附赠：Excel模板\企业管理全套报表EXCEL模板\财务行政EXCEL模板338个\通讯录.XLT","通讯录.XLT")</f>
        <v>通讯录.XLT</v>
      </c>
      <c r="Q1936">
        <v>0.02</v>
      </c>
      <c r="R1936" s="7" t="str">
        <f t="shared" si="40"/>
        <v>E:\附赠：Excel模板\企业管理全套报表EXCEL模板\财务行政EXCEL模板338个</v>
      </c>
      <c r="S1936" s="9">
        <v>43600.3821990741</v>
      </c>
      <c r="T1936" s="9">
        <v>43390.5152083333</v>
      </c>
    </row>
    <row r="1937" spans="14:20">
      <c r="N1937" s="7" t="str">
        <f>HYPERLINK("E:\附赠：Excel模板\企业管理全套报表EXCEL模板\财务行政EXCEL模板338个\通讯费年度计划表.xls","通讯费年度计划表.xls")</f>
        <v>通讯费年度计划表.xls</v>
      </c>
      <c r="Q1937">
        <v>0.03</v>
      </c>
      <c r="R1937" s="7" t="str">
        <f t="shared" si="40"/>
        <v>E:\附赠：Excel模板\企业管理全套报表EXCEL模板\财务行政EXCEL模板338个</v>
      </c>
      <c r="S1937" s="9">
        <v>43600.3821990741</v>
      </c>
      <c r="T1937" s="9">
        <v>43390.5152083333</v>
      </c>
    </row>
    <row r="1938" spans="14:20">
      <c r="N1938" s="7" t="str">
        <f>HYPERLINK("E:\附赠：Excel模板\企业管理全套报表EXCEL模板\财务行政EXCEL模板338个\通讯费年度计划表.xlt","通讯费年度计划表.xlt")</f>
        <v>通讯费年度计划表.xlt</v>
      </c>
      <c r="Q1938">
        <v>0.03</v>
      </c>
      <c r="R1938" s="7" t="str">
        <f t="shared" si="40"/>
        <v>E:\附赠：Excel模板\企业管理全套报表EXCEL模板\财务行政EXCEL模板338个</v>
      </c>
      <c r="S1938" s="9">
        <v>43600.3821990741</v>
      </c>
      <c r="T1938" s="9">
        <v>43390.5152083333</v>
      </c>
    </row>
    <row r="1939" spans="14:20">
      <c r="N1939" s="7" t="str">
        <f>HYPERLINK("E:\附赠：Excel模板\企业管理全套报表EXCEL模板\财务行政EXCEL模板338个\销售报表分析.xlt","销售报表分析.xlt")</f>
        <v>销售报表分析.xlt</v>
      </c>
      <c r="Q1939">
        <v>0.08</v>
      </c>
      <c r="R1939" s="7" t="str">
        <f t="shared" si="40"/>
        <v>E:\附赠：Excel模板\企业管理全套报表EXCEL模板\财务行政EXCEL模板338个</v>
      </c>
      <c r="S1939" s="9">
        <v>43600.3821990741</v>
      </c>
      <c r="T1939" s="9">
        <v>43390.515162037</v>
      </c>
    </row>
    <row r="1940" spans="14:20">
      <c r="N1940" s="7" t="str">
        <f>HYPERLINK("E:\附赠：Excel模板\企业管理全套报表EXCEL模板\财务行政EXCEL模板338个\销售数据汇总分析.xls","销售数据汇总分析.xls")</f>
        <v>销售数据汇总分析.xls</v>
      </c>
      <c r="Q1940">
        <v>0.03</v>
      </c>
      <c r="R1940" s="7" t="str">
        <f t="shared" si="40"/>
        <v>E:\附赠：Excel模板\企业管理全套报表EXCEL模板\财务行政EXCEL模板338个</v>
      </c>
      <c r="S1940" s="9">
        <v>43600.3821990741</v>
      </c>
      <c r="T1940" s="9">
        <v>43390.515162037</v>
      </c>
    </row>
    <row r="1941" spans="14:20">
      <c r="N1941" s="7" t="str">
        <f>HYPERLINK("E:\附赠：Excel模板\企业管理全套报表EXCEL模板\财务行政EXCEL模板338个\销售数据汇总分析.xlt","销售数据汇总分析.xlt")</f>
        <v>销售数据汇总分析.xlt</v>
      </c>
      <c r="Q1941">
        <v>0.03</v>
      </c>
      <c r="R1941" s="7" t="str">
        <f t="shared" ref="R1941:R1958" si="41">HYPERLINK("E:\附赠：Excel模板\企业管理全套报表EXCEL模板\财务行政EXCEL模板338个","E:\附赠：Excel模板\企业管理全套报表EXCEL模板\财务行政EXCEL模板338个")</f>
        <v>E:\附赠：Excel模板\企业管理全套报表EXCEL模板\财务行政EXCEL模板338个</v>
      </c>
      <c r="S1941" s="9">
        <v>43600.3821990741</v>
      </c>
      <c r="T1941" s="9">
        <v>43390.515162037</v>
      </c>
    </row>
    <row r="1942" spans="14:20">
      <c r="N1942" s="7" t="str">
        <f>HYPERLINK("E:\附赠：Excel模板\企业管理全套报表EXCEL模板\财务行政EXCEL模板338个\销售记录单的编辑.xlt","销售记录单的编辑.xlt")</f>
        <v>销售记录单的编辑.xlt</v>
      </c>
      <c r="Q1942">
        <v>0.13</v>
      </c>
      <c r="R1942" s="7" t="str">
        <f t="shared" si="41"/>
        <v>E:\附赠：Excel模板\企业管理全套报表EXCEL模板\财务行政EXCEL模板338个</v>
      </c>
      <c r="S1942" s="9">
        <v>43600.3821990741</v>
      </c>
      <c r="T1942" s="9">
        <v>43390.515162037</v>
      </c>
    </row>
    <row r="1943" spans="14:20">
      <c r="N1943" s="7" t="str">
        <f>HYPERLINK("E:\附赠：Excel模板\企业管理全套报表EXCEL模板\财务行政EXCEL模板338个\销售部全年记录.xls","销售部全年记录.xls")</f>
        <v>销售部全年记录.xls</v>
      </c>
      <c r="Q1943">
        <v>0.04</v>
      </c>
      <c r="R1943" s="7" t="str">
        <f t="shared" si="41"/>
        <v>E:\附赠：Excel模板\企业管理全套报表EXCEL模板\财务行政EXCEL模板338个</v>
      </c>
      <c r="S1943" s="9">
        <v>43600.3821990741</v>
      </c>
      <c r="T1943" s="9">
        <v>43390.5151851852</v>
      </c>
    </row>
    <row r="1944" spans="14:20">
      <c r="N1944" s="7" t="str">
        <f>HYPERLINK("E:\附赠：Excel模板\企业管理全套报表EXCEL模板\财务行政EXCEL模板338个\销售部全年记录.xlt","销售部全年记录.xlt")</f>
        <v>销售部全年记录.xlt</v>
      </c>
      <c r="Q1944">
        <v>0.04</v>
      </c>
      <c r="R1944" s="7" t="str">
        <f t="shared" si="41"/>
        <v>E:\附赠：Excel模板\企业管理全套报表EXCEL模板\财务行政EXCEL模板338个</v>
      </c>
      <c r="S1944" s="9">
        <v>43600.3821990741</v>
      </c>
      <c r="T1944" s="9">
        <v>43390.515162037</v>
      </c>
    </row>
    <row r="1945" spans="14:20">
      <c r="N1945" s="7" t="str">
        <f>HYPERLINK("E:\附赠：Excel模板\企业管理全套报表EXCEL模板\财务行政EXCEL模板338个\销售部员工资料表.xls","销售部员工资料表.xls")</f>
        <v>销售部员工资料表.xls</v>
      </c>
      <c r="Q1945">
        <v>0.07</v>
      </c>
      <c r="R1945" s="7" t="str">
        <f t="shared" si="41"/>
        <v>E:\附赠：Excel模板\企业管理全套报表EXCEL模板\财务行政EXCEL模板338个</v>
      </c>
      <c r="S1945" s="9">
        <v>43600.3821990741</v>
      </c>
      <c r="T1945" s="9">
        <v>43390.515162037</v>
      </c>
    </row>
    <row r="1946" spans="14:20">
      <c r="N1946" s="7" t="str">
        <f>HYPERLINK("E:\附赠：Excel模板\企业管理全套报表EXCEL模板\财务行政EXCEL模板338个\销售部员工资料表.xlt","销售部员工资料表.xlt")</f>
        <v>销售部员工资料表.xlt</v>
      </c>
      <c r="Q1946">
        <v>0.07</v>
      </c>
      <c r="R1946" s="7" t="str">
        <f t="shared" si="41"/>
        <v>E:\附赠：Excel模板\企业管理全套报表EXCEL模板\财务行政EXCEL模板338个</v>
      </c>
      <c r="S1946" s="9">
        <v>43600.3821990741</v>
      </c>
      <c r="T1946" s="9">
        <v>43390.515162037</v>
      </c>
    </row>
    <row r="1947" spans="14:20">
      <c r="N1947" s="7" t="str">
        <f>HYPERLINK("E:\附赠：Excel模板\企业管理全套报表EXCEL模板\财务行政EXCEL模板338个\销售额预测.xls","销售额预测.xls")</f>
        <v>销售额预测.xls</v>
      </c>
      <c r="Q1947">
        <v>0.03</v>
      </c>
      <c r="R1947" s="7" t="str">
        <f t="shared" si="41"/>
        <v>E:\附赠：Excel模板\企业管理全套报表EXCEL模板\财务行政EXCEL模板338个</v>
      </c>
      <c r="S1947" s="9">
        <v>43600.3821990741</v>
      </c>
      <c r="T1947" s="9">
        <v>43390.515162037</v>
      </c>
    </row>
    <row r="1948" spans="14:20">
      <c r="N1948" s="7" t="str">
        <f>HYPERLINK("E:\附赠：Excel模板\企业管理全套报表EXCEL模板\财务行政EXCEL模板338个\销售额预测.xlt","销售额预测.xlt")</f>
        <v>销售额预测.xlt</v>
      </c>
      <c r="Q1948">
        <v>0.03</v>
      </c>
      <c r="R1948" s="7" t="str">
        <f t="shared" si="41"/>
        <v>E:\附赠：Excel模板\企业管理全套报表EXCEL模板\财务行政EXCEL模板338个</v>
      </c>
      <c r="S1948" s="9">
        <v>43600.3821990741</v>
      </c>
      <c r="T1948" s="9">
        <v>43390.515162037</v>
      </c>
    </row>
    <row r="1949" spans="14:20">
      <c r="N1949" s="7" t="str">
        <f>HYPERLINK("E:\附赠：Excel模板\企业管理全套报表EXCEL模板\财务行政EXCEL模板338个\销量提成的计算及相关图表.xlt","销量提成的计算及相关图表.xlt")</f>
        <v>销量提成的计算及相关图表.xlt</v>
      </c>
      <c r="Q1949">
        <v>0.03</v>
      </c>
      <c r="R1949" s="7" t="str">
        <f t="shared" si="41"/>
        <v>E:\附赠：Excel模板\企业管理全套报表EXCEL模板\财务行政EXCEL模板338个</v>
      </c>
      <c r="S1949" s="9">
        <v>43600.3821990741</v>
      </c>
      <c r="T1949" s="9">
        <v>43390.515162037</v>
      </c>
    </row>
    <row r="1950" spans="14:20">
      <c r="N1950" s="7" t="str">
        <f>HYPERLINK("E:\附赠：Excel模板\企业管理全套报表EXCEL模板\财务行政EXCEL模板338个\非线性回归和移动平均.xls","非线性回归和移动平均.xls")</f>
        <v>非线性回归和移动平均.xls</v>
      </c>
      <c r="Q1950">
        <v>0.04</v>
      </c>
      <c r="R1950" s="7" t="str">
        <f t="shared" si="41"/>
        <v>E:\附赠：Excel模板\企业管理全套报表EXCEL模板\财务行政EXCEL模板338个</v>
      </c>
      <c r="S1950" s="9">
        <v>43600.3821990741</v>
      </c>
      <c r="T1950" s="9">
        <v>43390.5154398148</v>
      </c>
    </row>
    <row r="1951" spans="14:20">
      <c r="N1951" s="7" t="str">
        <f>HYPERLINK("E:\附赠：Excel模板\企业管理全套报表EXCEL模板\财务行政EXCEL模板338个\非线性回归和移动平均.xlt","非线性回归和移动平均.xlt")</f>
        <v>非线性回归和移动平均.xlt</v>
      </c>
      <c r="Q1951">
        <v>0.04</v>
      </c>
      <c r="R1951" s="7" t="str">
        <f t="shared" si="41"/>
        <v>E:\附赠：Excel模板\企业管理全套报表EXCEL模板\财务行政EXCEL模板338个</v>
      </c>
      <c r="S1951" s="9">
        <v>43600.3821990741</v>
      </c>
      <c r="T1951" s="9">
        <v>43390.5154398148</v>
      </c>
    </row>
    <row r="1952" spans="14:20">
      <c r="N1952" s="7" t="str">
        <f>HYPERLINK("E:\附赠：Excel模板\企业管理全套报表EXCEL模板\财务行政EXCEL模板338个\预算的编制.xls","预算的编制.xls")</f>
        <v>预算的编制.xls</v>
      </c>
      <c r="Q1952">
        <v>0.09</v>
      </c>
      <c r="R1952" s="7" t="str">
        <f t="shared" si="41"/>
        <v>E:\附赠：Excel模板\企业管理全套报表EXCEL模板\财务行政EXCEL模板338个</v>
      </c>
      <c r="S1952" s="9">
        <v>43600.3821990741</v>
      </c>
      <c r="T1952" s="9">
        <v>43390.5151157407</v>
      </c>
    </row>
    <row r="1953" spans="14:20">
      <c r="N1953" s="7" t="str">
        <f>HYPERLINK("E:\附赠：Excel模板\企业管理全套报表EXCEL模板\财务行政EXCEL模板338个\预算的编制.xlt","预算的编制.xlt")</f>
        <v>预算的编制.xlt</v>
      </c>
      <c r="Q1953">
        <v>0.09</v>
      </c>
      <c r="R1953" s="7" t="str">
        <f t="shared" si="41"/>
        <v>E:\附赠：Excel模板\企业管理全套报表EXCEL模板\财务行政EXCEL模板338个</v>
      </c>
      <c r="S1953" s="9">
        <v>43600.3821990741</v>
      </c>
      <c r="T1953" s="9">
        <v>43390.5151157407</v>
      </c>
    </row>
    <row r="1954" spans="14:20">
      <c r="N1954" s="7" t="str">
        <f>HYPERLINK("E:\附赠：Excel模板\企业管理全套报表EXCEL模板\财务行政EXCEL模板338个\马尔可夫.xls","马尔可夫.xls")</f>
        <v>马尔可夫.xls</v>
      </c>
      <c r="Q1954">
        <v>0.03</v>
      </c>
      <c r="R1954" s="7" t="str">
        <f t="shared" si="41"/>
        <v>E:\附赠：Excel模板\企业管理全套报表EXCEL模板\财务行政EXCEL模板338个</v>
      </c>
      <c r="S1954" s="9">
        <v>43600.3821990741</v>
      </c>
      <c r="T1954" s="9">
        <v>43390.5153240741</v>
      </c>
    </row>
    <row r="1955" spans="14:20">
      <c r="N1955" s="7" t="str">
        <f>HYPERLINK("E:\附赠：Excel模板\企业管理全套报表EXCEL模板\财务行政EXCEL模板338个\马尔可夫.xlt","马尔可夫.xlt")</f>
        <v>马尔可夫.xlt</v>
      </c>
      <c r="Q1955">
        <v>0.03</v>
      </c>
      <c r="R1955" s="7" t="str">
        <f t="shared" si="41"/>
        <v>E:\附赠：Excel模板\企业管理全套报表EXCEL模板\财务行政EXCEL模板338个</v>
      </c>
      <c r="S1955" s="9">
        <v>43600.3821990741</v>
      </c>
      <c r="T1955" s="9">
        <v>43390.5153240741</v>
      </c>
    </row>
    <row r="1956" spans="14:20">
      <c r="N1956" s="7" t="str">
        <f>HYPERLINK("E:\附赠：Excel模板\企业管理全套报表EXCEL模板\财务行政EXCEL模板338个\马尔可夫预测法.xls","马尔可夫预测法.xls")</f>
        <v>马尔可夫预测法.xls</v>
      </c>
      <c r="Q1956">
        <v>0.05</v>
      </c>
      <c r="R1956" s="7" t="str">
        <f t="shared" si="41"/>
        <v>E:\附赠：Excel模板\企业管理全套报表EXCEL模板\财务行政EXCEL模板338个</v>
      </c>
      <c r="S1956" s="9">
        <v>43600.3821990741</v>
      </c>
      <c r="T1956" s="9">
        <v>43390.5153240741</v>
      </c>
    </row>
    <row r="1957" spans="14:20">
      <c r="N1957" s="7" t="str">
        <f>HYPERLINK("E:\附赠：Excel模板\企业管理全套报表EXCEL模板\财务行政EXCEL模板338个\马尔可夫预测法.xlt","马尔可夫预测法.xlt")</f>
        <v>马尔可夫预测法.xlt</v>
      </c>
      <c r="Q1957">
        <v>0.05</v>
      </c>
      <c r="R1957" s="7" t="str">
        <f t="shared" si="41"/>
        <v>E:\附赠：Excel模板\企业管理全套报表EXCEL模板\财务行政EXCEL模板338个</v>
      </c>
      <c r="S1957" s="9">
        <v>43600.3821990741</v>
      </c>
      <c r="T1957" s="9">
        <v>43390.5153240741</v>
      </c>
    </row>
    <row r="1958" spans="14:20">
      <c r="N1958" s="7" t="str">
        <f>HYPERLINK("E:\附赠：Excel模板\企业管理全套报表EXCEL模板\财务行政EXCEL模板338个\驱动.xlt","驱动.xlt")</f>
        <v>驱动.xlt</v>
      </c>
      <c r="Q1958">
        <v>0.02</v>
      </c>
      <c r="R1958" s="7" t="str">
        <f t="shared" si="41"/>
        <v>E:\附赠：Excel模板\企业管理全套报表EXCEL模板\财务行政EXCEL模板338个</v>
      </c>
      <c r="S1958" s="9">
        <v>43600.3821990741</v>
      </c>
      <c r="T1958" s="9">
        <v>43390.5152777778</v>
      </c>
    </row>
    <row r="1959" spans="14:20">
      <c r="N1959" t="s">
        <v>15</v>
      </c>
      <c r="Q1959" t="s">
        <v>15</v>
      </c>
      <c r="R1959" t="s">
        <v>15</v>
      </c>
      <c r="S1959" t="s">
        <v>15</v>
      </c>
      <c r="T1959" t="s">
        <v>15</v>
      </c>
    </row>
    <row r="1960" spans="14:20">
      <c r="N1960" s="7" t="str">
        <f>HYPERLINK("E:\附赠：Excel模板\精美EXCEL模板\加入QQ群获取更多免费资源.txt","加入QQ群获取更多免费资源.txt")</f>
        <v>加入QQ群获取更多免费资源.txt</v>
      </c>
      <c r="Q1960">
        <v>0</v>
      </c>
      <c r="R1960" s="7" t="str">
        <f>HYPERLINK("E:\附赠：Excel模板\精美EXCEL模板","E:\附赠：Excel模板\精美EXCEL模板")</f>
        <v>E:\附赠：Excel模板\精美EXCEL模板</v>
      </c>
      <c r="S1960" s="9">
        <v>43600.3831597222</v>
      </c>
      <c r="T1960" s="9">
        <v>43598.4481481481</v>
      </c>
    </row>
    <row r="1961" spans="14:20">
      <c r="N1961" s="7" t="str">
        <f>HYPERLINK("E:\附赠：Excel模板\精美EXCEL模板\找淘宝天猫优惠卷 买东西必搜.url","找淘宝天猫优惠卷 买东西必搜.url")</f>
        <v>找淘宝天猫优惠卷 买东西必搜.url</v>
      </c>
      <c r="Q1961">
        <v>0</v>
      </c>
      <c r="R1961" s="7" t="str">
        <f>HYPERLINK("E:\附赠：Excel模板\精美EXCEL模板","E:\附赠：Excel模板\精美EXCEL模板")</f>
        <v>E:\附赠：Excel模板\精美EXCEL模板</v>
      </c>
      <c r="S1961" s="9">
        <v>43600.3831597222</v>
      </c>
      <c r="T1961" s="9">
        <v>43597.4836805556</v>
      </c>
    </row>
    <row r="1962" spans="14:20">
      <c r="N1962" t="s">
        <v>15</v>
      </c>
      <c r="Q1962" t="s">
        <v>15</v>
      </c>
      <c r="R1962" t="s">
        <v>15</v>
      </c>
      <c r="S1962" t="s">
        <v>15</v>
      </c>
      <c r="T1962" t="s">
        <v>15</v>
      </c>
    </row>
    <row r="1963" spans="14:20">
      <c r="N1963" t="s">
        <v>15</v>
      </c>
      <c r="Q1963" t="s">
        <v>15</v>
      </c>
      <c r="R1963" t="s">
        <v>15</v>
      </c>
      <c r="S1963" t="s">
        <v>15</v>
      </c>
      <c r="T1963" t="s">
        <v>15</v>
      </c>
    </row>
    <row r="1964" spans="14:20">
      <c r="N1964" s="7" t="str">
        <f>HYPERLINK("E:\附赠：Excel模板\精美EXCEL模板\VBA素材与模板\其他模板\三维旋转图表.xlt","三维旋转图表.xlt")</f>
        <v>三维旋转图表.xlt</v>
      </c>
      <c r="Q1964">
        <v>0.08</v>
      </c>
      <c r="R1964" s="7" t="str">
        <f t="shared" ref="R1964:R2027" si="42">HYPERLINK("E:\附赠：Excel模板\精美EXCEL模板\VBA素材与模板\其他模板","E:\附赠：Excel模板\精美EXCEL模板\VBA素材与模板\其他模板")</f>
        <v>E:\附赠：Excel模板\精美EXCEL模板\VBA素材与模板\其他模板</v>
      </c>
      <c r="S1964" s="9">
        <v>43600.3821527778</v>
      </c>
      <c r="T1964" s="9">
        <v>43390.5195138889</v>
      </c>
    </row>
    <row r="1965" spans="14:20">
      <c r="N1965" s="7" t="str">
        <f>HYPERLINK("E:\附赠：Excel模板\精美EXCEL模板\VBA素材与模板\其他模板\个税速算.xlt","个税速算.xlt")</f>
        <v>个税速算.xlt</v>
      </c>
      <c r="Q1965">
        <v>0.02</v>
      </c>
      <c r="R1965" s="7" t="str">
        <f t="shared" si="42"/>
        <v>E:\附赠：Excel模板\精美EXCEL模板\VBA素材与模板\其他模板</v>
      </c>
      <c r="S1965" s="9">
        <v>43600.3821527778</v>
      </c>
      <c r="T1965" s="9">
        <v>43390.519537037</v>
      </c>
    </row>
    <row r="1966" spans="14:20">
      <c r="N1966" s="7" t="str">
        <f>HYPERLINK("E:\附赠：Excel模板\精美EXCEL模板\VBA素材与模板\其他模板\产品销售分析与预测.xlt","产品销售分析与预测.xlt")</f>
        <v>产品销售分析与预测.xlt</v>
      </c>
      <c r="Q1966">
        <v>0.08</v>
      </c>
      <c r="R1966" s="7" t="str">
        <f t="shared" si="42"/>
        <v>E:\附赠：Excel模板\精美EXCEL模板\VBA素材与模板\其他模板</v>
      </c>
      <c r="S1966" s="9">
        <v>43600.3821527778</v>
      </c>
      <c r="T1966" s="9">
        <v>43390.519537037</v>
      </c>
    </row>
    <row r="1967" spans="14:20">
      <c r="N1967" s="7" t="str">
        <f>HYPERLINK("E:\附赠：Excel模板\精美EXCEL模板\VBA素材与模板\其他模板\产品销售额预测分析表.xlt","产品销售额预测分析表.xlt")</f>
        <v>产品销售额预测分析表.xlt</v>
      </c>
      <c r="Q1967">
        <v>0.01</v>
      </c>
      <c r="R1967" s="7" t="str">
        <f t="shared" si="42"/>
        <v>E:\附赠：Excel模板\精美EXCEL模板\VBA素材与模板\其他模板</v>
      </c>
      <c r="S1967" s="9">
        <v>43600.3821527778</v>
      </c>
      <c r="T1967" s="9">
        <v>43390.5195601852</v>
      </c>
    </row>
    <row r="1968" spans="14:20">
      <c r="N1968" s="7" t="str">
        <f>HYPERLINK("E:\附赠：Excel模板\精美EXCEL模板\VBA素材与模板\其他模板\企业产品清单.xlt","企业产品清单.xlt")</f>
        <v>企业产品清单.xlt</v>
      </c>
      <c r="Q1968">
        <v>0.04</v>
      </c>
      <c r="R1968" s="7" t="str">
        <f t="shared" si="42"/>
        <v>E:\附赠：Excel模板\精美EXCEL模板\VBA素材与模板\其他模板</v>
      </c>
      <c r="S1968" s="9">
        <v>43600.3821527778</v>
      </c>
      <c r="T1968" s="9">
        <v>43390.5195138889</v>
      </c>
    </row>
    <row r="1969" spans="14:20">
      <c r="N1969" s="7" t="str">
        <f>HYPERLINK("E:\附赠：Excel模板\精美EXCEL模板\VBA素材与模板\其他模板\企业人力资源信息调查表.xlt","企业人力资源信息调查表.xlt")</f>
        <v>企业人力资源信息调查表.xlt</v>
      </c>
      <c r="Q1969">
        <v>0.03</v>
      </c>
      <c r="R1969" s="7" t="str">
        <f t="shared" si="42"/>
        <v>E:\附赠：Excel模板\精美EXCEL模板\VBA素材与模板\其他模板</v>
      </c>
      <c r="S1969" s="9">
        <v>43600.3821527778</v>
      </c>
      <c r="T1969" s="9">
        <v>43390.5195138889</v>
      </c>
    </row>
    <row r="1970" spans="14:20">
      <c r="N1970" s="7" t="str">
        <f>HYPERLINK("E:\附赠：Excel模板\精美EXCEL模板\VBA素材与模板\其他模板\企业内部刊物阅览管理.xlt","企业内部刊物阅览管理.xlt")</f>
        <v>企业内部刊物阅览管理.xlt</v>
      </c>
      <c r="Q1970">
        <v>0.15</v>
      </c>
      <c r="R1970" s="7" t="str">
        <f t="shared" si="42"/>
        <v>E:\附赠：Excel模板\精美EXCEL模板\VBA素材与模板\其他模板</v>
      </c>
      <c r="S1970" s="9">
        <v>43600.3821527778</v>
      </c>
      <c r="T1970" s="9">
        <v>43390.5195138889</v>
      </c>
    </row>
    <row r="1971" spans="14:20">
      <c r="N1971" s="7" t="str">
        <f>HYPERLINK("E:\附赠：Excel模板\精美EXCEL模板\VBA素材与模板\其他模板\企业原料采购申请表.xlt","企业原料采购申请表.xlt")</f>
        <v>企业原料采购申请表.xlt</v>
      </c>
      <c r="Q1971">
        <v>0.02</v>
      </c>
      <c r="R1971" s="7" t="str">
        <f t="shared" si="42"/>
        <v>E:\附赠：Excel模板\精美EXCEL模板\VBA素材与模板\其他模板</v>
      </c>
      <c r="S1971" s="9">
        <v>43600.3821527778</v>
      </c>
      <c r="T1971" s="9">
        <v>43390.5195138889</v>
      </c>
    </row>
    <row r="1972" spans="14:20">
      <c r="N1972" s="7" t="str">
        <f>HYPERLINK("E:\附赠：Excel模板\精美EXCEL模板\VBA素材与模板\其他模板\企业原料采购登记表.xlt","企业原料采购登记表.xlt")</f>
        <v>企业原料采购登记表.xlt</v>
      </c>
      <c r="Q1972">
        <v>0.02</v>
      </c>
      <c r="R1972" s="7" t="str">
        <f t="shared" si="42"/>
        <v>E:\附赠：Excel模板\精美EXCEL模板\VBA素材与模板\其他模板</v>
      </c>
      <c r="S1972" s="9">
        <v>43600.3821527778</v>
      </c>
      <c r="T1972" s="9">
        <v>43390.5195138889</v>
      </c>
    </row>
    <row r="1973" spans="14:20">
      <c r="N1973" s="7" t="str">
        <f>HYPERLINK("E:\附赠：Excel模板\精美EXCEL模板\VBA素材与模板\其他模板\企业客户交易评估系统.xlt","企业客户交易评估系统.xlt")</f>
        <v>企业客户交易评估系统.xlt</v>
      </c>
      <c r="Q1973">
        <v>0.03</v>
      </c>
      <c r="R1973" s="7" t="str">
        <f t="shared" si="42"/>
        <v>E:\附赠：Excel模板\精美EXCEL模板\VBA素材与模板\其他模板</v>
      </c>
      <c r="S1973" s="9">
        <v>43600.3821527778</v>
      </c>
      <c r="T1973" s="9">
        <v>43390.5195138889</v>
      </c>
    </row>
    <row r="1974" spans="14:20">
      <c r="N1974" s="7" t="str">
        <f>HYPERLINK("E:\附赠：Excel模板\精美EXCEL模板\VBA素材与模板\其他模板\企业客户资料统计表.xlt","企业客户资料统计表.xlt")</f>
        <v>企业客户资料统计表.xlt</v>
      </c>
      <c r="Q1974">
        <v>0.02</v>
      </c>
      <c r="R1974" s="7" t="str">
        <f t="shared" si="42"/>
        <v>E:\附赠：Excel模板\精美EXCEL模板\VBA素材与模板\其他模板</v>
      </c>
      <c r="S1974" s="9">
        <v>43600.3821527778</v>
      </c>
      <c r="T1974" s="9">
        <v>43390.5195138889</v>
      </c>
    </row>
    <row r="1975" spans="14:20">
      <c r="N1975" s="7" t="str">
        <f>HYPERLINK("E:\附赠：Excel模板\精美EXCEL模板\VBA素材与模板\其他模板\企业招聘员工程序表.xlt","企业招聘员工程序表.xlt")</f>
        <v>企业招聘员工程序表.xlt</v>
      </c>
      <c r="Q1975">
        <v>0.02</v>
      </c>
      <c r="R1975" s="7" t="str">
        <f t="shared" si="42"/>
        <v>E:\附赠：Excel模板\精美EXCEL模板\VBA素材与模板\其他模板</v>
      </c>
      <c r="S1975" s="9">
        <v>43600.3821527778</v>
      </c>
      <c r="T1975" s="9">
        <v>43390.5195138889</v>
      </c>
    </row>
    <row r="1976" spans="14:20">
      <c r="N1976" s="7" t="str">
        <f>HYPERLINK("E:\附赠：Excel模板\精美EXCEL模板\VBA素材与模板\其他模板\企业生产方案选择表.xlt","企业生产方案选择表.xlt")</f>
        <v>企业生产方案选择表.xlt</v>
      </c>
      <c r="Q1976">
        <v>0.02</v>
      </c>
      <c r="R1976" s="7" t="str">
        <f t="shared" si="42"/>
        <v>E:\附赠：Excel模板\精美EXCEL模板\VBA素材与模板\其他模板</v>
      </c>
      <c r="S1976" s="9">
        <v>43600.3821527778</v>
      </c>
      <c r="T1976" s="9">
        <v>43390.5195138889</v>
      </c>
    </row>
    <row r="1977" spans="14:20">
      <c r="N1977" s="7" t="str">
        <f>HYPERLINK("E:\附赠：Excel模板\精美EXCEL模板\VBA素材与模板\其他模板\企业重大会议日程安排提醒表.xlt","企业重大会议日程安排提醒表.xlt")</f>
        <v>企业重大会议日程安排提醒表.xlt</v>
      </c>
      <c r="Q1977">
        <v>0.02</v>
      </c>
      <c r="R1977" s="7" t="str">
        <f t="shared" si="42"/>
        <v>E:\附赠：Excel模板\精美EXCEL模板\VBA素材与模板\其他模板</v>
      </c>
      <c r="S1977" s="9">
        <v>43600.3821527778</v>
      </c>
      <c r="T1977" s="9">
        <v>43390.5195138889</v>
      </c>
    </row>
    <row r="1978" spans="14:20">
      <c r="N1978" s="7" t="str">
        <f>HYPERLINK("E:\附赠：Excel模板\精美EXCEL模板\VBA素材与模板\其他模板\使用DAVERAGE函数计算条目的平均值.xlt","使用DAVERAGE函数计算条目的平均值.xlt")</f>
        <v>使用DAVERAGE函数计算条目的平均值.xlt</v>
      </c>
      <c r="Q1978">
        <v>0.01</v>
      </c>
      <c r="R1978" s="7" t="str">
        <f t="shared" si="42"/>
        <v>E:\附赠：Excel模板\精美EXCEL模板\VBA素材与模板\其他模板</v>
      </c>
      <c r="S1978" s="9">
        <v>43600.3821527778</v>
      </c>
      <c r="T1978" s="9">
        <v>43390.5194907407</v>
      </c>
    </row>
    <row r="1979" spans="14:20">
      <c r="N1979" s="7" t="str">
        <f>HYPERLINK("E:\附赠：Excel模板\精美EXCEL模板\VBA素材与模板\其他模板\养老金投资计算器.xlt","养老金投资计算器.xlt")</f>
        <v>养老金投资计算器.xlt</v>
      </c>
      <c r="Q1979">
        <v>0.08</v>
      </c>
      <c r="R1979" s="7" t="str">
        <f t="shared" si="42"/>
        <v>E:\附赠：Excel模板\精美EXCEL模板\VBA素材与模板\其他模板</v>
      </c>
      <c r="S1979" s="9">
        <v>43600.3821527778</v>
      </c>
      <c r="T1979" s="9">
        <v>43390.5194907407</v>
      </c>
    </row>
    <row r="1980" spans="14:20">
      <c r="N1980" s="7" t="str">
        <f>HYPERLINK("E:\附赠：Excel模板\精美EXCEL模板\VBA素材与模板\其他模板\内部报酬率法投资分析表.xlt","内部报酬率法投资分析表.xlt")</f>
        <v>内部报酬率法投资分析表.xlt</v>
      </c>
      <c r="Q1980">
        <v>0.04</v>
      </c>
      <c r="R1980" s="7" t="str">
        <f t="shared" si="42"/>
        <v>E:\附赠：Excel模板\精美EXCEL模板\VBA素材与模板\其他模板</v>
      </c>
      <c r="S1980" s="9">
        <v>43600.3821527778</v>
      </c>
      <c r="T1980" s="9">
        <v>43390.5195138889</v>
      </c>
    </row>
    <row r="1981" spans="14:20">
      <c r="N1981" s="7" t="str">
        <f>HYPERLINK("E:\附赠：Excel模板\精美EXCEL模板\VBA素材与模板\其他模板\净现值法投资分析表.xlt","净现值法投资分析表.xlt")</f>
        <v>净现值法投资分析表.xlt</v>
      </c>
      <c r="Q1981">
        <v>0.03</v>
      </c>
      <c r="R1981" s="7" t="str">
        <f t="shared" si="42"/>
        <v>E:\附赠：Excel模板\精美EXCEL模板\VBA素材与模板\其他模板</v>
      </c>
      <c r="S1981" s="9">
        <v>43600.3821527778</v>
      </c>
      <c r="T1981" s="9">
        <v>43390.519537037</v>
      </c>
    </row>
    <row r="1982" spans="14:20">
      <c r="N1982" s="7" t="str">
        <f>HYPERLINK("E:\附赠：Excel模板\精美EXCEL模板\VBA素材与模板\其他模板\利润规划.xlt","利润规划.xlt")</f>
        <v>利润规划.xlt</v>
      </c>
      <c r="Q1982">
        <v>0.03</v>
      </c>
      <c r="R1982" s="7" t="str">
        <f t="shared" si="42"/>
        <v>E:\附赠：Excel模板\精美EXCEL模板\VBA素材与模板\其他模板</v>
      </c>
      <c r="S1982" s="9">
        <v>43600.3821527778</v>
      </c>
      <c r="T1982" s="9">
        <v>43390.5195138889</v>
      </c>
    </row>
    <row r="1983" spans="14:20">
      <c r="N1983" s="7" t="str">
        <f>HYPERLINK("E:\附赠：Excel模板\精美EXCEL模板\VBA素材与模板\其他模板\制作员工通讯录.xlt","制作员工通讯录.xlt")</f>
        <v>制作员工通讯录.xlt</v>
      </c>
      <c r="Q1983">
        <v>0.03</v>
      </c>
      <c r="R1983" s="7" t="str">
        <f t="shared" si="42"/>
        <v>E:\附赠：Excel模板\精美EXCEL模板\VBA素材与模板\其他模板</v>
      </c>
      <c r="S1983" s="9">
        <v>43600.3821527778</v>
      </c>
      <c r="T1983" s="9">
        <v>43390.5194675926</v>
      </c>
    </row>
    <row r="1984" spans="14:20">
      <c r="N1984" s="7" t="str">
        <f>HYPERLINK("E:\附赠：Excel模板\精美EXCEL模板\VBA素材与模板\其他模板\制作股票收益计算器.xlt","制作股票收益计算器.xlt")</f>
        <v>制作股票收益计算器.xlt</v>
      </c>
      <c r="Q1984">
        <v>0.02</v>
      </c>
      <c r="R1984" s="7" t="str">
        <f t="shared" si="42"/>
        <v>E:\附赠：Excel模板\精美EXCEL模板\VBA素材与模板\其他模板</v>
      </c>
      <c r="S1984" s="9">
        <v>43600.3821527778</v>
      </c>
      <c r="T1984" s="9">
        <v>43390.5194675926</v>
      </c>
    </row>
    <row r="1985" spans="14:20">
      <c r="N1985" s="7" t="str">
        <f>HYPERLINK("E:\附赠：Excel模板\精美EXCEL模板\VBA素材与模板\其他模板\单变量及双变量运算.xlt","单变量及双变量运算.xlt")</f>
        <v>单变量及双变量运算.xlt</v>
      </c>
      <c r="Q1985">
        <v>0.02</v>
      </c>
      <c r="R1985" s="7" t="str">
        <f t="shared" si="42"/>
        <v>E:\附赠：Excel模板\精美EXCEL模板\VBA素材与模板\其他模板</v>
      </c>
      <c r="S1985" s="9">
        <v>43600.3821527778</v>
      </c>
      <c r="T1985" s="9">
        <v>43390.519537037</v>
      </c>
    </row>
    <row r="1986" spans="14:20">
      <c r="N1986" s="7" t="str">
        <f>HYPERLINK("E:\附赠：Excel模板\精美EXCEL模板\VBA素材与模板\其他模板\员工医疗费用统计表.xlt","员工医疗费用统计表.xlt")</f>
        <v>员工医疗费用统计表.xlt</v>
      </c>
      <c r="Q1986">
        <v>0.02</v>
      </c>
      <c r="R1986" s="7" t="str">
        <f t="shared" si="42"/>
        <v>E:\附赠：Excel模板\精美EXCEL模板\VBA素材与模板\其他模板</v>
      </c>
      <c r="S1986" s="9">
        <v>43600.3821527778</v>
      </c>
      <c r="T1986" s="9">
        <v>43390.5194675926</v>
      </c>
    </row>
    <row r="1987" spans="14:20">
      <c r="N1987" s="7" t="str">
        <f>HYPERLINK("E:\附赠：Excel模板\精美EXCEL模板\VBA素材与模板\其他模板\员工名片印制申请单据.xlt","员工名片印制申请单据.xlt")</f>
        <v>员工名片印制申请单据.xlt</v>
      </c>
      <c r="Q1987">
        <v>0.01</v>
      </c>
      <c r="R1987" s="7" t="str">
        <f t="shared" si="42"/>
        <v>E:\附赠：Excel模板\精美EXCEL模板\VBA素材与模板\其他模板</v>
      </c>
      <c r="S1987" s="9">
        <v>43600.3821527778</v>
      </c>
      <c r="T1987" s="9">
        <v>43390.5194675926</v>
      </c>
    </row>
    <row r="1988" spans="14:20">
      <c r="N1988" s="7" t="str">
        <f>HYPERLINK("E:\附赠：Excel模板\精美EXCEL模板\VBA素材与模板\其他模板\员工离职程序表.xlt","员工离职程序表.xlt")</f>
        <v>员工离职程序表.xlt</v>
      </c>
      <c r="Q1988">
        <v>0.03</v>
      </c>
      <c r="R1988" s="7" t="str">
        <f t="shared" si="42"/>
        <v>E:\附赠：Excel模板\精美EXCEL模板\VBA素材与模板\其他模板</v>
      </c>
      <c r="S1988" s="9">
        <v>43600.3821527778</v>
      </c>
      <c r="T1988" s="9">
        <v>43390.5194675926</v>
      </c>
    </row>
    <row r="1989" spans="14:20">
      <c r="N1989" s="7" t="str">
        <f>HYPERLINK("E:\附赠：Excel模板\精美EXCEL模板\VBA素材与模板\其他模板\员工过往薪资记录表.xlt","员工过往薪资记录表.xlt")</f>
        <v>员工过往薪资记录表.xlt</v>
      </c>
      <c r="Q1989">
        <v>0.02</v>
      </c>
      <c r="R1989" s="7" t="str">
        <f t="shared" si="42"/>
        <v>E:\附赠：Excel模板\精美EXCEL模板\VBA素材与模板\其他模板</v>
      </c>
      <c r="S1989" s="9">
        <v>43600.3821527778</v>
      </c>
      <c r="T1989" s="9">
        <v>43390.5194907407</v>
      </c>
    </row>
    <row r="1990" spans="14:20">
      <c r="N1990" s="7" t="str">
        <f>HYPERLINK("E:\附赠：Excel模板\精美EXCEL模板\VBA素材与模板\其他模板\回收期法投资分析表.xlt","回收期法投资分析表.xlt")</f>
        <v>回收期法投资分析表.xlt</v>
      </c>
      <c r="Q1990">
        <v>0.05</v>
      </c>
      <c r="R1990" s="7" t="str">
        <f t="shared" si="42"/>
        <v>E:\附赠：Excel模板\精美EXCEL模板\VBA素材与模板\其他模板</v>
      </c>
      <c r="S1990" s="9">
        <v>43600.3821527778</v>
      </c>
      <c r="T1990" s="9">
        <v>43390.519537037</v>
      </c>
    </row>
    <row r="1991" spans="14:20">
      <c r="N1991" s="7" t="str">
        <f>HYPERLINK("E:\附赠：Excel模板\精美EXCEL模板\VBA素材与模板\其他模板\固定资产管理.xlt","固定资产管理.xlt")</f>
        <v>固定资产管理.xlt</v>
      </c>
      <c r="Q1991">
        <v>0.03</v>
      </c>
      <c r="R1991" s="7" t="str">
        <f t="shared" si="42"/>
        <v>E:\附赠：Excel模板\精美EXCEL模板\VBA素材与模板\其他模板</v>
      </c>
      <c r="S1991" s="9">
        <v>43600.3821527778</v>
      </c>
      <c r="T1991" s="9">
        <v>43390.519537037</v>
      </c>
    </row>
    <row r="1992" spans="14:20">
      <c r="N1992" s="7" t="str">
        <f>HYPERLINK("E:\附赠：Excel模板\精美EXCEL模板\VBA素材与模板\其他模板\在住房贷款中运用财务函数.xlt","在住房贷款中运用财务函数.xlt")</f>
        <v>在住房贷款中运用财务函数.xlt</v>
      </c>
      <c r="Q1992">
        <v>0.02</v>
      </c>
      <c r="R1992" s="7" t="str">
        <f t="shared" si="42"/>
        <v>E:\附赠：Excel模板\精美EXCEL模板\VBA素材与模板\其他模板</v>
      </c>
      <c r="S1992" s="9">
        <v>43600.3821527778</v>
      </c>
      <c r="T1992" s="9">
        <v>43390.5194675926</v>
      </c>
    </row>
    <row r="1993" spans="14:20">
      <c r="N1993" s="7" t="str">
        <f>HYPERLINK("E:\附赠：Excel模板\精美EXCEL模板\VBA素材与模板\其他模板\在员工季度考核中使用查询函数.xlt","在员工季度考核中使用查询函数.xlt")</f>
        <v>在员工季度考核中使用查询函数.xlt</v>
      </c>
      <c r="Q1993">
        <v>0.02</v>
      </c>
      <c r="R1993" s="7" t="str">
        <f t="shared" si="42"/>
        <v>E:\附赠：Excel模板\精美EXCEL模板\VBA素材与模板\其他模板</v>
      </c>
      <c r="S1993" s="9">
        <v>43600.3821527778</v>
      </c>
      <c r="T1993" s="9">
        <v>43390.5194675926</v>
      </c>
    </row>
    <row r="1994" spans="14:20">
      <c r="N1994" s="7" t="str">
        <f>HYPERLINK("E:\附赠：Excel模板\精美EXCEL模板\VBA素材与模板\其他模板\在贷款经营表中运用财务函数.xlt","在贷款经营表中运用财务函数.xlt")</f>
        <v>在贷款经营表中运用财务函数.xlt</v>
      </c>
      <c r="Q1994">
        <v>0.02</v>
      </c>
      <c r="R1994" s="7" t="str">
        <f t="shared" si="42"/>
        <v>E:\附赠：Excel模板\精美EXCEL模板\VBA素材与模板\其他模板</v>
      </c>
      <c r="S1994" s="9">
        <v>43600.3821527778</v>
      </c>
      <c r="T1994" s="9">
        <v>43390.5194675926</v>
      </c>
    </row>
    <row r="1995" spans="14:20">
      <c r="N1995" s="7" t="str">
        <f>HYPERLINK("E:\附赠：Excel模板\精美EXCEL模板\VBA素材与模板\其他模板\存货明细表.xlt","存货明细表.xlt")</f>
        <v>存货明细表.xlt</v>
      </c>
      <c r="Q1995">
        <v>0.02</v>
      </c>
      <c r="R1995" s="7" t="str">
        <f t="shared" si="42"/>
        <v>E:\附赠：Excel模板\精美EXCEL模板\VBA素材与模板\其他模板</v>
      </c>
      <c r="S1995" s="9">
        <v>43600.3821527778</v>
      </c>
      <c r="T1995" s="9">
        <v>43390.519537037</v>
      </c>
    </row>
    <row r="1996" spans="14:20">
      <c r="N1996" s="7" t="str">
        <f>HYPERLINK("E:\附赠：Excel模板\精美EXCEL模板\VBA素材与模板\其他模板\学生信息表.xlt","学生信息表.xlt")</f>
        <v>学生信息表.xlt</v>
      </c>
      <c r="Q1996">
        <v>0.02</v>
      </c>
      <c r="R1996" s="7" t="str">
        <f t="shared" si="42"/>
        <v>E:\附赠：Excel模板\精美EXCEL模板\VBA素材与模板\其他模板</v>
      </c>
      <c r="S1996" s="9">
        <v>43600.3821527778</v>
      </c>
      <c r="T1996" s="9">
        <v>43390.5194907407</v>
      </c>
    </row>
    <row r="1997" spans="14:20">
      <c r="N1997" s="7" t="str">
        <f>HYPERLINK("E:\附赠：Excel模板\精美EXCEL模板\VBA素材与模板\其他模板\工作任务分配时间表.xlt","工作任务分配时间表.xlt")</f>
        <v>工作任务分配时间表.xlt</v>
      </c>
      <c r="Q1997">
        <v>0.03</v>
      </c>
      <c r="R1997" s="7" t="str">
        <f t="shared" si="42"/>
        <v>E:\附赠：Excel模板\精美EXCEL模板\VBA素材与模板\其他模板</v>
      </c>
      <c r="S1997" s="9">
        <v>43600.3821527778</v>
      </c>
      <c r="T1997" s="9">
        <v>43390.519537037</v>
      </c>
    </row>
    <row r="1998" spans="14:20">
      <c r="N1998" s="7" t="str">
        <f>HYPERLINK("E:\附赠：Excel模板\精美EXCEL模板\VBA素材与模板\其他模板\年度收支预算表.xlt","年度收支预算表.xlt")</f>
        <v>年度收支预算表.xlt</v>
      </c>
      <c r="Q1998">
        <v>0.05</v>
      </c>
      <c r="R1998" s="7" t="str">
        <f t="shared" si="42"/>
        <v>E:\附赠：Excel模板\精美EXCEL模板\VBA素材与模板\其他模板</v>
      </c>
      <c r="S1998" s="9">
        <v>43600.3821527778</v>
      </c>
      <c r="T1998" s="9">
        <v>43390.5195138889</v>
      </c>
    </row>
    <row r="1999" spans="14:20">
      <c r="N1999" s="7" t="str">
        <f>HYPERLINK("E:\附赠：Excel模板\精美EXCEL模板\VBA素材与模板\其他模板\广告预算分配方案.xlt","广告预算分配方案.xlt")</f>
        <v>广告预算分配方案.xlt</v>
      </c>
      <c r="Q1999">
        <v>0.02</v>
      </c>
      <c r="R1999" s="7" t="str">
        <f t="shared" si="42"/>
        <v>E:\附赠：Excel模板\精美EXCEL模板\VBA素材与模板\其他模板</v>
      </c>
      <c r="S1999" s="9">
        <v>43600.3821527778</v>
      </c>
      <c r="T1999" s="9">
        <v>43390.519537037</v>
      </c>
    </row>
    <row r="2000" spans="14:20">
      <c r="N2000" s="7" t="str">
        <f>HYPERLINK("E:\附赠：Excel模板\精美EXCEL模板\VBA素材与模板\其他模板\应收账款账龄分析.xlt","应收账款账龄分析.xlt")</f>
        <v>应收账款账龄分析.xlt</v>
      </c>
      <c r="Q2000">
        <v>0.02</v>
      </c>
      <c r="R2000" s="7" t="str">
        <f t="shared" si="42"/>
        <v>E:\附赠：Excel模板\精美EXCEL模板\VBA素材与模板\其他模板</v>
      </c>
      <c r="S2000" s="9">
        <v>43600.3821527778</v>
      </c>
      <c r="T2000" s="9">
        <v>43390.5194907407</v>
      </c>
    </row>
    <row r="2001" spans="14:20">
      <c r="N2001" s="7" t="str">
        <f>HYPERLINK("E:\附赠：Excel模板\精美EXCEL模板\VBA素材与模板\其他模板\往来账款的处理.xlt","往来账款的处理.xlt")</f>
        <v>往来账款的处理.xlt</v>
      </c>
      <c r="Q2001">
        <v>0.11</v>
      </c>
      <c r="R2001" s="7" t="str">
        <f t="shared" si="42"/>
        <v>E:\附赠：Excel模板\精美EXCEL模板\VBA素材与模板\其他模板</v>
      </c>
      <c r="S2001" s="9">
        <v>43600.3821527778</v>
      </c>
      <c r="T2001" s="9">
        <v>43390.5194907407</v>
      </c>
    </row>
    <row r="2002" spans="14:20">
      <c r="N2002" s="7" t="str">
        <f>HYPERLINK("E:\附赠：Excel模板\精美EXCEL模板\VBA素材与模板\其他模板\成本预测.xlt","成本预测.xlt")</f>
        <v>成本预测.xlt</v>
      </c>
      <c r="Q2002">
        <v>0.02</v>
      </c>
      <c r="R2002" s="7" t="str">
        <f t="shared" si="42"/>
        <v>E:\附赠：Excel模板\精美EXCEL模板\VBA素材与模板\其他模板</v>
      </c>
      <c r="S2002" s="9">
        <v>43600.3821527778</v>
      </c>
      <c r="T2002" s="9">
        <v>43390.5195601852</v>
      </c>
    </row>
    <row r="2003" spans="14:20">
      <c r="N2003" s="7" t="str">
        <f>HYPERLINK("E:\附赠：Excel模板\精美EXCEL模板\VBA素材与模板\其他模板\房屋贷款计算器.xlt","房屋贷款计算器.xlt")</f>
        <v>房屋贷款计算器.xlt</v>
      </c>
      <c r="Q2003">
        <v>0.04</v>
      </c>
      <c r="R2003" s="7" t="str">
        <f t="shared" si="42"/>
        <v>E:\附赠：Excel模板\精美EXCEL模板\VBA素材与模板\其他模板</v>
      </c>
      <c r="S2003" s="9">
        <v>43600.3821527778</v>
      </c>
      <c r="T2003" s="9">
        <v>43390.519537037</v>
      </c>
    </row>
    <row r="2004" spans="14:20">
      <c r="N2004" s="7" t="str">
        <f>HYPERLINK("E:\附赠：Excel模板\精美EXCEL模板\VBA素材与模板\其他模板\投资决策分析.xlt","投资决策分析.xlt")</f>
        <v>投资决策分析.xlt</v>
      </c>
      <c r="Q2004">
        <v>0.03</v>
      </c>
      <c r="R2004" s="7" t="str">
        <f t="shared" si="42"/>
        <v>E:\附赠：Excel模板\精美EXCEL模板\VBA素材与模板\其他模板</v>
      </c>
      <c r="S2004" s="9">
        <v>43600.3821527778</v>
      </c>
      <c r="T2004" s="9">
        <v>43390.5194907407</v>
      </c>
    </row>
    <row r="2005" spans="14:20">
      <c r="N2005" s="7" t="str">
        <f>HYPERLINK("E:\附赠：Excel模板\精美EXCEL模板\VBA素材与模板\其他模板\投资指标函数应用.xlt","投资指标函数应用.xlt")</f>
        <v>投资指标函数应用.xlt</v>
      </c>
      <c r="Q2005">
        <v>0.02</v>
      </c>
      <c r="R2005" s="7" t="str">
        <f t="shared" si="42"/>
        <v>E:\附赠：Excel模板\精美EXCEL模板\VBA素材与模板\其他模板</v>
      </c>
      <c r="S2005" s="9">
        <v>43600.3821527778</v>
      </c>
      <c r="T2005" s="9">
        <v>43390.5194907407</v>
      </c>
    </row>
    <row r="2006" spans="14:20">
      <c r="N2006" s="7" t="str">
        <f>HYPERLINK("E:\附赠：Excel模板\精美EXCEL模板\VBA素材与模板\其他模板\投资收益模拟测算器.XLT","投资收益模拟测算器.XLT")</f>
        <v>投资收益模拟测算器.XLT</v>
      </c>
      <c r="Q2006">
        <v>0.08</v>
      </c>
      <c r="R2006" s="7" t="str">
        <f t="shared" si="42"/>
        <v>E:\附赠：Excel模板\精美EXCEL模板\VBA素材与模板\其他模板</v>
      </c>
      <c r="S2006" s="9">
        <v>43600.3821527778</v>
      </c>
      <c r="T2006" s="9">
        <v>43390.5194907407</v>
      </c>
    </row>
    <row r="2007" spans="14:20">
      <c r="N2007" s="7" t="str">
        <f>HYPERLINK("E:\附赠：Excel模板\精美EXCEL模板\VBA素材与模板\其他模板\投资方案.xlt","投资方案.xlt")</f>
        <v>投资方案.xlt</v>
      </c>
      <c r="Q2007">
        <v>0.01</v>
      </c>
      <c r="R2007" s="7" t="str">
        <f t="shared" si="42"/>
        <v>E:\附赠：Excel模板\精美EXCEL模板\VBA素材与模板\其他模板</v>
      </c>
      <c r="S2007" s="9">
        <v>43600.3821527778</v>
      </c>
      <c r="T2007" s="9">
        <v>43390.5194907407</v>
      </c>
    </row>
    <row r="2008" spans="14:20">
      <c r="N2008" s="7" t="str">
        <f>HYPERLINK("E:\附赠：Excel模板\精美EXCEL模板\VBA素材与模板\其他模板\折旧计提法.xlt","折旧计提法.xlt")</f>
        <v>折旧计提法.xlt</v>
      </c>
      <c r="Q2008">
        <v>0.02</v>
      </c>
      <c r="R2008" s="7" t="str">
        <f t="shared" si="42"/>
        <v>E:\附赠：Excel模板\精美EXCEL模板\VBA素材与模板\其他模板</v>
      </c>
      <c r="S2008" s="9">
        <v>43600.3821527778</v>
      </c>
      <c r="T2008" s="9">
        <v>43390.5194675926</v>
      </c>
    </row>
    <row r="2009" spans="14:20">
      <c r="N2009" s="7" t="str">
        <f>HYPERLINK("E:\附赠：Excel模板\精美EXCEL模板\VBA素材与模板\其他模板\日常费用统计系统.xlt","日常费用统计系统.xlt")</f>
        <v>日常费用统计系统.xlt</v>
      </c>
      <c r="Q2009">
        <v>0.02</v>
      </c>
      <c r="R2009" s="7" t="str">
        <f t="shared" si="42"/>
        <v>E:\附赠：Excel模板\精美EXCEL模板\VBA素材与模板\其他模板</v>
      </c>
      <c r="S2009" s="9">
        <v>43600.3821527778</v>
      </c>
      <c r="T2009" s="9">
        <v>43390.5195138889</v>
      </c>
    </row>
    <row r="2010" spans="14:20">
      <c r="N2010" s="7" t="str">
        <f>HYPERLINK("E:\附赠：Excel模板\精美EXCEL模板\VBA素材与模板\其他模板\日常费用统计表.xlt","日常费用统计表.xlt")</f>
        <v>日常费用统计表.xlt</v>
      </c>
      <c r="Q2010">
        <v>0.02</v>
      </c>
      <c r="R2010" s="7" t="str">
        <f t="shared" si="42"/>
        <v>E:\附赠：Excel模板\精美EXCEL模板\VBA素材与模板\其他模板</v>
      </c>
      <c r="S2010" s="9">
        <v>43600.3821527778</v>
      </c>
      <c r="T2010" s="9">
        <v>43390.5195138889</v>
      </c>
    </row>
    <row r="2011" spans="14:20">
      <c r="N2011" s="7" t="str">
        <f>HYPERLINK("E:\附赠：Excel模板\精美EXCEL模板\VBA素材与模板\其他模板\月偿还额单变量模拟运算表.xlt","月偿还额单变量模拟运算表.xlt")</f>
        <v>月偿还额单变量模拟运算表.xlt</v>
      </c>
      <c r="Q2011">
        <v>0.01</v>
      </c>
      <c r="R2011" s="7" t="str">
        <f t="shared" si="42"/>
        <v>E:\附赠：Excel模板\精美EXCEL模板\VBA素材与模板\其他模板</v>
      </c>
      <c r="S2011" s="9">
        <v>43600.3821527778</v>
      </c>
      <c r="T2011" s="9">
        <v>43390.5194675926</v>
      </c>
    </row>
    <row r="2012" spans="14:20">
      <c r="N2012" s="7" t="str">
        <f>HYPERLINK("E:\附赠：Excel模板\精美EXCEL模板\VBA素材与模板\其他模板\月偿还额双变量模拟运算表.xlt","月偿还额双变量模拟运算表.xlt")</f>
        <v>月偿还额双变量模拟运算表.xlt</v>
      </c>
      <c r="Q2012">
        <v>0.02</v>
      </c>
      <c r="R2012" s="7" t="str">
        <f t="shared" si="42"/>
        <v>E:\附赠：Excel模板\精美EXCEL模板\VBA素材与模板\其他模板</v>
      </c>
      <c r="S2012" s="9">
        <v>43600.3821527778</v>
      </c>
      <c r="T2012" s="9">
        <v>43390.5194675926</v>
      </c>
    </row>
    <row r="2013" spans="14:20">
      <c r="N2013" s="7" t="str">
        <f>HYPERLINK("E:\附赠：Excel模板\精美EXCEL模板\VBA素材与模板\其他模板\有关节假日的计算.xlt","有关节假日的计算.xlt")</f>
        <v>有关节假日的计算.xlt</v>
      </c>
      <c r="Q2013">
        <v>0.02</v>
      </c>
      <c r="R2013" s="7" t="str">
        <f t="shared" si="42"/>
        <v>E:\附赠：Excel模板\精美EXCEL模板\VBA素材与模板\其他模板</v>
      </c>
      <c r="S2013" s="9">
        <v>43600.3821527778</v>
      </c>
      <c r="T2013" s="9">
        <v>43390.5194907407</v>
      </c>
    </row>
    <row r="2014" spans="14:20">
      <c r="N2014" s="7" t="str">
        <f>HYPERLINK("E:\附赠：Excel模板\精美EXCEL模板\VBA素材与模板\其他模板\涉及到二级科目的账务处理.xlt","涉及到二级科目的账务处理.xlt")</f>
        <v>涉及到二级科目的账务处理.xlt</v>
      </c>
      <c r="Q2014">
        <v>0.08</v>
      </c>
      <c r="R2014" s="7" t="str">
        <f t="shared" si="42"/>
        <v>E:\附赠：Excel模板\精美EXCEL模板\VBA素材与模板\其他模板</v>
      </c>
      <c r="S2014" s="9">
        <v>43600.3821527778</v>
      </c>
      <c r="T2014" s="9">
        <v>43390.5195138889</v>
      </c>
    </row>
    <row r="2015" spans="14:20">
      <c r="N2015" s="7" t="str">
        <f>HYPERLINK("E:\附赠：Excel模板\精美EXCEL模板\VBA素材与模板\其他模板\现值指数法投资分析表.xlt","现值指数法投资分析表.xlt")</f>
        <v>现值指数法投资分析表.xlt</v>
      </c>
      <c r="Q2015">
        <v>0.04</v>
      </c>
      <c r="R2015" s="7" t="str">
        <f t="shared" si="42"/>
        <v>E:\附赠：Excel模板\精美EXCEL模板\VBA素材与模板\其他模板</v>
      </c>
      <c r="S2015" s="9">
        <v>43600.3821527778</v>
      </c>
      <c r="T2015" s="9">
        <v>43390.5194907407</v>
      </c>
    </row>
    <row r="2016" spans="14:20">
      <c r="N2016" s="7" t="str">
        <f>HYPERLINK("E:\附赠：Excel模板\精美EXCEL模板\VBA素材与模板\其他模板\现金流量表.xlt","现金流量表.xlt")</f>
        <v>现金流量表.xlt</v>
      </c>
      <c r="Q2016">
        <v>0.03</v>
      </c>
      <c r="R2016" s="7" t="str">
        <f t="shared" si="42"/>
        <v>E:\附赠：Excel模板\精美EXCEL模板\VBA素材与模板\其他模板</v>
      </c>
      <c r="S2016" s="9">
        <v>43600.3821527778</v>
      </c>
      <c r="T2016" s="9">
        <v>43390.5194907407</v>
      </c>
    </row>
    <row r="2017" spans="14:20">
      <c r="N2017" s="7" t="str">
        <f>HYPERLINK("E:\附赠：Excel模板\精美EXCEL模板\VBA素材与模板\其他模板\电子邮件发送企业产品清单.xlt","电子邮件发送企业产品清单.xlt")</f>
        <v>电子邮件发送企业产品清单.xlt</v>
      </c>
      <c r="Q2017">
        <v>0.06</v>
      </c>
      <c r="R2017" s="7" t="str">
        <f t="shared" si="42"/>
        <v>E:\附赠：Excel模板\精美EXCEL模板\VBA素材与模板\其他模板</v>
      </c>
      <c r="S2017" s="9">
        <v>43600.3821527778</v>
      </c>
      <c r="T2017" s="9">
        <v>43390.519537037</v>
      </c>
    </row>
    <row r="2018" spans="14:20">
      <c r="N2018" s="7" t="str">
        <f>HYPERLINK("E:\附赠：Excel模板\精美EXCEL模板\VBA素材与模板\其他模板\筹资决策分析模型.xlt","筹资决策分析模型.xlt")</f>
        <v>筹资决策分析模型.xlt</v>
      </c>
      <c r="Q2018">
        <v>0.03</v>
      </c>
      <c r="R2018" s="7" t="str">
        <f t="shared" si="42"/>
        <v>E:\附赠：Excel模板\精美EXCEL模板\VBA素材与模板\其他模板</v>
      </c>
      <c r="S2018" s="9">
        <v>43600.3821527778</v>
      </c>
      <c r="T2018" s="9">
        <v>43390.519537037</v>
      </c>
    </row>
    <row r="2019" spans="14:20">
      <c r="N2019" s="7" t="str">
        <f>HYPERLINK("E:\附赠：Excel模板\精美EXCEL模板\VBA素材与模板\其他模板\绘制员工考核图表.xlt","绘制员工考核图表.xlt")</f>
        <v>绘制员工考核图表.xlt</v>
      </c>
      <c r="Q2019">
        <v>0.02</v>
      </c>
      <c r="R2019" s="7" t="str">
        <f t="shared" si="42"/>
        <v>E:\附赠：Excel模板\精美EXCEL模板\VBA素材与模板\其他模板</v>
      </c>
      <c r="S2019" s="9">
        <v>43600.3821527778</v>
      </c>
      <c r="T2019" s="9">
        <v>43390.5195601852</v>
      </c>
    </row>
    <row r="2020" spans="14:20">
      <c r="N2020" s="7" t="str">
        <f>HYPERLINK("E:\附赠：Excel模板\精美EXCEL模板\VBA素材与模板\其他模板\绘制年度支出比例图.xlt","绘制年度支出比例图.xlt")</f>
        <v>绘制年度支出比例图.xlt</v>
      </c>
      <c r="Q2020">
        <v>0.02</v>
      </c>
      <c r="R2020" s="7" t="str">
        <f t="shared" si="42"/>
        <v>E:\附赠：Excel模板\精美EXCEL模板\VBA素材与模板\其他模板</v>
      </c>
      <c r="S2020" s="9">
        <v>43600.3821527778</v>
      </c>
      <c r="T2020" s="9">
        <v>43390.519537037</v>
      </c>
    </row>
    <row r="2021" spans="14:20">
      <c r="N2021" s="7" t="str">
        <f>HYPERLINK("E:\附赠：Excel模板\精美EXCEL模板\VBA素材与模板\其他模板\股票行情.xlt","股票行情.xlt")</f>
        <v>股票行情.xlt</v>
      </c>
      <c r="Q2021">
        <v>0.03</v>
      </c>
      <c r="R2021" s="7" t="str">
        <f t="shared" si="42"/>
        <v>E:\附赠：Excel模板\精美EXCEL模板\VBA素材与模板\其他模板</v>
      </c>
      <c r="S2021" s="9">
        <v>43600.3821527778</v>
      </c>
      <c r="T2021" s="9">
        <v>43390.519537037</v>
      </c>
    </row>
    <row r="2022" spans="14:20">
      <c r="N2022" s="7" t="str">
        <f>HYPERLINK("E:\附赠：Excel模板\精美EXCEL模板\VBA素材与模板\其他模板\财务分析.xlt","财务分析.xlt")</f>
        <v>财务分析.xlt</v>
      </c>
      <c r="Q2022">
        <v>1.47</v>
      </c>
      <c r="R2022" s="7" t="str">
        <f t="shared" si="42"/>
        <v>E:\附赠：Excel模板\精美EXCEL模板\VBA素材与模板\其他模板</v>
      </c>
      <c r="S2022" s="9">
        <v>43600.3821527778</v>
      </c>
      <c r="T2022" s="9">
        <v>43390.5195601852</v>
      </c>
    </row>
    <row r="2023" spans="14:20">
      <c r="N2023" s="7" t="str">
        <f>HYPERLINK("E:\附赠：Excel模板\精美EXCEL模板\VBA素材与模板\其他模板\账务处理.xlt","账务处理.xlt")</f>
        <v>账务处理.xlt</v>
      </c>
      <c r="Q2023">
        <v>0.08</v>
      </c>
      <c r="R2023" s="7" t="str">
        <f t="shared" si="42"/>
        <v>E:\附赠：Excel模板\精美EXCEL模板\VBA素材与模板\其他模板</v>
      </c>
      <c r="S2023" s="9">
        <v>43600.3821527778</v>
      </c>
      <c r="T2023" s="9">
        <v>43390.5194675926</v>
      </c>
    </row>
    <row r="2024" spans="14:20">
      <c r="N2024" s="7" t="str">
        <f>HYPERLINK("E:\附赠：Excel模板\精美EXCEL模板\VBA素材与模板\其他模板\货币换算.xlt","货币换算.xlt")</f>
        <v>货币换算.xlt</v>
      </c>
      <c r="Q2024">
        <v>0.03</v>
      </c>
      <c r="R2024" s="7" t="str">
        <f t="shared" si="42"/>
        <v>E:\附赠：Excel模板\精美EXCEL模板\VBA素材与模板\其他模板</v>
      </c>
      <c r="S2024" s="9">
        <v>43600.3821527778</v>
      </c>
      <c r="T2024" s="9">
        <v>43390.519537037</v>
      </c>
    </row>
    <row r="2025" spans="14:20">
      <c r="N2025" s="7" t="str">
        <f>HYPERLINK("E:\附赠：Excel模板\精美EXCEL模板\VBA素材与模板\其他模板\运用函数建立超链接.xlt","运用函数建立超链接.xlt")</f>
        <v>运用函数建立超链接.xlt</v>
      </c>
      <c r="Q2025">
        <v>0.01</v>
      </c>
      <c r="R2025" s="7" t="str">
        <f t="shared" si="42"/>
        <v>E:\附赠：Excel模板\精美EXCEL模板\VBA素材与模板\其他模板</v>
      </c>
      <c r="S2025" s="9">
        <v>43600.3821527778</v>
      </c>
      <c r="T2025" s="9">
        <v>43390.5194675926</v>
      </c>
    </row>
    <row r="2026" spans="14:20">
      <c r="N2026" s="7" t="str">
        <f>HYPERLINK("E:\附赠：Excel模板\精美EXCEL模板\VBA素材与模板\其他模板\运用逻辑函数判断闰年.xlt","运用逻辑函数判断闰年.xlt")</f>
        <v>运用逻辑函数判断闰年.xlt</v>
      </c>
      <c r="Q2026">
        <v>0.01</v>
      </c>
      <c r="R2026" s="7" t="str">
        <f t="shared" si="42"/>
        <v>E:\附赠：Excel模板\精美EXCEL模板\VBA素材与模板\其他模板</v>
      </c>
      <c r="S2026" s="9">
        <v>43600.3821527778</v>
      </c>
      <c r="T2026" s="9">
        <v>43390.5194675926</v>
      </c>
    </row>
    <row r="2027" spans="14:20">
      <c r="N2027" s="7" t="str">
        <f>HYPERLINK("E:\附赠：Excel模板\精美EXCEL模板\VBA素材与模板\其他模板\进销存管理.xlt","进销存管理.xlt")</f>
        <v>进销存管理.xlt</v>
      </c>
      <c r="Q2027">
        <v>0.04</v>
      </c>
      <c r="R2027" s="7" t="str">
        <f t="shared" si="42"/>
        <v>E:\附赠：Excel模板\精美EXCEL模板\VBA素材与模板\其他模板</v>
      </c>
      <c r="S2027" s="9">
        <v>43600.3821527778</v>
      </c>
      <c r="T2027" s="9">
        <v>43390.519537037</v>
      </c>
    </row>
    <row r="2028" spans="14:20">
      <c r="N2028" s="7" t="str">
        <f>HYPERLINK("E:\附赠：Excel模板\精美EXCEL模板\VBA素材与模板\其他模板\通讯录.XLT","通讯录.XLT")</f>
        <v>通讯录.XLT</v>
      </c>
      <c r="Q2028">
        <v>0.02</v>
      </c>
      <c r="R2028" s="7" t="str">
        <f t="shared" ref="R2028:R2033" si="43">HYPERLINK("E:\附赠：Excel模板\精美EXCEL模板\VBA素材与模板\其他模板","E:\附赠：Excel模板\精美EXCEL模板\VBA素材与模板\其他模板")</f>
        <v>E:\附赠：Excel模板\精美EXCEL模板\VBA素材与模板\其他模板</v>
      </c>
      <c r="S2028" s="9">
        <v>43600.3821527778</v>
      </c>
      <c r="T2028" s="9">
        <v>43390.5194907407</v>
      </c>
    </row>
    <row r="2029" spans="14:20">
      <c r="N2029" s="7" t="str">
        <f>HYPERLINK("E:\附赠：Excel模板\精美EXCEL模板\VBA素材与模板\其他模板\通讯费年度计划表.xlt","通讯费年度计划表.xlt")</f>
        <v>通讯费年度计划表.xlt</v>
      </c>
      <c r="Q2029">
        <v>0.03</v>
      </c>
      <c r="R2029" s="7" t="str">
        <f t="shared" si="43"/>
        <v>E:\附赠：Excel模板\精美EXCEL模板\VBA素材与模板\其他模板</v>
      </c>
      <c r="S2029" s="9">
        <v>43600.3821527778</v>
      </c>
      <c r="T2029" s="9">
        <v>43390.5195138889</v>
      </c>
    </row>
    <row r="2030" spans="14:20">
      <c r="N2030" s="7" t="str">
        <f>HYPERLINK("E:\附赠：Excel模板\精美EXCEL模板\VBA素材与模板\其他模板\销售报表分析.xlt","销售报表分析.xlt")</f>
        <v>销售报表分析.xlt</v>
      </c>
      <c r="Q2030">
        <v>0.08</v>
      </c>
      <c r="R2030" s="7" t="str">
        <f t="shared" si="43"/>
        <v>E:\附赠：Excel模板\精美EXCEL模板\VBA素材与模板\其他模板</v>
      </c>
      <c r="S2030" s="9">
        <v>43600.3821527778</v>
      </c>
      <c r="T2030" s="9">
        <v>43390.5194907407</v>
      </c>
    </row>
    <row r="2031" spans="14:20">
      <c r="N2031" s="7" t="str">
        <f>HYPERLINK("E:\附赠：Excel模板\精美EXCEL模板\VBA素材与模板\其他模板\销售记录单的编辑.xlt","销售记录单的编辑.xlt")</f>
        <v>销售记录单的编辑.xlt</v>
      </c>
      <c r="Q2031">
        <v>0.13</v>
      </c>
      <c r="R2031" s="7" t="str">
        <f t="shared" si="43"/>
        <v>E:\附赠：Excel模板\精美EXCEL模板\VBA素材与模板\其他模板</v>
      </c>
      <c r="S2031" s="9">
        <v>43600.3821527778</v>
      </c>
      <c r="T2031" s="9">
        <v>43390.5194907407</v>
      </c>
    </row>
    <row r="2032" spans="14:20">
      <c r="N2032" s="7" t="str">
        <f>HYPERLINK("E:\附赠：Excel模板\精美EXCEL模板\VBA素材与模板\其他模板\预算的编制.xlt","预算的编制.xlt")</f>
        <v>预算的编制.xlt</v>
      </c>
      <c r="Q2032">
        <v>0.09</v>
      </c>
      <c r="R2032" s="7" t="str">
        <f t="shared" si="43"/>
        <v>E:\附赠：Excel模板\精美EXCEL模板\VBA素材与模板\其他模板</v>
      </c>
      <c r="S2032" s="9">
        <v>43600.3821527778</v>
      </c>
      <c r="T2032" s="9">
        <v>43390.5194907407</v>
      </c>
    </row>
    <row r="2033" spans="14:20">
      <c r="N2033" s="7" t="str">
        <f>HYPERLINK("E:\附赠：Excel模板\精美EXCEL模板\VBA素材与模板\其他模板\驱动.xlt","驱动.xlt")</f>
        <v>驱动.xlt</v>
      </c>
      <c r="Q2033">
        <v>0.02</v>
      </c>
      <c r="R2033" s="7" t="str">
        <f t="shared" si="43"/>
        <v>E:\附赠：Excel模板\精美EXCEL模板\VBA素材与模板\其他模板</v>
      </c>
      <c r="S2033" s="9">
        <v>43600.3821527778</v>
      </c>
      <c r="T2033" s="9">
        <v>43390.5195138889</v>
      </c>
    </row>
    <row r="2034" spans="14:20">
      <c r="N2034" t="s">
        <v>15</v>
      </c>
      <c r="Q2034" t="s">
        <v>15</v>
      </c>
      <c r="R2034" t="s">
        <v>15</v>
      </c>
      <c r="S2034" t="s">
        <v>15</v>
      </c>
      <c r="T2034" t="s">
        <v>15</v>
      </c>
    </row>
    <row r="2035" spans="14:20">
      <c r="N2035" t="s">
        <v>15</v>
      </c>
      <c r="Q2035" t="s">
        <v>15</v>
      </c>
      <c r="R2035" t="s">
        <v>15</v>
      </c>
      <c r="S2035" t="s">
        <v>15</v>
      </c>
      <c r="T2035" t="s">
        <v>15</v>
      </c>
    </row>
    <row r="2036" spans="14:20">
      <c r="N2036" s="7" t="str">
        <f>HYPERLINK("E:\附赠：Excel模板\精美EXCEL模板\人力资源素材与模板\其他模板\三维旋转图表.xlt","三维旋转图表.xlt")</f>
        <v>三维旋转图表.xlt</v>
      </c>
      <c r="Q2036">
        <v>0.08</v>
      </c>
      <c r="R2036" s="7" t="str">
        <f t="shared" ref="R2036:R2099" si="44">HYPERLINK("E:\附赠：Excel模板\精美EXCEL模板\人力资源素材与模板\其他模板","E:\附赠：Excel模板\精美EXCEL模板\人力资源素材与模板\其他模板")</f>
        <v>E:\附赠：Excel模板\精美EXCEL模板\人力资源素材与模板\其他模板</v>
      </c>
      <c r="S2036" s="9">
        <v>43600.3821527778</v>
      </c>
      <c r="T2036" s="9">
        <v>43390.5193055556</v>
      </c>
    </row>
    <row r="2037" spans="14:20">
      <c r="N2037" s="7" t="str">
        <f>HYPERLINK("E:\附赠：Excel模板\精美EXCEL模板\人力资源素材与模板\其他模板\个税速算.xlt","个税速算.xlt")</f>
        <v>个税速算.xlt</v>
      </c>
      <c r="Q2037">
        <v>0.02</v>
      </c>
      <c r="R2037" s="7" t="str">
        <f t="shared" si="44"/>
        <v>E:\附赠：Excel模板\精美EXCEL模板\人力资源素材与模板\其他模板</v>
      </c>
      <c r="S2037" s="9">
        <v>43600.3821527778</v>
      </c>
      <c r="T2037" s="9">
        <v>43390.5193287037</v>
      </c>
    </row>
    <row r="2038" spans="14:20">
      <c r="N2038" s="7" t="str">
        <f>HYPERLINK("E:\附赠：Excel模板\精美EXCEL模板\人力资源素材与模板\其他模板\主要产品成本分析.xlt","主要产品成本分析.xlt")</f>
        <v>主要产品成本分析.xlt</v>
      </c>
      <c r="Q2038">
        <v>0.02</v>
      </c>
      <c r="R2038" s="7" t="str">
        <f t="shared" si="44"/>
        <v>E:\附赠：Excel模板\精美EXCEL模板\人力资源素材与模板\其他模板</v>
      </c>
      <c r="S2038" s="9">
        <v>43600.3821527778</v>
      </c>
      <c r="T2038" s="9">
        <v>43390.5192592593</v>
      </c>
    </row>
    <row r="2039" spans="14:20">
      <c r="N2039" s="7" t="str">
        <f>HYPERLINK("E:\附赠：Excel模板\精美EXCEL模板\人力资源素材与模板\其他模板\产品销售分析与预测.xlt","产品销售分析与预测.xlt")</f>
        <v>产品销售分析与预测.xlt</v>
      </c>
      <c r="Q2039">
        <v>0.08</v>
      </c>
      <c r="R2039" s="7" t="str">
        <f t="shared" si="44"/>
        <v>E:\附赠：Excel模板\精美EXCEL模板\人力资源素材与模板\其他模板</v>
      </c>
      <c r="S2039" s="9">
        <v>43600.3821527778</v>
      </c>
      <c r="T2039" s="9">
        <v>43390.5193518518</v>
      </c>
    </row>
    <row r="2040" spans="14:20">
      <c r="N2040" s="7" t="str">
        <f>HYPERLINK("E:\附赠：Excel模板\精美EXCEL模板\人力资源素材与模板\其他模板\产品销售额预测分析表.xlt","产品销售额预测分析表.xlt")</f>
        <v>产品销售额预测分析表.xlt</v>
      </c>
      <c r="Q2040">
        <v>0.01</v>
      </c>
      <c r="R2040" s="7" t="str">
        <f t="shared" si="44"/>
        <v>E:\附赠：Excel模板\精美EXCEL模板\人力资源素材与模板\其他模板</v>
      </c>
      <c r="S2040" s="9">
        <v>43600.3821527778</v>
      </c>
      <c r="T2040" s="9">
        <v>43390.5193518518</v>
      </c>
    </row>
    <row r="2041" spans="14:20">
      <c r="N2041" s="7" t="str">
        <f>HYPERLINK("E:\附赠：Excel模板\精美EXCEL模板\人力资源素材与模板\其他模板\企业产品清单.xlt","企业产品清单.xlt")</f>
        <v>企业产品清单.xlt</v>
      </c>
      <c r="Q2041">
        <v>0.04</v>
      </c>
      <c r="R2041" s="7" t="str">
        <f t="shared" si="44"/>
        <v>E:\附赠：Excel模板\精美EXCEL模板\人力资源素材与模板\其他模板</v>
      </c>
      <c r="S2041" s="9">
        <v>43600.3821527778</v>
      </c>
      <c r="T2041" s="9">
        <v>43390.5193055556</v>
      </c>
    </row>
    <row r="2042" spans="14:20">
      <c r="N2042" s="7" t="str">
        <f>HYPERLINK("E:\附赠：Excel模板\精美EXCEL模板\人力资源素材与模板\其他模板\企业内部刊物阅览管理.xlt","企业内部刊物阅览管理.xlt")</f>
        <v>企业内部刊物阅览管理.xlt</v>
      </c>
      <c r="Q2042">
        <v>0.15</v>
      </c>
      <c r="R2042" s="7" t="str">
        <f t="shared" si="44"/>
        <v>E:\附赠：Excel模板\精美EXCEL模板\人力资源素材与模板\其他模板</v>
      </c>
      <c r="S2042" s="9">
        <v>43600.3821527778</v>
      </c>
      <c r="T2042" s="9">
        <v>43390.5193055556</v>
      </c>
    </row>
    <row r="2043" spans="14:20">
      <c r="N2043" s="7" t="str">
        <f>HYPERLINK("E:\附赠：Excel模板\精美EXCEL模板\人力资源素材与模板\其他模板\企业原料采购申请表.xlt","企业原料采购申请表.xlt")</f>
        <v>企业原料采购申请表.xlt</v>
      </c>
      <c r="Q2043">
        <v>0.02</v>
      </c>
      <c r="R2043" s="7" t="str">
        <f t="shared" si="44"/>
        <v>E:\附赠：Excel模板\精美EXCEL模板\人力资源素材与模板\其他模板</v>
      </c>
      <c r="S2043" s="9">
        <v>43600.3821527778</v>
      </c>
      <c r="T2043" s="9">
        <v>43390.5193055556</v>
      </c>
    </row>
    <row r="2044" spans="14:20">
      <c r="N2044" s="7" t="str">
        <f>HYPERLINK("E:\附赠：Excel模板\精美EXCEL模板\人力资源素材与模板\其他模板\企业原料采购登记表.xlt","企业原料采购登记表.xlt")</f>
        <v>企业原料采购登记表.xlt</v>
      </c>
      <c r="Q2044">
        <v>0.02</v>
      </c>
      <c r="R2044" s="7" t="str">
        <f t="shared" si="44"/>
        <v>E:\附赠：Excel模板\精美EXCEL模板\人力资源素材与模板\其他模板</v>
      </c>
      <c r="S2044" s="9">
        <v>43600.3821527778</v>
      </c>
      <c r="T2044" s="9">
        <v>43390.5193055556</v>
      </c>
    </row>
    <row r="2045" spans="14:20">
      <c r="N2045" s="7" t="str">
        <f>HYPERLINK("E:\附赠：Excel模板\精美EXCEL模板\人力资源素材与模板\其他模板\企业客户交易评估系统.xlt","企业客户交易评估系统.xlt")</f>
        <v>企业客户交易评估系统.xlt</v>
      </c>
      <c r="Q2045">
        <v>0.03</v>
      </c>
      <c r="R2045" s="7" t="str">
        <f t="shared" si="44"/>
        <v>E:\附赠：Excel模板\精美EXCEL模板\人力资源素材与模板\其他模板</v>
      </c>
      <c r="S2045" s="9">
        <v>43600.3821527778</v>
      </c>
      <c r="T2045" s="9">
        <v>43390.5193055556</v>
      </c>
    </row>
    <row r="2046" spans="14:20">
      <c r="N2046" s="7" t="str">
        <f>HYPERLINK("E:\附赠：Excel模板\精美EXCEL模板\人力资源素材与模板\其他模板\企业客户资料统计表.xlt","企业客户资料统计表.xlt")</f>
        <v>企业客户资料统计表.xlt</v>
      </c>
      <c r="Q2046">
        <v>0.02</v>
      </c>
      <c r="R2046" s="7" t="str">
        <f t="shared" si="44"/>
        <v>E:\附赠：Excel模板\精美EXCEL模板\人力资源素材与模板\其他模板</v>
      </c>
      <c r="S2046" s="9">
        <v>43600.3821527778</v>
      </c>
      <c r="T2046" s="9">
        <v>43390.5193055556</v>
      </c>
    </row>
    <row r="2047" spans="14:20">
      <c r="N2047" s="7" t="str">
        <f>HYPERLINK("E:\附赠：Excel模板\精美EXCEL模板\人力资源素材与模板\其他模板\企业新进员工培训成绩统计表.xlt","企业新进员工培训成绩统计表.xlt")</f>
        <v>企业新进员工培训成绩统计表.xlt</v>
      </c>
      <c r="Q2047">
        <v>0.02</v>
      </c>
      <c r="R2047" s="7" t="str">
        <f t="shared" si="44"/>
        <v>E:\附赠：Excel模板\精美EXCEL模板\人力资源素材与模板\其他模板</v>
      </c>
      <c r="S2047" s="9">
        <v>43600.3821527778</v>
      </c>
      <c r="T2047" s="9">
        <v>43390.5193055556</v>
      </c>
    </row>
    <row r="2048" spans="14:20">
      <c r="N2048" s="7" t="str">
        <f>HYPERLINK("E:\附赠：Excel模板\精美EXCEL模板\人力资源素材与模板\其他模板\企业新进员工登记表.xlt","企业新进员工登记表.xlt")</f>
        <v>企业新进员工登记表.xlt</v>
      </c>
      <c r="Q2048">
        <v>0.02</v>
      </c>
      <c r="R2048" s="7" t="str">
        <f t="shared" si="44"/>
        <v>E:\附赠：Excel模板\精美EXCEL模板\人力资源素材与模板\其他模板</v>
      </c>
      <c r="S2048" s="9">
        <v>43600.3821527778</v>
      </c>
      <c r="T2048" s="9">
        <v>43390.5193055556</v>
      </c>
    </row>
    <row r="2049" spans="14:20">
      <c r="N2049" s="7" t="str">
        <f>HYPERLINK("E:\附赠：Excel模板\精美EXCEL模板\人力资源素材与模板\其他模板\企业生产方案选择表.xlt","企业生产方案选择表.xlt")</f>
        <v>企业生产方案选择表.xlt</v>
      </c>
      <c r="Q2049">
        <v>0.02</v>
      </c>
      <c r="R2049" s="7" t="str">
        <f t="shared" si="44"/>
        <v>E:\附赠：Excel模板\精美EXCEL模板\人力资源素材与模板\其他模板</v>
      </c>
      <c r="S2049" s="9">
        <v>43600.3821527778</v>
      </c>
      <c r="T2049" s="9">
        <v>43390.5193055556</v>
      </c>
    </row>
    <row r="2050" spans="14:20">
      <c r="N2050" s="7" t="str">
        <f>HYPERLINK("E:\附赠：Excel模板\精美EXCEL模板\人力资源素材与模板\其他模板\企业重大会议日程安排提醒表.xlt","企业重大会议日程安排提醒表.xlt")</f>
        <v>企业重大会议日程安排提醒表.xlt</v>
      </c>
      <c r="Q2050">
        <v>0.02</v>
      </c>
      <c r="R2050" s="7" t="str">
        <f t="shared" si="44"/>
        <v>E:\附赠：Excel模板\精美EXCEL模板\人力资源素材与模板\其他模板</v>
      </c>
      <c r="S2050" s="9">
        <v>43600.3821527778</v>
      </c>
      <c r="T2050" s="9">
        <v>43390.5193055556</v>
      </c>
    </row>
    <row r="2051" spans="14:20">
      <c r="N2051" s="7" t="str">
        <f>HYPERLINK("E:\附赠：Excel模板\精美EXCEL模板\人力资源素材与模板\其他模板\使用DAVERAGE函数计算条目的平均值.xlt","使用DAVERAGE函数计算条目的平均值.xlt")</f>
        <v>使用DAVERAGE函数计算条目的平均值.xlt</v>
      </c>
      <c r="Q2051">
        <v>0.01</v>
      </c>
      <c r="R2051" s="7" t="str">
        <f t="shared" si="44"/>
        <v>E:\附赠：Excel模板\精美EXCEL模板\人力资源素材与模板\其他模板</v>
      </c>
      <c r="S2051" s="9">
        <v>43600.3821527778</v>
      </c>
      <c r="T2051" s="9">
        <v>43390.5193055556</v>
      </c>
    </row>
    <row r="2052" spans="14:20">
      <c r="N2052" s="7" t="str">
        <f>HYPERLINK("E:\附赠：Excel模板\精美EXCEL模板\人力资源素材与模板\其他模板\养老金投资计算器.xlt","养老金投资计算器.xlt")</f>
        <v>养老金投资计算器.xlt</v>
      </c>
      <c r="Q2052">
        <v>0.08</v>
      </c>
      <c r="R2052" s="7" t="str">
        <f t="shared" si="44"/>
        <v>E:\附赠：Excel模板\精美EXCEL模板\人力资源素材与模板\其他模板</v>
      </c>
      <c r="S2052" s="9">
        <v>43600.3821527778</v>
      </c>
      <c r="T2052" s="9">
        <v>43390.5192824074</v>
      </c>
    </row>
    <row r="2053" spans="14:20">
      <c r="N2053" s="7" t="str">
        <f>HYPERLINK("E:\附赠：Excel模板\精美EXCEL模板\人力资源素材与模板\其他模板\内部报酬率法投资分析表.xlt","内部报酬率法投资分析表.xlt")</f>
        <v>内部报酬率法投资分析表.xlt</v>
      </c>
      <c r="Q2053">
        <v>0.04</v>
      </c>
      <c r="R2053" s="7" t="str">
        <f t="shared" si="44"/>
        <v>E:\附赠：Excel模板\精美EXCEL模板\人力资源素材与模板\其他模板</v>
      </c>
      <c r="S2053" s="9">
        <v>43600.3821527778</v>
      </c>
      <c r="T2053" s="9">
        <v>43390.5193287037</v>
      </c>
    </row>
    <row r="2054" spans="14:20">
      <c r="N2054" s="7" t="str">
        <f>HYPERLINK("E:\附赠：Excel模板\精美EXCEL模板\人力资源素材与模板\其他模板\净现值法投资分析表.xlt","净现值法投资分析表.xlt")</f>
        <v>净现值法投资分析表.xlt</v>
      </c>
      <c r="Q2054">
        <v>0.03</v>
      </c>
      <c r="R2054" s="7" t="str">
        <f t="shared" si="44"/>
        <v>E:\附赠：Excel模板\精美EXCEL模板\人力资源素材与模板\其他模板</v>
      </c>
      <c r="S2054" s="9">
        <v>43600.3821527778</v>
      </c>
      <c r="T2054" s="9">
        <v>43390.5193287037</v>
      </c>
    </row>
    <row r="2055" spans="14:20">
      <c r="N2055" s="7" t="str">
        <f>HYPERLINK("E:\附赠：Excel模板\精美EXCEL模板\人力资源素材与模板\其他模板\利润规划.xlt","利润规划.xlt")</f>
        <v>利润规划.xlt</v>
      </c>
      <c r="Q2055">
        <v>0.03</v>
      </c>
      <c r="R2055" s="7" t="str">
        <f t="shared" si="44"/>
        <v>E:\附赠：Excel模板\精美EXCEL模板\人力资源素材与模板\其他模板</v>
      </c>
      <c r="S2055" s="9">
        <v>43600.3821527778</v>
      </c>
      <c r="T2055" s="9">
        <v>43390.5193287037</v>
      </c>
    </row>
    <row r="2056" spans="14:20">
      <c r="N2056" s="7" t="str">
        <f>HYPERLINK("E:\附赠：Excel模板\精美EXCEL模板\人力资源素材与模板\其他模板\制作员工通讯录.xlt","制作员工通讯录.xlt")</f>
        <v>制作员工通讯录.xlt</v>
      </c>
      <c r="Q2056">
        <v>0.03</v>
      </c>
      <c r="R2056" s="7" t="str">
        <f t="shared" si="44"/>
        <v>E:\附赠：Excel模板\精美EXCEL模板\人力资源素材与模板\其他模板</v>
      </c>
      <c r="S2056" s="9">
        <v>43600.3821527778</v>
      </c>
      <c r="T2056" s="9">
        <v>43390.5192592593</v>
      </c>
    </row>
    <row r="2057" spans="14:20">
      <c r="N2057" s="7" t="str">
        <f>HYPERLINK("E:\附赠：Excel模板\精美EXCEL模板\人力资源素材与模板\其他模板\制作股票收益计算器.xlt","制作股票收益计算器.xlt")</f>
        <v>制作股票收益计算器.xlt</v>
      </c>
      <c r="Q2057">
        <v>0.02</v>
      </c>
      <c r="R2057" s="7" t="str">
        <f t="shared" si="44"/>
        <v>E:\附赠：Excel模板\精美EXCEL模板\人力资源素材与模板\其他模板</v>
      </c>
      <c r="S2057" s="9">
        <v>43600.3821527778</v>
      </c>
      <c r="T2057" s="9">
        <v>43390.5192592593</v>
      </c>
    </row>
    <row r="2058" spans="14:20">
      <c r="N2058" s="7" t="str">
        <f>HYPERLINK("E:\附赠：Excel模板\精美EXCEL模板\人力资源素材与模板\其他模板\办公用品领用记录表.xlt","办公用品领用记录表.xlt")</f>
        <v>办公用品领用记录表.xlt</v>
      </c>
      <c r="Q2058">
        <v>0.02</v>
      </c>
      <c r="R2058" s="7" t="str">
        <f t="shared" si="44"/>
        <v>E:\附赠：Excel模板\精美EXCEL模板\人力资源素材与模板\其他模板</v>
      </c>
      <c r="S2058" s="9">
        <v>43600.3821527778</v>
      </c>
      <c r="T2058" s="9">
        <v>43390.5193518518</v>
      </c>
    </row>
    <row r="2059" spans="14:20">
      <c r="N2059" s="7" t="str">
        <f>HYPERLINK("E:\附赠：Excel模板\精美EXCEL模板\人力资源素材与模板\其他模板\包含同名同姓员工的销售部员工资料表.xlt","包含同名同姓员工的销售部员工资料表.xlt")</f>
        <v>包含同名同姓员工的销售部员工资料表.xlt</v>
      </c>
      <c r="Q2059">
        <v>0.68</v>
      </c>
      <c r="R2059" s="7" t="str">
        <f t="shared" si="44"/>
        <v>E:\附赠：Excel模板\精美EXCEL模板\人力资源素材与模板\其他模板</v>
      </c>
      <c r="S2059" s="9">
        <v>43600.3821527778</v>
      </c>
      <c r="T2059" s="9">
        <v>43390.5193518518</v>
      </c>
    </row>
    <row r="2060" spans="14:20">
      <c r="N2060" s="7" t="str">
        <f>HYPERLINK("E:\附赠：Excel模板\精美EXCEL模板\人力资源素材与模板\其他模板\员工医疗费用统计表.xlt","员工医疗费用统计表.xlt")</f>
        <v>员工医疗费用统计表.xlt</v>
      </c>
      <c r="Q2060">
        <v>0.02</v>
      </c>
      <c r="R2060" s="7" t="str">
        <f t="shared" si="44"/>
        <v>E:\附赠：Excel模板\精美EXCEL模板\人力资源素材与模板\其他模板</v>
      </c>
      <c r="S2060" s="9">
        <v>43600.3821527778</v>
      </c>
      <c r="T2060" s="9">
        <v>43390.5192592593</v>
      </c>
    </row>
    <row r="2061" spans="14:20">
      <c r="N2061" s="7" t="str">
        <f>HYPERLINK("E:\附赠：Excel模板\精美EXCEL模板\人力资源素材与模板\其他模板\员工名片印制申请单据.xlt","员工名片印制申请单据.xlt")</f>
        <v>员工名片印制申请单据.xlt</v>
      </c>
      <c r="Q2061">
        <v>0.01</v>
      </c>
      <c r="R2061" s="7" t="str">
        <f t="shared" si="44"/>
        <v>E:\附赠：Excel模板\精美EXCEL模板\人力资源素材与模板\其他模板</v>
      </c>
      <c r="S2061" s="9">
        <v>43600.3821527778</v>
      </c>
      <c r="T2061" s="9">
        <v>43390.5192592593</v>
      </c>
    </row>
    <row r="2062" spans="14:20">
      <c r="N2062" s="7" t="str">
        <f>HYPERLINK("E:\附赠：Excel模板\精美EXCEL模板\人力资源素材与模板\其他模板\员工工资数据表.xlt","员工工资数据表.xlt")</f>
        <v>员工工资数据表.xlt</v>
      </c>
      <c r="Q2062">
        <v>0.03</v>
      </c>
      <c r="R2062" s="7" t="str">
        <f t="shared" si="44"/>
        <v>E:\附赠：Excel模板\精美EXCEL模板\人力资源素材与模板\其他模板</v>
      </c>
      <c r="S2062" s="9">
        <v>43600.3821527778</v>
      </c>
      <c r="T2062" s="9">
        <v>43390.5192824074</v>
      </c>
    </row>
    <row r="2063" spans="14:20">
      <c r="N2063" s="7" t="str">
        <f>HYPERLINK("E:\附赠：Excel模板\精美EXCEL模板\人力资源素材与模板\其他模板\员工过往薪资记录表.xlt","员工过往薪资记录表.xlt")</f>
        <v>员工过往薪资记录表.xlt</v>
      </c>
      <c r="Q2063">
        <v>0.02</v>
      </c>
      <c r="R2063" s="7" t="str">
        <f t="shared" si="44"/>
        <v>E:\附赠：Excel模板\精美EXCEL模板\人力资源素材与模板\其他模板</v>
      </c>
      <c r="S2063" s="9">
        <v>43600.3821527778</v>
      </c>
      <c r="T2063" s="9">
        <v>43390.5192592593</v>
      </c>
    </row>
    <row r="2064" spans="14:20">
      <c r="N2064" s="7" t="str">
        <f>HYPERLINK("E:\附赠：Excel模板\精美EXCEL模板\人力资源素材与模板\其他模板\商品分期付款决策.xlt","商品分期付款决策.xlt")</f>
        <v>商品分期付款决策.xlt</v>
      </c>
      <c r="Q2064">
        <v>0.03</v>
      </c>
      <c r="R2064" s="7" t="str">
        <f t="shared" si="44"/>
        <v>E:\附赠：Excel模板\精美EXCEL模板\人力资源素材与模板\其他模板</v>
      </c>
      <c r="S2064" s="9">
        <v>43600.3821527778</v>
      </c>
      <c r="T2064" s="9">
        <v>43390.5193055556</v>
      </c>
    </row>
    <row r="2065" spans="14:20">
      <c r="N2065" s="7" t="str">
        <f>HYPERLINK("E:\附赠：Excel模板\精美EXCEL模板\人力资源素材与模板\其他模板\商品库存需求分析表.xlt","商品库存需求分析表.xlt")</f>
        <v>商品库存需求分析表.xlt</v>
      </c>
      <c r="Q2065">
        <v>0.03</v>
      </c>
      <c r="R2065" s="7" t="str">
        <f t="shared" si="44"/>
        <v>E:\附赠：Excel模板\精美EXCEL模板\人力资源素材与模板\其他模板</v>
      </c>
      <c r="S2065" s="9">
        <v>43600.3821527778</v>
      </c>
      <c r="T2065" s="9">
        <v>43390.5193055556</v>
      </c>
    </row>
    <row r="2066" spans="14:20">
      <c r="N2066" s="7" t="str">
        <f>HYPERLINK("E:\附赠：Excel模板\精美EXCEL模板\人力资源素材与模板\其他模板\固定资产清查盘点统计表.xlt","固定资产清查盘点统计表.xlt")</f>
        <v>固定资产清查盘点统计表.xlt</v>
      </c>
      <c r="Q2066">
        <v>0.04</v>
      </c>
      <c r="R2066" s="7" t="str">
        <f t="shared" si="44"/>
        <v>E:\附赠：Excel模板\精美EXCEL模板\人力资源素材与模板\其他模板</v>
      </c>
      <c r="S2066" s="9">
        <v>43600.3821527778</v>
      </c>
      <c r="T2066" s="9">
        <v>43390.5193287037</v>
      </c>
    </row>
    <row r="2067" spans="14:20">
      <c r="N2067" s="7" t="str">
        <f>HYPERLINK("E:\附赠：Excel模板\精美EXCEL模板\人力资源素材与模板\其他模板\在住房贷款中运用财务函数.xlt","在住房贷款中运用财务函数.xlt")</f>
        <v>在住房贷款中运用财务函数.xlt</v>
      </c>
      <c r="Q2067">
        <v>0.02</v>
      </c>
      <c r="R2067" s="7" t="str">
        <f t="shared" si="44"/>
        <v>E:\附赠：Excel模板\精美EXCEL模板\人力资源素材与模板\其他模板</v>
      </c>
      <c r="S2067" s="9">
        <v>43600.3821527778</v>
      </c>
      <c r="T2067" s="9">
        <v>43390.5192592593</v>
      </c>
    </row>
    <row r="2068" spans="14:20">
      <c r="N2068" s="7" t="str">
        <f>HYPERLINK("E:\附赠：Excel模板\精美EXCEL模板\人力资源素材与模板\其他模板\在贷款经营表中运用财务函数.xlt","在贷款经营表中运用财务函数.xlt")</f>
        <v>在贷款经营表中运用财务函数.xlt</v>
      </c>
      <c r="Q2068">
        <v>0.02</v>
      </c>
      <c r="R2068" s="7" t="str">
        <f t="shared" si="44"/>
        <v>E:\附赠：Excel模板\精美EXCEL模板\人力资源素材与模板\其他模板</v>
      </c>
      <c r="S2068" s="9">
        <v>43600.3821527778</v>
      </c>
      <c r="T2068" s="9">
        <v>43390.5192592593</v>
      </c>
    </row>
    <row r="2069" spans="14:20">
      <c r="N2069" s="7" t="str">
        <f>HYPERLINK("E:\附赠：Excel模板\精美EXCEL模板\人力资源素材与模板\其他模板\存货明细表.xlt","存货明细表.xlt")</f>
        <v>存货明细表.xlt</v>
      </c>
      <c r="Q2069">
        <v>0.02</v>
      </c>
      <c r="R2069" s="7" t="str">
        <f t="shared" si="44"/>
        <v>E:\附赠：Excel模板\精美EXCEL模板\人力资源素材与模板\其他模板</v>
      </c>
      <c r="S2069" s="9">
        <v>43600.3821527778</v>
      </c>
      <c r="T2069" s="9">
        <v>43390.5193518518</v>
      </c>
    </row>
    <row r="2070" spans="14:20">
      <c r="N2070" s="7" t="str">
        <f>HYPERLINK("E:\附赠：Excel模板\精美EXCEL模板\人力资源素材与模板\其他模板\学生信息表.xlt","学生信息表.xlt")</f>
        <v>学生信息表.xlt</v>
      </c>
      <c r="Q2070">
        <v>0.02</v>
      </c>
      <c r="R2070" s="7" t="str">
        <f t="shared" si="44"/>
        <v>E:\附赠：Excel模板\精美EXCEL模板\人力资源素材与模板\其他模板</v>
      </c>
      <c r="S2070" s="9">
        <v>43600.3821527778</v>
      </c>
      <c r="T2070" s="9">
        <v>43390.5192824074</v>
      </c>
    </row>
    <row r="2071" spans="14:20">
      <c r="N2071" s="7" t="str">
        <f>HYPERLINK("E:\附赠：Excel模板\精美EXCEL模板\人力资源素材与模板\其他模板\工作任务分配时间表.xlt","工作任务分配时间表.xlt")</f>
        <v>工作任务分配时间表.xlt</v>
      </c>
      <c r="Q2071">
        <v>0.03</v>
      </c>
      <c r="R2071" s="7" t="str">
        <f t="shared" si="44"/>
        <v>E:\附赠：Excel模板\精美EXCEL模板\人力资源素材与模板\其他模板</v>
      </c>
      <c r="S2071" s="9">
        <v>43600.3821527778</v>
      </c>
      <c r="T2071" s="9">
        <v>43390.5193287037</v>
      </c>
    </row>
    <row r="2072" spans="14:20">
      <c r="N2072" s="7" t="str">
        <f>HYPERLINK("E:\附赠：Excel模板\精美EXCEL模板\人力资源素材与模板\其他模板\年度收支预算表.xlt","年度收支预算表.xlt")</f>
        <v>年度收支预算表.xlt</v>
      </c>
      <c r="Q2072">
        <v>0.05</v>
      </c>
      <c r="R2072" s="7" t="str">
        <f t="shared" si="44"/>
        <v>E:\附赠：Excel模板\精美EXCEL模板\人力资源素材与模板\其他模板</v>
      </c>
      <c r="S2072" s="9">
        <v>43600.3821527778</v>
      </c>
      <c r="T2072" s="9">
        <v>43390.5193287037</v>
      </c>
    </row>
    <row r="2073" spans="14:20">
      <c r="N2073" s="7" t="str">
        <f>HYPERLINK("E:\附赠：Excel模板\精美EXCEL模板\人力资源素材与模板\其他模板\广告预算分配方案.xlt","广告预算分配方案.xlt")</f>
        <v>广告预算分配方案.xlt</v>
      </c>
      <c r="Q2073">
        <v>0.02</v>
      </c>
      <c r="R2073" s="7" t="str">
        <f t="shared" si="44"/>
        <v>E:\附赠：Excel模板\精美EXCEL模板\人力资源素材与模板\其他模板</v>
      </c>
      <c r="S2073" s="9">
        <v>43600.3821527778</v>
      </c>
      <c r="T2073" s="9">
        <v>43390.5193287037</v>
      </c>
    </row>
    <row r="2074" spans="14:20">
      <c r="N2074" s="7" t="str">
        <f>HYPERLINK("E:\附赠：Excel模板\精美EXCEL模板\人力资源素材与模板\其他模板\往来账款的处理.xlt","往来账款的处理.xlt")</f>
        <v>往来账款的处理.xlt</v>
      </c>
      <c r="Q2074">
        <v>0.11</v>
      </c>
      <c r="R2074" s="7" t="str">
        <f t="shared" si="44"/>
        <v>E:\附赠：Excel模板\精美EXCEL模板\人力资源素材与模板\其他模板</v>
      </c>
      <c r="S2074" s="9">
        <v>43600.3821527778</v>
      </c>
      <c r="T2074" s="9">
        <v>43390.5192824074</v>
      </c>
    </row>
    <row r="2075" spans="14:20">
      <c r="N2075" s="7" t="str">
        <f>HYPERLINK("E:\附赠：Excel模板\精美EXCEL模板\人力资源素材与模板\其他模板\成本分析.xlt","成本分析.xlt")</f>
        <v>成本分析.xlt</v>
      </c>
      <c r="Q2075">
        <v>0.02</v>
      </c>
      <c r="R2075" s="7" t="str">
        <f t="shared" si="44"/>
        <v>E:\附赠：Excel模板\精美EXCEL模板\人力资源素材与模板\其他模板</v>
      </c>
      <c r="S2075" s="9">
        <v>43600.3821527778</v>
      </c>
      <c r="T2075" s="9">
        <v>43390.5193518518</v>
      </c>
    </row>
    <row r="2076" spans="14:20">
      <c r="N2076" s="7" t="str">
        <f>HYPERLINK("E:\附赠：Excel模板\精美EXCEL模板\人力资源素材与模板\其他模板\房屋贷款计算器.xlt","房屋贷款计算器.xlt")</f>
        <v>房屋贷款计算器.xlt</v>
      </c>
      <c r="Q2076">
        <v>0.04</v>
      </c>
      <c r="R2076" s="7" t="str">
        <f t="shared" si="44"/>
        <v>E:\附赠：Excel模板\精美EXCEL模板\人力资源素材与模板\其他模板</v>
      </c>
      <c r="S2076" s="9">
        <v>43600.3821527778</v>
      </c>
      <c r="T2076" s="9">
        <v>43390.5193518518</v>
      </c>
    </row>
    <row r="2077" spans="14:20">
      <c r="N2077" s="7" t="str">
        <f>HYPERLINK("E:\附赠：Excel模板\精美EXCEL模板\人力资源素材与模板\其他模板\投资收益模拟测算器.XLT","投资收益模拟测算器.XLT")</f>
        <v>投资收益模拟测算器.XLT</v>
      </c>
      <c r="Q2077">
        <v>0.08</v>
      </c>
      <c r="R2077" s="7" t="str">
        <f t="shared" si="44"/>
        <v>E:\附赠：Excel模板\精美EXCEL模板\人力资源素材与模板\其他模板</v>
      </c>
      <c r="S2077" s="9">
        <v>43600.3821527778</v>
      </c>
      <c r="T2077" s="9">
        <v>43390.5192824074</v>
      </c>
    </row>
    <row r="2078" spans="14:20">
      <c r="N2078" s="7" t="str">
        <f>HYPERLINK("E:\附赠：Excel模板\精美EXCEL模板\人力资源素材与模板\其他模板\折旧计提法.xlt","折旧计提法.xlt")</f>
        <v>折旧计提法.xlt</v>
      </c>
      <c r="Q2078">
        <v>0.02</v>
      </c>
      <c r="R2078" s="7" t="str">
        <f t="shared" si="44"/>
        <v>E:\附赠：Excel模板\精美EXCEL模板\人力资源素材与模板\其他模板</v>
      </c>
      <c r="S2078" s="9">
        <v>43600.3821527778</v>
      </c>
      <c r="T2078" s="9">
        <v>43390.5192592593</v>
      </c>
    </row>
    <row r="2079" spans="14:20">
      <c r="N2079" s="7" t="str">
        <f>HYPERLINK("E:\附赠：Excel模板\精美EXCEL模板\人力资源素材与模板\其他模板\报价单.xlt","报价单.xlt")</f>
        <v>报价单.xlt</v>
      </c>
      <c r="Q2079">
        <v>0.03</v>
      </c>
      <c r="R2079" s="7" t="str">
        <f t="shared" si="44"/>
        <v>E:\附赠：Excel模板\精美EXCEL模板\人力资源素材与模板\其他模板</v>
      </c>
      <c r="S2079" s="9">
        <v>43600.3821527778</v>
      </c>
      <c r="T2079" s="9">
        <v>43390.5193518518</v>
      </c>
    </row>
    <row r="2080" spans="14:20">
      <c r="N2080" s="7" t="str">
        <f>HYPERLINK("E:\附赠：Excel模板\精美EXCEL模板\人力资源素材与模板\其他模板\日常费用统计表.xlt","日常费用统计表.xlt")</f>
        <v>日常费用统计表.xlt</v>
      </c>
      <c r="Q2080">
        <v>0.02</v>
      </c>
      <c r="R2080" s="7" t="str">
        <f t="shared" si="44"/>
        <v>E:\附赠：Excel模板\精美EXCEL模板\人力资源素材与模板\其他模板</v>
      </c>
      <c r="S2080" s="9">
        <v>43600.3821527778</v>
      </c>
      <c r="T2080" s="9">
        <v>43390.5193055556</v>
      </c>
    </row>
    <row r="2081" spans="14:20">
      <c r="N2081" s="7" t="str">
        <f>HYPERLINK("E:\附赠：Excel模板\精美EXCEL模板\人力资源素材与模板\其他模板\月偿还额单变量模拟运算表.xlt","月偿还额单变量模拟运算表.xlt")</f>
        <v>月偿还额单变量模拟运算表.xlt</v>
      </c>
      <c r="Q2081">
        <v>0.01</v>
      </c>
      <c r="R2081" s="7" t="str">
        <f t="shared" si="44"/>
        <v>E:\附赠：Excel模板\精美EXCEL模板\人力资源素材与模板\其他模板</v>
      </c>
      <c r="S2081" s="9">
        <v>43600.3821527778</v>
      </c>
      <c r="T2081" s="9">
        <v>43390.5192592593</v>
      </c>
    </row>
    <row r="2082" spans="14:20">
      <c r="N2082" s="7" t="str">
        <f>HYPERLINK("E:\附赠：Excel模板\精美EXCEL模板\人力资源素材与模板\其他模板\月偿还额双变量模拟运算表.xlt","月偿还额双变量模拟运算表.xlt")</f>
        <v>月偿还额双变量模拟运算表.xlt</v>
      </c>
      <c r="Q2082">
        <v>0.02</v>
      </c>
      <c r="R2082" s="7" t="str">
        <f t="shared" si="44"/>
        <v>E:\附赠：Excel模板\精美EXCEL模板\人力资源素材与模板\其他模板</v>
      </c>
      <c r="S2082" s="9">
        <v>43600.3821527778</v>
      </c>
      <c r="T2082" s="9">
        <v>43390.5192824074</v>
      </c>
    </row>
    <row r="2083" spans="14:20">
      <c r="N2083" s="7" t="str">
        <f>HYPERLINK("E:\附赠：Excel模板\精美EXCEL模板\人力资源素材与模板\其他模板\有关节假日的计算.xlt","有关节假日的计算.xlt")</f>
        <v>有关节假日的计算.xlt</v>
      </c>
      <c r="Q2083">
        <v>0.02</v>
      </c>
      <c r="R2083" s="7" t="str">
        <f t="shared" si="44"/>
        <v>E:\附赠：Excel模板\精美EXCEL模板\人力资源素材与模板\其他模板</v>
      </c>
      <c r="S2083" s="9">
        <v>43600.3821527778</v>
      </c>
      <c r="T2083" s="9">
        <v>43390.5192824074</v>
      </c>
    </row>
    <row r="2084" spans="14:20">
      <c r="N2084" s="7" t="str">
        <f>HYPERLINK("E:\附赠：Excel模板\精美EXCEL模板\人力资源素材与模板\其他模板\根据产品销售情况动态统计库存以及奖金提成.xlt","根据产品销售情况动态统计库存以及奖金提成.xlt")</f>
        <v>根据产品销售情况动态统计库存以及奖金提成.xlt</v>
      </c>
      <c r="Q2084">
        <v>0.02</v>
      </c>
      <c r="R2084" s="7" t="str">
        <f t="shared" si="44"/>
        <v>E:\附赠：Excel模板\精美EXCEL模板\人力资源素材与模板\其他模板</v>
      </c>
      <c r="S2084" s="9">
        <v>43600.3821527778</v>
      </c>
      <c r="T2084" s="9">
        <v>43390.5193287037</v>
      </c>
    </row>
    <row r="2085" spans="14:20">
      <c r="N2085" s="7" t="str">
        <f>HYPERLINK("E:\附赠：Excel模板\精美EXCEL模板\人力资源素材与模板\其他模板\火车站寄存包裹收费的计算.xlt","火车站寄存包裹收费的计算.xlt")</f>
        <v>火车站寄存包裹收费的计算.xlt</v>
      </c>
      <c r="Q2085">
        <v>0.02</v>
      </c>
      <c r="R2085" s="7" t="str">
        <f t="shared" si="44"/>
        <v>E:\附赠：Excel模板\精美EXCEL模板\人力资源素材与模板\其他模板</v>
      </c>
      <c r="S2085" s="9">
        <v>43600.3821527778</v>
      </c>
      <c r="T2085" s="9">
        <v>43390.5193287037</v>
      </c>
    </row>
    <row r="2086" spans="14:20">
      <c r="N2086" s="7" t="str">
        <f>HYPERLINK("E:\附赠：Excel模板\精美EXCEL模板\人力资源素材与模板\其他模板\现值指数法投资分析表.xlt","现值指数法投资分析表.xlt")</f>
        <v>现值指数法投资分析表.xlt</v>
      </c>
      <c r="Q2086">
        <v>0.04</v>
      </c>
      <c r="R2086" s="7" t="str">
        <f t="shared" si="44"/>
        <v>E:\附赠：Excel模板\精美EXCEL模板\人力资源素材与模板\其他模板</v>
      </c>
      <c r="S2086" s="9">
        <v>43600.3821527778</v>
      </c>
      <c r="T2086" s="9">
        <v>43390.5192824074</v>
      </c>
    </row>
    <row r="2087" spans="14:20">
      <c r="N2087" s="7" t="str">
        <f>HYPERLINK("E:\附赠：Excel模板\精美EXCEL模板\人力资源素材与模板\其他模板\现金流量表.xlt","现金流量表.xlt")</f>
        <v>现金流量表.xlt</v>
      </c>
      <c r="Q2087">
        <v>0.03</v>
      </c>
      <c r="R2087" s="7" t="str">
        <f t="shared" si="44"/>
        <v>E:\附赠：Excel模板\精美EXCEL模板\人力资源素材与模板\其他模板</v>
      </c>
      <c r="S2087" s="9">
        <v>43600.3821527778</v>
      </c>
      <c r="T2087" s="9">
        <v>43390.5192824074</v>
      </c>
    </row>
    <row r="2088" spans="14:20">
      <c r="N2088" s="7" t="str">
        <f>HYPERLINK("E:\附赠：Excel模板\精美EXCEL模板\人力资源素材与模板\其他模板\电子邮件发送企业产品清单.xlt","电子邮件发送企业产品清单.xlt")</f>
        <v>电子邮件发送企业产品清单.xlt</v>
      </c>
      <c r="Q2088">
        <v>0.06</v>
      </c>
      <c r="R2088" s="7" t="str">
        <f t="shared" si="44"/>
        <v>E:\附赠：Excel模板\精美EXCEL模板\人力资源素材与模板\其他模板</v>
      </c>
      <c r="S2088" s="9">
        <v>43600.3821527778</v>
      </c>
      <c r="T2088" s="9">
        <v>43390.5193518518</v>
      </c>
    </row>
    <row r="2089" spans="14:20">
      <c r="N2089" s="7" t="str">
        <f>HYPERLINK("E:\附赠：Excel模板\精美EXCEL模板\人力资源素材与模板\其他模板\筹资决策的分析.xlt","筹资决策的分析.xlt")</f>
        <v>筹资决策的分析.xlt</v>
      </c>
      <c r="Q2089">
        <v>0.02</v>
      </c>
      <c r="R2089" s="7" t="str">
        <f t="shared" si="44"/>
        <v>E:\附赠：Excel模板\精美EXCEL模板\人力资源素材与模板\其他模板</v>
      </c>
      <c r="S2089" s="9">
        <v>43600.3821527778</v>
      </c>
      <c r="T2089" s="9">
        <v>43390.5193518518</v>
      </c>
    </row>
    <row r="2090" spans="14:20">
      <c r="N2090" s="7" t="str">
        <f>HYPERLINK("E:\附赠：Excel模板\精美EXCEL模板\人力资源素材与模板\其他模板\绘制员工考核图表.xlt","绘制员工考核图表.xlt")</f>
        <v>绘制员工考核图表.xlt</v>
      </c>
      <c r="Q2090">
        <v>0.02</v>
      </c>
      <c r="R2090" s="7" t="str">
        <f t="shared" si="44"/>
        <v>E:\附赠：Excel模板\精美EXCEL模板\人力资源素材与模板\其他模板</v>
      </c>
      <c r="S2090" s="9">
        <v>43600.3821527778</v>
      </c>
      <c r="T2090" s="9">
        <v>43390.5193287037</v>
      </c>
    </row>
    <row r="2091" spans="14:20">
      <c r="N2091" s="7" t="str">
        <f>HYPERLINK("E:\附赠：Excel模板\精美EXCEL模板\人力资源素材与模板\其他模板\绘制商品的区域销售图表.xlt","绘制商品的区域销售图表.xlt")</f>
        <v>绘制商品的区域销售图表.xlt</v>
      </c>
      <c r="Q2091">
        <v>0.02</v>
      </c>
      <c r="R2091" s="7" t="str">
        <f t="shared" si="44"/>
        <v>E:\附赠：Excel模板\精美EXCEL模板\人力资源素材与模板\其他模板</v>
      </c>
      <c r="S2091" s="9">
        <v>43600.3821527778</v>
      </c>
      <c r="T2091" s="9">
        <v>43390.5193287037</v>
      </c>
    </row>
    <row r="2092" spans="14:20">
      <c r="N2092" s="7" t="str">
        <f>HYPERLINK("E:\附赠：Excel模板\精美EXCEL模板\人力资源素材与模板\其他模板\绘制年度支出比例图.xlt","绘制年度支出比例图.xlt")</f>
        <v>绘制年度支出比例图.xlt</v>
      </c>
      <c r="Q2092">
        <v>0.02</v>
      </c>
      <c r="R2092" s="7" t="str">
        <f t="shared" si="44"/>
        <v>E:\附赠：Excel模板\精美EXCEL模板\人力资源素材与模板\其他模板</v>
      </c>
      <c r="S2092" s="9">
        <v>43600.3821527778</v>
      </c>
      <c r="T2092" s="9">
        <v>43390.5193287037</v>
      </c>
    </row>
    <row r="2093" spans="14:20">
      <c r="N2093" s="7" t="str">
        <f>HYPERLINK("E:\附赠：Excel模板\精美EXCEL模板\人力资源素材与模板\其他模板\财务分析.xlt","财务分析.xlt")</f>
        <v>财务分析.xlt</v>
      </c>
      <c r="Q2093">
        <v>1.47</v>
      </c>
      <c r="R2093" s="7" t="str">
        <f t="shared" si="44"/>
        <v>E:\附赠：Excel模板\精美EXCEL模板\人力资源素材与模板\其他模板</v>
      </c>
      <c r="S2093" s="9">
        <v>43600.3821527778</v>
      </c>
      <c r="T2093" s="9">
        <v>43390.5193518518</v>
      </c>
    </row>
    <row r="2094" spans="14:20">
      <c r="N2094" s="7" t="str">
        <f>HYPERLINK("E:\附赠：Excel模板\精美EXCEL模板\人力资源素材与模板\其他模板\货币换算.xlt","货币换算.xlt")</f>
        <v>货币换算.xlt</v>
      </c>
      <c r="Q2094">
        <v>0.03</v>
      </c>
      <c r="R2094" s="7" t="str">
        <f t="shared" si="44"/>
        <v>E:\附赠：Excel模板\精美EXCEL模板\人力资源素材与模板\其他模板</v>
      </c>
      <c r="S2094" s="9">
        <v>43600.3821527778</v>
      </c>
      <c r="T2094" s="9">
        <v>43390.5193287037</v>
      </c>
    </row>
    <row r="2095" spans="14:20">
      <c r="N2095" s="7" t="str">
        <f>HYPERLINK("E:\附赠：Excel模板\精美EXCEL模板\人力资源素材与模板\其他模板\资产负债表.xlt","资产负债表.xlt")</f>
        <v>资产负债表.xlt</v>
      </c>
      <c r="Q2095">
        <v>0.03</v>
      </c>
      <c r="R2095" s="7" t="str">
        <f t="shared" si="44"/>
        <v>E:\附赠：Excel模板\精美EXCEL模板\人力资源素材与模板\其他模板</v>
      </c>
      <c r="S2095" s="9">
        <v>43600.3821527778</v>
      </c>
      <c r="T2095" s="9">
        <v>43390.5192592593</v>
      </c>
    </row>
    <row r="2096" spans="14:20">
      <c r="N2096" s="7" t="str">
        <f>HYPERLINK("E:\附赠：Excel模板\精美EXCEL模板\人力资源素材与模板\其他模板\运用逻辑函数判断闰年.xlt","运用逻辑函数判断闰年.xlt")</f>
        <v>运用逻辑函数判断闰年.xlt</v>
      </c>
      <c r="Q2096">
        <v>0.01</v>
      </c>
      <c r="R2096" s="7" t="str">
        <f t="shared" si="44"/>
        <v>E:\附赠：Excel模板\精美EXCEL模板\人力资源素材与模板\其他模板</v>
      </c>
      <c r="S2096" s="9">
        <v>43600.3821527778</v>
      </c>
      <c r="T2096" s="9">
        <v>43390.5192824074</v>
      </c>
    </row>
    <row r="2097" spans="14:20">
      <c r="N2097" s="7" t="str">
        <f>HYPERLINK("E:\附赠：Excel模板\精美EXCEL模板\人力资源素材与模板\其他模板\进销存管理.xlt","进销存管理.xlt")</f>
        <v>进销存管理.xlt</v>
      </c>
      <c r="Q2097">
        <v>0.04</v>
      </c>
      <c r="R2097" s="7" t="str">
        <f t="shared" si="44"/>
        <v>E:\附赠：Excel模板\精美EXCEL模板\人力资源素材与模板\其他模板</v>
      </c>
      <c r="S2097" s="9">
        <v>43600.3821527778</v>
      </c>
      <c r="T2097" s="9">
        <v>43390.5193287037</v>
      </c>
    </row>
    <row r="2098" spans="14:20">
      <c r="N2098" s="7" t="str">
        <f>HYPERLINK("E:\附赠：Excel模板\精美EXCEL模板\人力资源素材与模板\其他模板\通讯录.XLT","通讯录.XLT")</f>
        <v>通讯录.XLT</v>
      </c>
      <c r="Q2098">
        <v>0.02</v>
      </c>
      <c r="R2098" s="7" t="str">
        <f t="shared" si="44"/>
        <v>E:\附赠：Excel模板\精美EXCEL模板\人力资源素材与模板\其他模板</v>
      </c>
      <c r="S2098" s="9">
        <v>43600.3821527778</v>
      </c>
      <c r="T2098" s="9">
        <v>43390.5192824074</v>
      </c>
    </row>
    <row r="2099" spans="14:20">
      <c r="N2099" s="7" t="str">
        <f>HYPERLINK("E:\附赠：Excel模板\精美EXCEL模板\人力资源素材与模板\其他模板\通讯费年度计划表.xlt","通讯费年度计划表.xlt")</f>
        <v>通讯费年度计划表.xlt</v>
      </c>
      <c r="Q2099">
        <v>0.03</v>
      </c>
      <c r="R2099" s="7" t="str">
        <f t="shared" si="44"/>
        <v>E:\附赠：Excel模板\精美EXCEL模板\人力资源素材与模板\其他模板</v>
      </c>
      <c r="S2099" s="9">
        <v>43600.3821527778</v>
      </c>
      <c r="T2099" s="9">
        <v>43390.5192824074</v>
      </c>
    </row>
    <row r="2100" spans="14:20">
      <c r="N2100" s="7" t="str">
        <f>HYPERLINK("E:\附赠：Excel模板\精美EXCEL模板\人力资源素材与模板\其他模板\销售报表分析.xlt","销售报表分析.xlt")</f>
        <v>销售报表分析.xlt</v>
      </c>
      <c r="Q2100">
        <v>0.08</v>
      </c>
      <c r="R2100" s="7" t="str">
        <f t="shared" ref="R2100:R2105" si="45">HYPERLINK("E:\附赠：Excel模板\精美EXCEL模板\人力资源素材与模板\其他模板","E:\附赠：Excel模板\精美EXCEL模板\人力资源素材与模板\其他模板")</f>
        <v>E:\附赠：Excel模板\精美EXCEL模板\人力资源素材与模板\其他模板</v>
      </c>
      <c r="S2100" s="9">
        <v>43600.3821527778</v>
      </c>
      <c r="T2100" s="9">
        <v>43390.5192824074</v>
      </c>
    </row>
    <row r="2101" spans="14:20">
      <c r="N2101" s="7" t="str">
        <f>HYPERLINK("E:\附赠：Excel模板\精美EXCEL模板\人力资源素材与模板\其他模板\销售数据汇总分析.xlt","销售数据汇总分析.xlt")</f>
        <v>销售数据汇总分析.xlt</v>
      </c>
      <c r="Q2101">
        <v>0.03</v>
      </c>
      <c r="R2101" s="7" t="str">
        <f t="shared" si="45"/>
        <v>E:\附赠：Excel模板\精美EXCEL模板\人力资源素材与模板\其他模板</v>
      </c>
      <c r="S2101" s="9">
        <v>43600.3821527778</v>
      </c>
      <c r="T2101" s="9">
        <v>43390.5192824074</v>
      </c>
    </row>
    <row r="2102" spans="14:20">
      <c r="N2102" s="7" t="str">
        <f>HYPERLINK("E:\附赠：Excel模板\精美EXCEL模板\人力资源素材与模板\其他模板\销售记录单的编辑.xlt","销售记录单的编辑.xlt")</f>
        <v>销售记录单的编辑.xlt</v>
      </c>
      <c r="Q2102">
        <v>0.13</v>
      </c>
      <c r="R2102" s="7" t="str">
        <f t="shared" si="45"/>
        <v>E:\附赠：Excel模板\精美EXCEL模板\人力资源素材与模板\其他模板</v>
      </c>
      <c r="S2102" s="9">
        <v>43600.3821527778</v>
      </c>
      <c r="T2102" s="9">
        <v>43390.5192824074</v>
      </c>
    </row>
    <row r="2103" spans="14:20">
      <c r="N2103" s="7" t="str">
        <f>HYPERLINK("E:\附赠：Excel模板\精美EXCEL模板\人力资源素材与模板\其他模板\销售额预测.xlt","销售额预测.xlt")</f>
        <v>销售额预测.xlt</v>
      </c>
      <c r="Q2103">
        <v>0.03</v>
      </c>
      <c r="R2103" s="7" t="str">
        <f t="shared" si="45"/>
        <v>E:\附赠：Excel模板\精美EXCEL模板\人力资源素材与模板\其他模板</v>
      </c>
      <c r="S2103" s="9">
        <v>43600.3821527778</v>
      </c>
      <c r="T2103" s="9">
        <v>43390.5193055556</v>
      </c>
    </row>
    <row r="2104" spans="14:20">
      <c r="N2104" s="7" t="str">
        <f>HYPERLINK("E:\附赠：Excel模板\精美EXCEL模板\人力资源素材与模板\其他模板\预算的编制.xlt","预算的编制.xlt")</f>
        <v>预算的编制.xlt</v>
      </c>
      <c r="Q2104">
        <v>0.09</v>
      </c>
      <c r="R2104" s="7" t="str">
        <f t="shared" si="45"/>
        <v>E:\附赠：Excel模板\精美EXCEL模板\人力资源素材与模板\其他模板</v>
      </c>
      <c r="S2104" s="9">
        <v>43600.3821527778</v>
      </c>
      <c r="T2104" s="9">
        <v>43390.5192824074</v>
      </c>
    </row>
    <row r="2105" spans="14:20">
      <c r="N2105" s="7" t="str">
        <f>HYPERLINK("E:\附赠：Excel模板\精美EXCEL模板\人力资源素材与模板\其他模板\驱动.xlt","驱动.xlt")</f>
        <v>驱动.xlt</v>
      </c>
      <c r="Q2105">
        <v>0.02</v>
      </c>
      <c r="R2105" s="7" t="str">
        <f t="shared" si="45"/>
        <v>E:\附赠：Excel模板\精美EXCEL模板\人力资源素材与模板\其他模板</v>
      </c>
      <c r="S2105" s="9">
        <v>43600.3821527778</v>
      </c>
      <c r="T2105" s="9">
        <v>43390.5193055556</v>
      </c>
    </row>
    <row r="2106" spans="14:20">
      <c r="N2106" t="s">
        <v>15</v>
      </c>
      <c r="Q2106" t="s">
        <v>15</v>
      </c>
      <c r="R2106" t="s">
        <v>15</v>
      </c>
      <c r="S2106" t="s">
        <v>15</v>
      </c>
      <c r="T2106" t="s">
        <v>15</v>
      </c>
    </row>
    <row r="2107" spans="14:20">
      <c r="N2107" s="7" t="str">
        <f>HYPERLINK("E:\附赠：Excel模板\精美EXCEL模板\其他1000例\2003年中央财政预算、决算收支.xls","2003年中央财政预算、决算收支.xls")</f>
        <v>2003年中央财政预算、决算收支.xls</v>
      </c>
      <c r="Q2107">
        <v>0.02</v>
      </c>
      <c r="R2107" s="7" t="str">
        <f t="shared" ref="R2107:R2170" si="46">HYPERLINK("E:\附赠：Excel模板\精美EXCEL模板\其他1000例","E:\附赠：Excel模板\精美EXCEL模板\其他1000例")</f>
        <v>E:\附赠：Excel模板\精美EXCEL模板\其他1000例</v>
      </c>
      <c r="S2107" s="9">
        <v>43600.3821527778</v>
      </c>
      <c r="T2107" s="9">
        <v>43390.5183564815</v>
      </c>
    </row>
    <row r="2108" spans="14:20">
      <c r="N2108" s="7" t="str">
        <f>HYPERLINK("E:\附赠：Excel模板\精美EXCEL模板\其他1000例\4622.xls","4622.xls")</f>
        <v>4622.xls</v>
      </c>
      <c r="Q2108">
        <v>0.02</v>
      </c>
      <c r="R2108" s="7" t="str">
        <f t="shared" si="46"/>
        <v>E:\附赠：Excel模板\精美EXCEL模板\其他1000例</v>
      </c>
      <c r="S2108" s="9">
        <v>43600.3821527778</v>
      </c>
      <c r="T2108" s="9">
        <v>43390.5183564815</v>
      </c>
    </row>
    <row r="2109" spans="14:20">
      <c r="N2109" s="7" t="str">
        <f>HYPERLINK("E:\附赠：Excel模板\精美EXCEL模板\其他1000例\NFSQ Forecast  by Year.xls","NFSQ Forecast  by Year.xls")</f>
        <v>NFSQ Forecast  by Year.xls</v>
      </c>
      <c r="Q2109">
        <v>0.03</v>
      </c>
      <c r="R2109" s="7" t="str">
        <f t="shared" si="46"/>
        <v>E:\附赠：Excel模板\精美EXCEL模板\其他1000例</v>
      </c>
      <c r="S2109" s="9">
        <v>43600.3821527778</v>
      </c>
      <c r="T2109" s="9">
        <v>43390.5183333333</v>
      </c>
    </row>
    <row r="2110" spans="14:20">
      <c r="N2110" s="7" t="str">
        <f>HYPERLINK("E:\附赠：Excel模板\精美EXCEL模板\其他1000例\SOLVSAMP.xls","SOLVSAMP.xls")</f>
        <v>SOLVSAMP.xls</v>
      </c>
      <c r="Q2110">
        <v>0.05</v>
      </c>
      <c r="R2110" s="7" t="str">
        <f t="shared" si="46"/>
        <v>E:\附赠：Excel模板\精美EXCEL模板\其他1000例</v>
      </c>
      <c r="S2110" s="9">
        <v>43600.3821527778</v>
      </c>
      <c r="T2110" s="9">
        <v>43390.5183333333</v>
      </c>
    </row>
    <row r="2111" spans="14:20">
      <c r="N2111" s="7" t="str">
        <f>HYPERLINK("E:\附赠：Excel模板\精美EXCEL模板\其他1000例\××年财政拨款结余资金情况确认表.xls","××年财政拨款结余资金情况确认表.xls")</f>
        <v>××年财政拨款结余资金情况确认表.xls</v>
      </c>
      <c r="Q2111">
        <v>0.02</v>
      </c>
      <c r="R2111" s="7" t="str">
        <f t="shared" si="46"/>
        <v>E:\附赠：Excel模板\精美EXCEL模板\其他1000例</v>
      </c>
      <c r="S2111" s="9">
        <v>43600.3821527778</v>
      </c>
      <c r="T2111" s="9">
        <v>43390.5183333333</v>
      </c>
    </row>
    <row r="2112" spans="14:20">
      <c r="N2112" s="7" t="str">
        <f>HYPERLINK("E:\附赠：Excel模板\精美EXCEL模板\其他1000例\“黄金周”旅游接待情况城市汇总表.xls","“黄金周”旅游接待情况城市汇总表.xls")</f>
        <v>“黄金周”旅游接待情况城市汇总表.xls</v>
      </c>
      <c r="Q2112">
        <v>0.02</v>
      </c>
      <c r="R2112" s="7" t="str">
        <f t="shared" si="46"/>
        <v>E:\附赠：Excel模板\精美EXCEL模板\其他1000例</v>
      </c>
      <c r="S2112" s="9">
        <v>43600.3821527778</v>
      </c>
      <c r="T2112" s="9">
        <v>43390.5183333333</v>
      </c>
    </row>
    <row r="2113" spans="14:20">
      <c r="N2113" s="7" t="str">
        <f>HYPERLINK("E:\附赠：Excel模板\精美EXCEL模板\其他1000例\“黄金周”旅游景区（点）接待、收入情况表.xls","“黄金周”旅游景区（点）接待、收入情况表.xls")</f>
        <v>“黄金周”旅游景区（点）接待、收入情况表.xls</v>
      </c>
      <c r="Q2113">
        <v>0.02</v>
      </c>
      <c r="R2113" s="7" t="str">
        <f t="shared" si="46"/>
        <v>E:\附赠：Excel模板\精美EXCEL模板\其他1000例</v>
      </c>
      <c r="S2113" s="9">
        <v>43600.3821527778</v>
      </c>
      <c r="T2113" s="9">
        <v>43390.5183333333</v>
      </c>
    </row>
    <row r="2114" spans="14:20">
      <c r="N2114" s="7" t="str">
        <f>HYPERLINK("E:\附赠：Excel模板\精美EXCEL模板\其他1000例\“黄金周”旅行社国内旅游接待情况汇总表.xls","“黄金周”旅行社国内旅游接待情况汇总表.xls")</f>
        <v>“黄金周”旅行社国内旅游接待情况汇总表.xls</v>
      </c>
      <c r="Q2114">
        <v>0.01</v>
      </c>
      <c r="R2114" s="7" t="str">
        <f t="shared" si="46"/>
        <v>E:\附赠：Excel模板\精美EXCEL模板\其他1000例</v>
      </c>
      <c r="S2114" s="9">
        <v>43600.3821527778</v>
      </c>
      <c r="T2114" s="9">
        <v>43390.5183333333</v>
      </c>
    </row>
    <row r="2115" spans="14:20">
      <c r="N2115" s="7" t="str">
        <f>HYPERLINK("E:\附赠：Excel模板\精美EXCEL模板\其他1000例\上市公司半年度主要财务指标.xls","上市公司半年度主要财务指标.xls")</f>
        <v>上市公司半年度主要财务指标.xls</v>
      </c>
      <c r="Q2115">
        <v>0.02</v>
      </c>
      <c r="R2115" s="7" t="str">
        <f t="shared" si="46"/>
        <v>E:\附赠：Excel模板\精美EXCEL模板\其他1000例</v>
      </c>
      <c r="S2115" s="9">
        <v>43600.3821527778</v>
      </c>
      <c r="T2115" s="9">
        <v>43390.5175694444</v>
      </c>
    </row>
    <row r="2116" spans="14:20">
      <c r="N2116" s="7" t="str">
        <f>HYPERLINK("E:\附赠：Excel模板\精美EXCEL模板\其他1000例\上市公司财务指示.xls","上市公司财务指示.xls")</f>
        <v>上市公司财务指示.xls</v>
      </c>
      <c r="Q2116">
        <v>0.04</v>
      </c>
      <c r="R2116" s="7" t="str">
        <f t="shared" si="46"/>
        <v>E:\附赠：Excel模板\精美EXCEL模板\其他1000例</v>
      </c>
      <c r="S2116" s="9">
        <v>43600.3821527778</v>
      </c>
      <c r="T2116" s="9">
        <v>43390.5175694444</v>
      </c>
    </row>
    <row r="2117" spans="14:20">
      <c r="N2117" s="7" t="str">
        <f>HYPERLINK("E:\附赠：Excel模板\精美EXCEL模板\其他1000例\专业录取表.xls","专业录取表.xls")</f>
        <v>专业录取表.xls</v>
      </c>
      <c r="Q2117">
        <v>0.15</v>
      </c>
      <c r="R2117" s="7" t="str">
        <f t="shared" si="46"/>
        <v>E:\附赠：Excel模板\精美EXCEL模板\其他1000例</v>
      </c>
      <c r="S2117" s="9">
        <v>43600.3821527778</v>
      </c>
      <c r="T2117" s="9">
        <v>43390.5170138889</v>
      </c>
    </row>
    <row r="2118" spans="14:20">
      <c r="N2118" s="7" t="str">
        <f>HYPERLINK("E:\附赠：Excel模板\精美EXCEL模板\其他1000例\专业（专业、课程）责任教师一览表.xls","专业（专业、课程）责任教师一览表.xls")</f>
        <v>专业（专业、课程）责任教师一览表.xls</v>
      </c>
      <c r="Q2118">
        <v>0.02</v>
      </c>
      <c r="R2118" s="7" t="str">
        <f t="shared" si="46"/>
        <v>E:\附赠：Excel模板\精美EXCEL模板\其他1000例</v>
      </c>
      <c r="S2118" s="9">
        <v>43600.3821527778</v>
      </c>
      <c r="T2118" s="9">
        <v>43390.5170138889</v>
      </c>
    </row>
    <row r="2119" spans="14:20">
      <c r="N2119" s="7" t="str">
        <f>HYPERLINK("E:\附赠：Excel模板\精美EXCEL模板\其他1000例\专利技术实施情况统计表.xls","专利技术实施情况统计表.xls")</f>
        <v>专利技术实施情况统计表.xls</v>
      </c>
      <c r="Q2119">
        <v>0.02</v>
      </c>
      <c r="R2119" s="7" t="str">
        <f t="shared" si="46"/>
        <v>E:\附赠：Excel模板\精美EXCEL模板\其他1000例</v>
      </c>
      <c r="S2119" s="9">
        <v>43600.3821527778</v>
      </c>
      <c r="T2119" s="9">
        <v>43390.517037037</v>
      </c>
    </row>
    <row r="2120" spans="14:20">
      <c r="N2120" s="7" t="str">
        <f>HYPERLINK("E:\附赠：Excel模板\精美EXCEL模板\其他1000例\专用设备明细表.xls","专用设备明细表.xls")</f>
        <v>专用设备明细表.xls</v>
      </c>
      <c r="Q2120">
        <v>0.02</v>
      </c>
      <c r="R2120" s="7" t="str">
        <f t="shared" si="46"/>
        <v>E:\附赠：Excel模板\精美EXCEL模板\其他1000例</v>
      </c>
      <c r="S2120" s="9">
        <v>43600.3821527778</v>
      </c>
      <c r="T2120" s="9">
        <v>43390.5170138889</v>
      </c>
    </row>
    <row r="2121" spans="14:20">
      <c r="N2121" s="7" t="str">
        <f>HYPERLINK("E:\附赠：Excel模板\精美EXCEL模板\其他1000例\专项支出用款申请书.xls","专项支出用款申请书.xls")</f>
        <v>专项支出用款申请书.xls</v>
      </c>
      <c r="Q2121">
        <v>0.02</v>
      </c>
      <c r="R2121" s="7" t="str">
        <f t="shared" si="46"/>
        <v>E:\附赠：Excel模板\精美EXCEL模板\其他1000例</v>
      </c>
      <c r="S2121" s="9">
        <v>43600.3821527778</v>
      </c>
      <c r="T2121" s="9">
        <v>43390.5170138889</v>
      </c>
    </row>
    <row r="2122" spans="14:20">
      <c r="N2122" s="7" t="str">
        <f>HYPERLINK("E:\附赠：Excel模板\精美EXCEL模板\其他1000例\专项资金使用情况汇总表.xls","专项资金使用情况汇总表.xls")</f>
        <v>专项资金使用情况汇总表.xls</v>
      </c>
      <c r="Q2122">
        <v>0.02</v>
      </c>
      <c r="R2122" s="7" t="str">
        <f t="shared" si="46"/>
        <v>E:\附赠：Excel模板\精美EXCEL模板\其他1000例</v>
      </c>
      <c r="S2122" s="9">
        <v>43600.3821527778</v>
      </c>
      <c r="T2122" s="9">
        <v>43390.5170138889</v>
      </c>
    </row>
    <row r="2123" spans="14:20">
      <c r="N2123" s="7" t="str">
        <f>HYPERLINK("E:\附赠：Excel模板\精美EXCEL模板\其他1000例\专项资金完成项目投资表.xls","专项资金完成项目投资表.xls")</f>
        <v>专项资金完成项目投资表.xls</v>
      </c>
      <c r="Q2123">
        <v>0.01</v>
      </c>
      <c r="R2123" s="7" t="str">
        <f t="shared" si="46"/>
        <v>E:\附赠：Excel模板\精美EXCEL模板\其他1000例</v>
      </c>
      <c r="S2123" s="9">
        <v>43600.3821527778</v>
      </c>
      <c r="T2123" s="9">
        <v>43390.5170138889</v>
      </c>
    </row>
    <row r="2124" spans="14:20">
      <c r="N2124" s="7" t="str">
        <f>HYPERLINK("E:\附赠：Excel模板\精美EXCEL模板\其他1000例\专项资金项目申报表.xls","专项资金项目申报表.xls")</f>
        <v>专项资金项目申报表.xls</v>
      </c>
      <c r="Q2124">
        <v>0.02</v>
      </c>
      <c r="R2124" s="7" t="str">
        <f t="shared" si="46"/>
        <v>E:\附赠：Excel模板\精美EXCEL模板\其他1000例</v>
      </c>
      <c r="S2124" s="9">
        <v>43600.3821527778</v>
      </c>
      <c r="T2124" s="9">
        <v>43390.5170138889</v>
      </c>
    </row>
    <row r="2125" spans="14:20">
      <c r="N2125" s="7" t="str">
        <f>HYPERLINK("E:\附赠：Excel模板\精美EXCEL模板\其他1000例\业务实绩对比分析表.xls","业务实绩对比分析表.xls")</f>
        <v>业务实绩对比分析表.xls</v>
      </c>
      <c r="Q2125">
        <v>0.02</v>
      </c>
      <c r="R2125" s="7" t="str">
        <f t="shared" si="46"/>
        <v>E:\附赠：Excel模板\精美EXCEL模板\其他1000例</v>
      </c>
      <c r="S2125" s="9">
        <v>43600.3821527778</v>
      </c>
      <c r="T2125" s="9">
        <v>43390.5171759259</v>
      </c>
    </row>
    <row r="2126" spans="14:20">
      <c r="N2126" s="7" t="str">
        <f>HYPERLINK("E:\附赠：Excel模板\精美EXCEL模板\其他1000例\业务往来报表.xls","业务往来报表.xls")</f>
        <v>业务往来报表.xls</v>
      </c>
      <c r="Q2126">
        <v>0.02</v>
      </c>
      <c r="R2126" s="7" t="str">
        <f t="shared" si="46"/>
        <v>E:\附赠：Excel模板\精美EXCEL模板\其他1000例</v>
      </c>
      <c r="S2126" s="9">
        <v>43600.3821527778</v>
      </c>
      <c r="T2126" s="9">
        <v>43390.5171759259</v>
      </c>
    </row>
    <row r="2127" spans="14:20">
      <c r="N2127" s="7" t="str">
        <f>HYPERLINK("E:\附赠：Excel模板\精美EXCEL模板\其他1000例\业务联网情况调查表.xls","业务联网情况调查表.xls")</f>
        <v>业务联网情况调查表.xls</v>
      </c>
      <c r="Q2127">
        <v>0.02</v>
      </c>
      <c r="R2127" s="7" t="str">
        <f t="shared" si="46"/>
        <v>E:\附赠：Excel模板\精美EXCEL模板\其他1000例</v>
      </c>
      <c r="S2127" s="9">
        <v>43600.3821527778</v>
      </c>
      <c r="T2127" s="9">
        <v>43390.5171759259</v>
      </c>
    </row>
    <row r="2128" spans="14:20">
      <c r="N2128" s="7" t="str">
        <f>HYPERLINK("E:\附赠：Excel模板\精美EXCEL模板\其他1000例\个体工商户设立登记申请书.xls","个体工商户设立登记申请书.xls")</f>
        <v>个体工商户设立登记申请书.xls</v>
      </c>
      <c r="Q2128">
        <v>0.02</v>
      </c>
      <c r="R2128" s="7" t="str">
        <f t="shared" si="46"/>
        <v>E:\附赠：Excel模板\精美EXCEL模板\其他1000例</v>
      </c>
      <c r="S2128" s="9">
        <v>43600.3821527778</v>
      </c>
      <c r="T2128" s="9">
        <v>43390.5180555556</v>
      </c>
    </row>
    <row r="2129" spans="14:20">
      <c r="N2129" s="7" t="str">
        <f>HYPERLINK("E:\附赠：Excel模板\精美EXCEL模板\其他1000例\中介单位人员登.xls","中介单位人员登.xls")</f>
        <v>中介单位人员登.xls</v>
      </c>
      <c r="Q2129">
        <v>0.02</v>
      </c>
      <c r="R2129" s="7" t="str">
        <f t="shared" si="46"/>
        <v>E:\附赠：Excel模板\精美EXCEL模板\其他1000例</v>
      </c>
      <c r="S2129" s="9">
        <v>43600.3821527778</v>
      </c>
      <c r="T2129" s="9">
        <v>43390.5170601852</v>
      </c>
    </row>
    <row r="2130" spans="14:20">
      <c r="N2130" s="7" t="str">
        <f>HYPERLINK("E:\附赠：Excel模板\精美EXCEL模板\其他1000例\中外学者越洋对话日程安排.xls","中外学者越洋对话日程安排.xls")</f>
        <v>中外学者越洋对话日程安排.xls</v>
      </c>
      <c r="Q2130">
        <v>0.02</v>
      </c>
      <c r="R2130" s="7" t="str">
        <f t="shared" si="46"/>
        <v>E:\附赠：Excel模板\精美EXCEL模板\其他1000例</v>
      </c>
      <c r="S2130" s="9">
        <v>43600.3821527778</v>
      </c>
      <c r="T2130" s="9">
        <v>43390.5170601852</v>
      </c>
    </row>
    <row r="2131" spans="14:20">
      <c r="N2131" s="7" t="str">
        <f>HYPERLINK("E:\附赠：Excel模板\精美EXCEL模板\其他1000例\中央基层预算单位开立银行帐户申请表.xls","中央基层预算单位开立银行帐户申请表.xls")</f>
        <v>中央基层预算单位开立银行帐户申请表.xls</v>
      </c>
      <c r="Q2131">
        <v>0.02</v>
      </c>
      <c r="R2131" s="7" t="str">
        <f t="shared" si="46"/>
        <v>E:\附赠：Excel模板\精美EXCEL模板\其他1000例</v>
      </c>
      <c r="S2131" s="9">
        <v>43600.3821527778</v>
      </c>
      <c r="T2131" s="9">
        <v>43390.517037037</v>
      </c>
    </row>
    <row r="2132" spans="14:20">
      <c r="N2132" s="7" t="str">
        <f>HYPERLINK("E:\附赠：Excel模板\精美EXCEL模板\其他1000例\中央基层预算单位财政支出月报表.xls","中央基层预算单位财政支出月报表.xls")</f>
        <v>中央基层预算单位财政支出月报表.xls</v>
      </c>
      <c r="Q2132">
        <v>0.02</v>
      </c>
      <c r="R2132" s="7" t="str">
        <f t="shared" si="46"/>
        <v>E:\附赠：Excel模板\精美EXCEL模板\其他1000例</v>
      </c>
      <c r="S2132" s="9">
        <v>43600.3821527778</v>
      </c>
      <c r="T2132" s="9">
        <v>43390.517037037</v>
      </c>
    </row>
    <row r="2133" spans="14:20">
      <c r="N2133" s="7" t="str">
        <f>HYPERLINK("E:\附赠：Excel模板\精美EXCEL模板\其他1000例\中学校小升初报名表.xls","中学校小升初报名表.xls")</f>
        <v>中学校小升初报名表.xls</v>
      </c>
      <c r="Q2133">
        <v>0.02</v>
      </c>
      <c r="R2133" s="7" t="str">
        <f t="shared" si="46"/>
        <v>E:\附赠：Excel模板\精美EXCEL模板\其他1000例</v>
      </c>
      <c r="S2133" s="9">
        <v>43600.3821527778</v>
      </c>
      <c r="T2133" s="9">
        <v>43390.5170601852</v>
      </c>
    </row>
    <row r="2134" spans="14:20">
      <c r="N2134" s="7" t="str">
        <f>HYPERLINK("E:\附赠：Excel模板\精美EXCEL模板\其他1000例\中小企业国际市场开拓资金申报计划及批复.xls","中小企业国际市场开拓资金申报计划及批复.xls")</f>
        <v>中小企业国际市场开拓资金申报计划及批复.xls</v>
      </c>
      <c r="Q2134">
        <v>0.05</v>
      </c>
      <c r="R2134" s="7" t="str">
        <f t="shared" si="46"/>
        <v>E:\附赠：Excel模板\精美EXCEL模板\其他1000例</v>
      </c>
      <c r="S2134" s="9">
        <v>43600.3821527778</v>
      </c>
      <c r="T2134" s="9">
        <v>43390.5170601852</v>
      </c>
    </row>
    <row r="2135" spans="14:20">
      <c r="N2135" s="7" t="str">
        <f>HYPERLINK("E:\附赠：Excel模板\精美EXCEL模板\其他1000例\中小企业技术改造项目企业基本情况表.xls","中小企业技术改造项目企业基本情况表.xls")</f>
        <v>中小企业技术改造项目企业基本情况表.xls</v>
      </c>
      <c r="Q2135">
        <v>0.02</v>
      </c>
      <c r="R2135" s="7" t="str">
        <f t="shared" si="46"/>
        <v>E:\附赠：Excel模板\精美EXCEL模板\其他1000例</v>
      </c>
      <c r="S2135" s="9">
        <v>43600.3821527778</v>
      </c>
      <c r="T2135" s="9">
        <v>43390.5170601852</v>
      </c>
    </row>
    <row r="2136" spans="14:20">
      <c r="N2136" s="7" t="str">
        <f>HYPERLINK("E:\附赠：Excel模板\精美EXCEL模板\其他1000例\中小企业技术改造项目基本情况表.xls","中小企业技术改造项目基本情况表.xls")</f>
        <v>中小企业技术改造项目基本情况表.xls</v>
      </c>
      <c r="Q2136">
        <v>0.02</v>
      </c>
      <c r="R2136" s="7" t="str">
        <f t="shared" si="46"/>
        <v>E:\附赠：Excel模板\精美EXCEL模板\其他1000例</v>
      </c>
      <c r="S2136" s="9">
        <v>43600.3821527778</v>
      </c>
      <c r="T2136" s="9">
        <v>43390.5170601852</v>
      </c>
    </row>
    <row r="2137" spans="14:20">
      <c r="N2137" s="7" t="str">
        <f>HYPERLINK("E:\附赠：Excel模板\精美EXCEL模板\其他1000例\中小学家庭经济困难学生基本情况调查汇总表.xls","中小学家庭经济困难学生基本情况调查汇总表.xls")</f>
        <v>中小学家庭经济困难学生基本情况调查汇总表.xls</v>
      </c>
      <c r="Q2137">
        <v>0.02</v>
      </c>
      <c r="R2137" s="7" t="str">
        <f t="shared" si="46"/>
        <v>E:\附赠：Excel模板\精美EXCEL模板\其他1000例</v>
      </c>
      <c r="S2137" s="9">
        <v>43600.3821527778</v>
      </c>
      <c r="T2137" s="9">
        <v>43390.517037037</v>
      </c>
    </row>
    <row r="2138" spans="14:20">
      <c r="N2138" s="7" t="str">
        <f>HYPERLINK("E:\附赠：Excel模板\精美EXCEL模板\其他1000例\中小學中途輟學學生統計表.xls","中小學中途輟學學生統計表.xls")</f>
        <v>中小學中途輟學學生統計表.xls</v>
      </c>
      <c r="Q2138">
        <v>0.01</v>
      </c>
      <c r="R2138" s="7" t="str">
        <f t="shared" si="46"/>
        <v>E:\附赠：Excel模板\精美EXCEL模板\其他1000例</v>
      </c>
      <c r="S2138" s="9">
        <v>43600.3821527778</v>
      </c>
      <c r="T2138" s="9">
        <v>43390.5170601852</v>
      </c>
    </row>
    <row r="2139" spans="14:20">
      <c r="N2139" s="7" t="str">
        <f>HYPERLINK("E:\附赠：Excel模板\精美EXCEL模板\其他1000例\中等职业学校教师资格认定试讲教材目录.xls","中等职业学校教师资格认定试讲教材目录.xls")</f>
        <v>中等职业学校教师资格认定试讲教材目录.xls</v>
      </c>
      <c r="Q2139">
        <v>0.02</v>
      </c>
      <c r="R2139" s="7" t="str">
        <f t="shared" si="46"/>
        <v>E:\附赠：Excel模板\精美EXCEL模板\其他1000例</v>
      </c>
      <c r="S2139" s="9">
        <v>43600.3821527778</v>
      </c>
      <c r="T2139" s="9">
        <v>43390.5170601852</v>
      </c>
    </row>
    <row r="2140" spans="14:20">
      <c r="N2140" s="7" t="str">
        <f>HYPERLINK("E:\附赠：Excel模板\精美EXCEL模板\其他1000例\主营业务生产、销售预算表.xls","主营业务生产、销售预算表.xls")</f>
        <v>主营业务生产、销售预算表.xls</v>
      </c>
      <c r="Q2140">
        <v>0.02</v>
      </c>
      <c r="R2140" s="7" t="str">
        <f t="shared" si="46"/>
        <v>E:\附赠：Excel模板\精美EXCEL模板\其他1000例</v>
      </c>
      <c r="S2140" s="9">
        <v>43600.3821527778</v>
      </c>
      <c r="T2140" s="9">
        <v>43390.517037037</v>
      </c>
    </row>
    <row r="2141" spans="14:20">
      <c r="N2141" s="7" t="str">
        <f>HYPERLINK("E:\附赠：Excel模板\精美EXCEL模板\其他1000例\主要旅游景点游人、收入情况.xls","主要旅游景点游人、收入情况.xls")</f>
        <v>主要旅游景点游人、收入情况.xls</v>
      </c>
      <c r="Q2141">
        <v>0.02</v>
      </c>
      <c r="R2141" s="7" t="str">
        <f t="shared" si="46"/>
        <v>E:\附赠：Excel模板\精美EXCEL模板\其他1000例</v>
      </c>
      <c r="S2141" s="9">
        <v>43600.3821527778</v>
      </c>
      <c r="T2141" s="9">
        <v>43390.517037037</v>
      </c>
    </row>
    <row r="2142" spans="14:20">
      <c r="N2142" s="7" t="str">
        <f>HYPERLINK("E:\附赠：Excel模板\精美EXCEL模板\其他1000例\主要监测仪器设备情况表.xls","主要监测仪器设备情况表.xls")</f>
        <v>主要监测仪器设备情况表.xls</v>
      </c>
      <c r="Q2142">
        <v>0.02</v>
      </c>
      <c r="R2142" s="7" t="str">
        <f t="shared" si="46"/>
        <v>E:\附赠：Excel模板\精美EXCEL模板\其他1000例</v>
      </c>
      <c r="S2142" s="9">
        <v>43600.3821527778</v>
      </c>
      <c r="T2142" s="9">
        <v>43390.517037037</v>
      </c>
    </row>
    <row r="2143" spans="14:20">
      <c r="N2143" s="7" t="str">
        <f>HYPERLINK("E:\附赠：Excel模板\精美EXCEL模板\其他1000例\主要财务指标分析表.xls","主要财务指标分析表.xls")</f>
        <v>主要财务指标分析表.xls</v>
      </c>
      <c r="Q2143">
        <v>0.01</v>
      </c>
      <c r="R2143" s="7" t="str">
        <f t="shared" si="46"/>
        <v>E:\附赠：Excel模板\精美EXCEL模板\其他1000例</v>
      </c>
      <c r="S2143" s="9">
        <v>43600.3821527778</v>
      </c>
      <c r="T2143" s="9">
        <v>43390.517037037</v>
      </c>
    </row>
    <row r="2144" spans="14:20">
      <c r="N2144" s="7" t="str">
        <f>HYPERLINK("E:\附赠：Excel模板\精美EXCEL模板\其他1000例\主要财务指标表.xls","主要财务指标表.xls")</f>
        <v>主要财务指标表.xls</v>
      </c>
      <c r="Q2144">
        <v>0.02</v>
      </c>
      <c r="R2144" s="7" t="str">
        <f t="shared" si="46"/>
        <v>E:\附赠：Excel模板\精美EXCEL模板\其他1000例</v>
      </c>
      <c r="S2144" s="9">
        <v>43600.3821527778</v>
      </c>
      <c r="T2144" s="9">
        <v>43390.517037037</v>
      </c>
    </row>
    <row r="2145" spans="14:20">
      <c r="N2145" s="7" t="str">
        <f>HYPERLINK("E:\附赠：Excel模板\精美EXCEL模板\其他1000例\义务教育阶段家庭经济困难学生资助金领取表.xls","义务教育阶段家庭经济困难学生资助金领取表.xls")</f>
        <v>义务教育阶段家庭经济困难学生资助金领取表.xls</v>
      </c>
      <c r="Q2145">
        <v>0.02</v>
      </c>
      <c r="R2145" s="7" t="str">
        <f t="shared" si="46"/>
        <v>E:\附赠：Excel模板\精美EXCEL模板\其他1000例</v>
      </c>
      <c r="S2145" s="9">
        <v>43600.3821527778</v>
      </c>
      <c r="T2145" s="9">
        <v>43390.5171527778</v>
      </c>
    </row>
    <row r="2146" spans="14:20">
      <c r="N2146" s="7" t="str">
        <f>HYPERLINK("E:\附赠：Excel模板\精美EXCEL模板\其他1000例\乡财县管改革工作考核评分表.xls","乡财县管改革工作考核评分表.xls")</f>
        <v>乡财县管改革工作考核评分表.xls</v>
      </c>
      <c r="Q2146">
        <v>0.02</v>
      </c>
      <c r="R2146" s="7" t="str">
        <f t="shared" si="46"/>
        <v>E:\附赠：Excel模板\精美EXCEL模板\其他1000例</v>
      </c>
      <c r="S2146" s="9">
        <v>43600.3821527778</v>
      </c>
      <c r="T2146" s="9">
        <v>43390.5173611111</v>
      </c>
    </row>
    <row r="2147" spans="14:20">
      <c r="N2147" s="7" t="str">
        <f>HYPERLINK("E:\附赠：Excel模板\精美EXCEL模板\其他1000例\乡镇企业财务情况.xls","乡镇企业财务情况.xls")</f>
        <v>乡镇企业财务情况.xls</v>
      </c>
      <c r="Q2147">
        <v>0.01</v>
      </c>
      <c r="R2147" s="7" t="str">
        <f t="shared" si="46"/>
        <v>E:\附赠：Excel模板\精美EXCEL模板\其他1000例</v>
      </c>
      <c r="S2147" s="9">
        <v>43600.3821527778</v>
      </c>
      <c r="T2147" s="9">
        <v>43390.517337963</v>
      </c>
    </row>
    <row r="2148" spans="14:20">
      <c r="N2148" s="7" t="str">
        <f>HYPERLINK("E:\附赠：Excel模板\精美EXCEL模板\其他1000例\乡镇企业财务情况1.xls","乡镇企业财务情况1.xls")</f>
        <v>乡镇企业财务情况1.xls</v>
      </c>
      <c r="Q2148">
        <v>0.01</v>
      </c>
      <c r="R2148" s="7" t="str">
        <f t="shared" si="46"/>
        <v>E:\附赠：Excel模板\精美EXCEL模板\其他1000例</v>
      </c>
      <c r="S2148" s="9">
        <v>43600.3821527778</v>
      </c>
      <c r="T2148" s="9">
        <v>43390.517337963</v>
      </c>
    </row>
    <row r="2149" spans="14:20">
      <c r="N2149" s="7" t="str">
        <f>HYPERLINK("E:\附赠：Excel模板\精美EXCEL模板\其他1000例\乡镇党委政府目前承担工作调查表.xls","乡镇党委政府目前承担工作调查表.xls")</f>
        <v>乡镇党委政府目前承担工作调查表.xls</v>
      </c>
      <c r="Q2149">
        <v>0.02</v>
      </c>
      <c r="R2149" s="7" t="str">
        <f t="shared" si="46"/>
        <v>E:\附赠：Excel模板\精美EXCEL模板\其他1000例</v>
      </c>
      <c r="S2149" s="9">
        <v>43600.3821527778</v>
      </c>
      <c r="T2149" s="9">
        <v>43390.517337963</v>
      </c>
    </row>
    <row r="2150" spans="14:20">
      <c r="N2150" s="7" t="str">
        <f>HYPERLINK("E:\附赠：Excel模板\精美EXCEL模板\其他1000例\乡镇基本情况调查表.xls","乡镇基本情况调查表.xls")</f>
        <v>乡镇基本情况调查表.xls</v>
      </c>
      <c r="Q2150">
        <v>0.02</v>
      </c>
      <c r="R2150" s="7" t="str">
        <f t="shared" si="46"/>
        <v>E:\附赠：Excel模板\精美EXCEL模板\其他1000例</v>
      </c>
      <c r="S2150" s="9">
        <v>43600.3821527778</v>
      </c>
      <c r="T2150" s="9">
        <v>43390.517337963</v>
      </c>
    </row>
    <row r="2151" spans="14:20">
      <c r="N2151" s="7" t="str">
        <f>HYPERLINK("E:\附赠：Excel模板\精美EXCEL模板\其他1000例\乡镇财政供养人员经费调查表.xls","乡镇财政供养人员经费调查表.xls")</f>
        <v>乡镇财政供养人员经费调查表.xls</v>
      </c>
      <c r="Q2151">
        <v>0.02</v>
      </c>
      <c r="R2151" s="7" t="str">
        <f t="shared" si="46"/>
        <v>E:\附赠：Excel模板\精美EXCEL模板\其他1000例</v>
      </c>
      <c r="S2151" s="9">
        <v>43600.3821527778</v>
      </c>
      <c r="T2151" s="9">
        <v>43390.5173611111</v>
      </c>
    </row>
    <row r="2152" spans="14:20">
      <c r="N2152" s="7" t="str">
        <f>HYPERLINK("E:\附赠：Excel模板\精美EXCEL模板\其他1000例\乡镇财政状况调查表.xls","乡镇财政状况调查表.xls")</f>
        <v>乡镇财政状况调查表.xls</v>
      </c>
      <c r="Q2152">
        <v>0.02</v>
      </c>
      <c r="R2152" s="7" t="str">
        <f t="shared" si="46"/>
        <v>E:\附赠：Excel模板\精美EXCEL模板\其他1000例</v>
      </c>
      <c r="S2152" s="9">
        <v>43600.3821527778</v>
      </c>
      <c r="T2152" s="9">
        <v>43390.5173611111</v>
      </c>
    </row>
    <row r="2153" spans="14:20">
      <c r="N2153" s="7" t="str">
        <f>HYPERLINK("E:\附赠：Excel模板\精美EXCEL模板\其他1000例\乡镇集体资产管理机构调查表.xls","乡镇集体资产管理机构调查表.xls")</f>
        <v>乡镇集体资产管理机构调查表.xls</v>
      </c>
      <c r="Q2153">
        <v>0.01</v>
      </c>
      <c r="R2153" s="7" t="str">
        <f t="shared" si="46"/>
        <v>E:\附赠：Excel模板\精美EXCEL模板\其他1000例</v>
      </c>
      <c r="S2153" s="9">
        <v>43600.3821527778</v>
      </c>
      <c r="T2153" s="9">
        <v>43390.517337963</v>
      </c>
    </row>
    <row r="2154" spans="14:20">
      <c r="N2154" s="7" t="str">
        <f>HYPERLINK("E:\附赠：Excel模板\精美EXCEL模板\其他1000例\事业单位专业技术人员聘任专业技术职务变动一览表.xls","事业单位专业技术人员聘任专业技术职务变动一览表.xls")</f>
        <v>事业单位专业技术人员聘任专业技术职务变动一览表.xls</v>
      </c>
      <c r="Q2154">
        <v>0.01</v>
      </c>
      <c r="R2154" s="7" t="str">
        <f t="shared" si="46"/>
        <v>E:\附赠：Excel模板\精美EXCEL模板\其他1000例</v>
      </c>
      <c r="S2154" s="9">
        <v>43600.3821527778</v>
      </c>
      <c r="T2154" s="9">
        <v>43390.5175</v>
      </c>
    </row>
    <row r="2155" spans="14:20">
      <c r="N2155" s="7" t="str">
        <f>HYPERLINK("E:\附赠：Excel模板\精美EXCEL模板\其他1000例\事业单位人员培训情况表.xls","事业单位人员培训情况表.xls")</f>
        <v>事业单位人员培训情况表.xls</v>
      </c>
      <c r="Q2155">
        <v>0.02</v>
      </c>
      <c r="R2155" s="7" t="str">
        <f t="shared" si="46"/>
        <v>E:\附赠：Excel模板\精美EXCEL模板\其他1000例</v>
      </c>
      <c r="S2155" s="9">
        <v>43600.3821527778</v>
      </c>
      <c r="T2155" s="9">
        <v>43390.5175</v>
      </c>
    </row>
    <row r="2156" spans="14:20">
      <c r="N2156" s="7" t="str">
        <f>HYPERLINK("E:\附赠：Excel模板\精美EXCEL模板\其他1000例\事业单位公开招聘岗位.xls","事业单位公开招聘岗位.xls")</f>
        <v>事业单位公开招聘岗位.xls</v>
      </c>
      <c r="Q2156">
        <v>0.02</v>
      </c>
      <c r="R2156" s="7" t="str">
        <f t="shared" si="46"/>
        <v>E:\附赠：Excel模板\精美EXCEL模板\其他1000例</v>
      </c>
      <c r="S2156" s="9">
        <v>43600.3821527778</v>
      </c>
      <c r="T2156" s="9">
        <v>43390.5175231481</v>
      </c>
    </row>
    <row r="2157" spans="14:20">
      <c r="N2157" s="7" t="str">
        <f>HYPERLINK("E:\附赠：Excel模板\精美EXCEL模板\其他1000例\事业单位增人计划执行情况统计表.xls","事业单位增人计划执行情况统计表.xls")</f>
        <v>事业单位增人计划执行情况统计表.xls</v>
      </c>
      <c r="Q2157">
        <v>0.02</v>
      </c>
      <c r="R2157" s="7" t="str">
        <f t="shared" si="46"/>
        <v>E:\附赠：Excel模板\精美EXCEL模板\其他1000例</v>
      </c>
      <c r="S2157" s="9">
        <v>43600.3821527778</v>
      </c>
      <c r="T2157" s="9">
        <v>43390.5175</v>
      </c>
    </row>
    <row r="2158" spans="14:20">
      <c r="N2158" s="7" t="str">
        <f>HYPERLINK("E:\附赠：Excel模板\精美EXCEL模板\其他1000例\事业单位工作人员工龄情况.xls","事业单位工作人员工龄情况.xls")</f>
        <v>事业单位工作人员工龄情况.xls</v>
      </c>
      <c r="Q2158">
        <v>0.02</v>
      </c>
      <c r="R2158" s="7" t="str">
        <f t="shared" si="46"/>
        <v>E:\附赠：Excel模板\精美EXCEL模板\其他1000例</v>
      </c>
      <c r="S2158" s="9">
        <v>43600.3821527778</v>
      </c>
      <c r="T2158" s="9">
        <v>43390.5175231481</v>
      </c>
    </row>
    <row r="2159" spans="14:20">
      <c r="N2159" s="7" t="str">
        <f>HYPERLINK("E:\附赠：Excel模板\精美EXCEL模板\其他1000例\事业单位技术人员基本情况表.xls","事业单位技术人员基本情况表.xls")</f>
        <v>事业单位技术人员基本情况表.xls</v>
      </c>
      <c r="Q2159">
        <v>0.02</v>
      </c>
      <c r="R2159" s="7" t="str">
        <f t="shared" si="46"/>
        <v>E:\附赠：Excel模板\精美EXCEL模板\其他1000例</v>
      </c>
      <c r="S2159" s="9">
        <v>43600.3821527778</v>
      </c>
      <c r="T2159" s="9">
        <v>43390.5175</v>
      </c>
    </row>
    <row r="2160" spans="14:20">
      <c r="N2160" s="7" t="str">
        <f>HYPERLINK("E:\附赠：Excel模板\精美EXCEL模板\其他1000例\事业单位收入支出表.xls","事业单位收入支出表.xls")</f>
        <v>事业单位收入支出表.xls</v>
      </c>
      <c r="Q2160">
        <v>0.02</v>
      </c>
      <c r="R2160" s="7" t="str">
        <f t="shared" si="46"/>
        <v>E:\附赠：Excel模板\精美EXCEL模板\其他1000例</v>
      </c>
      <c r="S2160" s="9">
        <v>43600.3821527778</v>
      </c>
      <c r="T2160" s="9">
        <v>43390.5175</v>
      </c>
    </row>
    <row r="2161" spans="14:20">
      <c r="N2161" s="7" t="str">
        <f>HYPERLINK("E:\附赠：Excel模板\精美EXCEL模板\其他1000例\事业单位机构编制基本情况调查表.xls","事业单位机构编制基本情况调查表.xls")</f>
        <v>事业单位机构编制基本情况调查表.xls</v>
      </c>
      <c r="Q2161">
        <v>0.02</v>
      </c>
      <c r="R2161" s="7" t="str">
        <f t="shared" si="46"/>
        <v>E:\附赠：Excel模板\精美EXCEL模板\其他1000例</v>
      </c>
      <c r="S2161" s="9">
        <v>43600.3821527778</v>
      </c>
      <c r="T2161" s="9">
        <v>43390.5175</v>
      </c>
    </row>
    <row r="2162" spans="14:20">
      <c r="N2162" s="7" t="str">
        <f>HYPERLINK("E:\附赠：Excel模板\精美EXCEL模板\其他1000例\事业单位法人基本情况表.xls","事业单位法人基本情况表.xls")</f>
        <v>事业单位法人基本情况表.xls</v>
      </c>
      <c r="Q2162">
        <v>0.02</v>
      </c>
      <c r="R2162" s="7" t="str">
        <f t="shared" si="46"/>
        <v>E:\附赠：Excel模板\精美EXCEL模板\其他1000例</v>
      </c>
      <c r="S2162" s="9">
        <v>43600.3821527778</v>
      </c>
      <c r="T2162" s="9">
        <v>43390.5175231481</v>
      </c>
    </row>
    <row r="2163" spans="14:20">
      <c r="N2163" s="7" t="str">
        <f>HYPERLINK("E:\附赠：Excel模板\精美EXCEL模板\其他1000例\事业单位法人年度报告.xls","事业单位法人年度报告.xls")</f>
        <v>事业单位法人年度报告.xls</v>
      </c>
      <c r="Q2163">
        <v>0.01</v>
      </c>
      <c r="R2163" s="7" t="str">
        <f t="shared" si="46"/>
        <v>E:\附赠：Excel模板\精美EXCEL模板\其他1000例</v>
      </c>
      <c r="S2163" s="9">
        <v>43600.3821527778</v>
      </c>
      <c r="T2163" s="9">
        <v>43390.5175231481</v>
      </c>
    </row>
    <row r="2164" spans="14:20">
      <c r="N2164" s="7" t="str">
        <f>HYPERLINK("E:\附赠：Excel模板\精美EXCEL模板\其他1000例\事业单位法人设立登记（备案）申请书.xls","事业单位法人设立登记（备案）申请书.xls")</f>
        <v>事业单位法人设立登记（备案）申请书.xls</v>
      </c>
      <c r="Q2164">
        <v>0.02</v>
      </c>
      <c r="R2164" s="7" t="str">
        <f t="shared" si="46"/>
        <v>E:\附赠：Excel模板\精美EXCEL模板\其他1000例</v>
      </c>
      <c r="S2164" s="9">
        <v>43600.3821527778</v>
      </c>
      <c r="T2164" s="9">
        <v>43390.5175231481</v>
      </c>
    </row>
    <row r="2165" spans="14:20">
      <c r="N2165" s="7" t="str">
        <f>HYPERLINK("E:\附赠：Excel模板\精美EXCEL模板\其他1000例\事业单位特殊专业技术人才基本情况表.xls","事业单位特殊专业技术人才基本情况表.xls")</f>
        <v>事业单位特殊专业技术人才基本情况表.xls</v>
      </c>
      <c r="Q2165">
        <v>0.02</v>
      </c>
      <c r="R2165" s="7" t="str">
        <f t="shared" si="46"/>
        <v>E:\附赠：Excel模板\精美EXCEL模板\其他1000例</v>
      </c>
      <c r="S2165" s="9">
        <v>43600.3821527778</v>
      </c>
      <c r="T2165" s="9">
        <v>43390.5175</v>
      </c>
    </row>
    <row r="2166" spans="14:20">
      <c r="N2166" s="7" t="str">
        <f>HYPERLINK("E:\附赠：Excel模板\精美EXCEL模板\其他1000例\事业单位管理人员基本情况表.xls","事业单位管理人员基本情况表.xls")</f>
        <v>事业单位管理人员基本情况表.xls</v>
      </c>
      <c r="Q2166">
        <v>0.02</v>
      </c>
      <c r="R2166" s="7" t="str">
        <f t="shared" si="46"/>
        <v>E:\附赠：Excel模板\精美EXCEL模板\其他1000例</v>
      </c>
      <c r="S2166" s="9">
        <v>43600.3821527778</v>
      </c>
      <c r="T2166" s="9">
        <v>43390.5175</v>
      </c>
    </row>
    <row r="2167" spans="14:20">
      <c r="N2167" s="7" t="str">
        <f>HYPERLINK("E:\附赠：Excel模板\精美EXCEL模板\其他1000例\事业单位财务月报.xls","事业单位财务月报.xls")</f>
        <v>事业单位财务月报.xls</v>
      </c>
      <c r="Q2167">
        <v>0.02</v>
      </c>
      <c r="R2167" s="7" t="str">
        <f t="shared" si="46"/>
        <v>E:\附赠：Excel模板\精美EXCEL模板\其他1000例</v>
      </c>
      <c r="S2167" s="9">
        <v>43600.3821527778</v>
      </c>
      <c r="T2167" s="9">
        <v>43390.5175231481</v>
      </c>
    </row>
    <row r="2168" spans="14:20">
      <c r="N2168" s="7" t="str">
        <f>HYPERLINK("E:\附赠：Excel模板\精美EXCEL模板\其他1000例\事业单位资产负债表.xls","事业单位资产负债表.xls")</f>
        <v>事业单位资产负债表.xls</v>
      </c>
      <c r="Q2168">
        <v>0.02</v>
      </c>
      <c r="R2168" s="7" t="str">
        <f t="shared" si="46"/>
        <v>E:\附赠：Excel模板\精美EXCEL模板\其他1000例</v>
      </c>
      <c r="S2168" s="9">
        <v>43600.3821527778</v>
      </c>
      <c r="T2168" s="9">
        <v>43390.5175</v>
      </c>
    </row>
    <row r="2169" spans="14:20">
      <c r="N2169" s="7" t="str">
        <f>HYPERLINK("E:\附赠：Excel模板\精美EXCEL模板\其他1000例\事业支出明细表.xls","事业支出明细表.xls")</f>
        <v>事业支出明细表.xls</v>
      </c>
      <c r="Q2169">
        <v>0.05</v>
      </c>
      <c r="R2169" s="7" t="str">
        <f t="shared" si="46"/>
        <v>E:\附赠：Excel模板\精美EXCEL模板\其他1000例</v>
      </c>
      <c r="S2169" s="9">
        <v>43600.3821527778</v>
      </c>
      <c r="T2169" s="9">
        <v>43390.5175</v>
      </c>
    </row>
    <row r="2170" spans="14:20">
      <c r="N2170" s="7" t="str">
        <f>HYPERLINK("E:\附赠：Excel模板\精美EXCEL模板\其他1000例\事业部经理、副经理应聘报名表.xls","事业部经理、副经理应聘报名表.xls")</f>
        <v>事业部经理、副经理应聘报名表.xls</v>
      </c>
      <c r="Q2170">
        <v>0.02</v>
      </c>
      <c r="R2170" s="7" t="str">
        <f t="shared" si="46"/>
        <v>E:\附赠：Excel模板\精美EXCEL模板\其他1000例</v>
      </c>
      <c r="S2170" s="9">
        <v>43600.3821527778</v>
      </c>
      <c r="T2170" s="9">
        <v>43390.5175231481</v>
      </c>
    </row>
    <row r="2171" spans="14:20">
      <c r="N2171" s="7" t="str">
        <f>HYPERLINK("E:\附赠：Excel模板\精美EXCEL模板\其他1000例\交通基础设施建设情况主要统计指标年报.xls","交通基础设施建设情况主要统计指标年报.xls")</f>
        <v>交通基础设施建设情况主要统计指标年报.xls</v>
      </c>
      <c r="Q2171">
        <v>0.02</v>
      </c>
      <c r="R2171" s="7" t="str">
        <f t="shared" ref="R2171:R2234" si="47">HYPERLINK("E:\附赠：Excel模板\精美EXCEL模板\其他1000例","E:\附赠：Excel模板\精美EXCEL模板\其他1000例")</f>
        <v>E:\附赠：Excel模板\精美EXCEL模板\其他1000例</v>
      </c>
      <c r="S2171" s="9">
        <v>43600.3821527778</v>
      </c>
      <c r="T2171" s="9">
        <v>43390.5178703704</v>
      </c>
    </row>
    <row r="2172" spans="14:20">
      <c r="N2172" s="7" t="str">
        <f>HYPERLINK("E:\附赠：Excel模板\精美EXCEL模板\其他1000例\交通基础设施建设计划完成情况表.xls","交通基础设施建设计划完成情况表.xls")</f>
        <v>交通基础设施建设计划完成情况表.xls</v>
      </c>
      <c r="Q2172">
        <v>0.02</v>
      </c>
      <c r="R2172" s="7" t="str">
        <f t="shared" si="47"/>
        <v>E:\附赠：Excel模板\精美EXCEL模板\其他1000例</v>
      </c>
      <c r="S2172" s="9">
        <v>43600.3821527778</v>
      </c>
      <c r="T2172" s="9">
        <v>43390.5178935185</v>
      </c>
    </row>
    <row r="2173" spans="14:20">
      <c r="N2173" s="7" t="str">
        <f>HYPERLINK("E:\附赠：Excel模板\精美EXCEL模板\其他1000例\交通工具明细表.xls","交通工具明细表.xls")</f>
        <v>交通工具明细表.xls</v>
      </c>
      <c r="Q2173">
        <v>0.02</v>
      </c>
      <c r="R2173" s="7" t="str">
        <f t="shared" si="47"/>
        <v>E:\附赠：Excel模板\精美EXCEL模板\其他1000例</v>
      </c>
      <c r="S2173" s="9">
        <v>43600.3821527778</v>
      </c>
      <c r="T2173" s="9">
        <v>43390.5178703704</v>
      </c>
    </row>
    <row r="2174" spans="14:20">
      <c r="N2174" s="7" t="str">
        <f>HYPERLINK("E:\附赠：Excel模板\精美EXCEL模板\其他1000例\交通经营情况明细表.xls","交通经营情况明细表.xls")</f>
        <v>交通经营情况明细表.xls</v>
      </c>
      <c r="Q2174">
        <v>0.02</v>
      </c>
      <c r="R2174" s="7" t="str">
        <f t="shared" si="47"/>
        <v>E:\附赠：Excel模板\精美EXCEL模板\其他1000例</v>
      </c>
      <c r="S2174" s="9">
        <v>43600.3821527778</v>
      </c>
      <c r="T2174" s="9">
        <v>43390.5178703704</v>
      </c>
    </row>
    <row r="2175" spans="14:20">
      <c r="N2175" s="7" t="str">
        <f>HYPERLINK("E:\附赠：Excel模板\精美EXCEL模板\其他1000例\产品分析表.xls","产品分析表.xls")</f>
        <v>产品分析表.xls</v>
      </c>
      <c r="Q2175">
        <v>0.02</v>
      </c>
      <c r="R2175" s="7" t="str">
        <f t="shared" si="47"/>
        <v>E:\附赠：Excel模板\精美EXCEL模板\其他1000例</v>
      </c>
      <c r="S2175" s="9">
        <v>43600.3821527778</v>
      </c>
      <c r="T2175" s="9">
        <v>43390.5182175926</v>
      </c>
    </row>
    <row r="2176" spans="14:20">
      <c r="N2176" s="7" t="str">
        <f>HYPERLINK("E:\附赠：Excel模板\精美EXCEL模板\其他1000例\产权界定申报表.xls","产权界定申报表.xls")</f>
        <v>产权界定申报表.xls</v>
      </c>
      <c r="Q2176">
        <v>0.02</v>
      </c>
      <c r="R2176" s="7" t="str">
        <f t="shared" si="47"/>
        <v>E:\附赠：Excel模板\精美EXCEL模板\其他1000例</v>
      </c>
      <c r="S2176" s="9">
        <v>43600.3821527778</v>
      </c>
      <c r="T2176" s="9">
        <v>43390.5182175926</v>
      </c>
    </row>
    <row r="2177" spans="14:20">
      <c r="N2177" s="7" t="str">
        <f>HYPERLINK("E:\附赠：Excel模板\精美EXCEL模板\其他1000例\人力资源状况普查汇总表.xls","人力资源状况普查汇总表.xls")</f>
        <v>人力资源状况普查汇总表.xls</v>
      </c>
      <c r="Q2177">
        <v>0.02</v>
      </c>
      <c r="R2177" s="7" t="str">
        <f t="shared" si="47"/>
        <v>E:\附赠：Excel模板\精美EXCEL模板\其他1000例</v>
      </c>
      <c r="S2177" s="9">
        <v>43600.3821527778</v>
      </c>
      <c r="T2177" s="9">
        <v>43390.5175925926</v>
      </c>
    </row>
    <row r="2178" spans="14:20">
      <c r="N2178" s="7" t="str">
        <f>HYPERLINK("E:\附赠：Excel模板\精美EXCEL模板\其他1000例\人均工资情况对比表.xls","人均工资情况对比表.xls")</f>
        <v>人均工资情况对比表.xls</v>
      </c>
      <c r="Q2178">
        <v>0.02</v>
      </c>
      <c r="R2178" s="7" t="str">
        <f t="shared" si="47"/>
        <v>E:\附赠：Excel模板\精美EXCEL模板\其他1000例</v>
      </c>
      <c r="S2178" s="9">
        <v>43600.3821527778</v>
      </c>
      <c r="T2178" s="9">
        <v>43390.5175925926</v>
      </c>
    </row>
    <row r="2179" spans="14:20">
      <c r="N2179" s="7" t="str">
        <f>HYPERLINK("E:\附赠：Excel模板\精美EXCEL模板\其他1000例\人才中介许可.xls","人才中介许可.xls")</f>
        <v>人才中介许可.xls</v>
      </c>
      <c r="Q2179">
        <v>0.02</v>
      </c>
      <c r="R2179" s="7" t="str">
        <f t="shared" si="47"/>
        <v>E:\附赠：Excel模板\精美EXCEL模板\其他1000例</v>
      </c>
      <c r="S2179" s="9">
        <v>43600.3821527778</v>
      </c>
      <c r="T2179" s="9">
        <v>43390.5175925926</v>
      </c>
    </row>
    <row r="2180" spans="14:20">
      <c r="N2180" s="7" t="str">
        <f>HYPERLINK("E:\附赠：Excel模板\精美EXCEL模板\其他1000例\人才中介许可登.xls","人才中介许可登.xls")</f>
        <v>人才中介许可登.xls</v>
      </c>
      <c r="Q2180">
        <v>0.02</v>
      </c>
      <c r="R2180" s="7" t="str">
        <f t="shared" si="47"/>
        <v>E:\附赠：Excel模板\精美EXCEL模板\其他1000例</v>
      </c>
      <c r="S2180" s="9">
        <v>43600.3821527778</v>
      </c>
      <c r="T2180" s="9">
        <v>43390.5175925926</v>
      </c>
    </row>
    <row r="2181" spans="14:20">
      <c r="N2181" s="7" t="str">
        <f>HYPERLINK("E:\附赠：Excel模板\精美EXCEL模板\其他1000例\人才培训课程表.xls","人才培训课程表.xls")</f>
        <v>人才培训课程表.xls</v>
      </c>
      <c r="Q2181">
        <v>0.12</v>
      </c>
      <c r="R2181" s="7" t="str">
        <f t="shared" si="47"/>
        <v>E:\附赠：Excel模板\精美EXCEL模板\其他1000例</v>
      </c>
      <c r="S2181" s="9">
        <v>43600.3821527778</v>
      </c>
      <c r="T2181" s="9">
        <v>43390.5175925926</v>
      </c>
    </row>
    <row r="2182" spans="14:20">
      <c r="N2182" s="7" t="str">
        <f>HYPERLINK("E:\附赠：Excel模板\精美EXCEL模板\其他1000例\人才招聘会企业名单.xls","人才招聘会企业名单.xls")</f>
        <v>人才招聘会企业名单.xls</v>
      </c>
      <c r="Q2182">
        <v>0.03</v>
      </c>
      <c r="R2182" s="7" t="str">
        <f t="shared" si="47"/>
        <v>E:\附赠：Excel模板\精美EXCEL模板\其他1000例</v>
      </c>
      <c r="S2182" s="9">
        <v>43600.3821527778</v>
      </c>
      <c r="T2182" s="9">
        <v>43390.5175925926</v>
      </c>
    </row>
    <row r="2183" spans="14:20">
      <c r="N2183" s="7" t="str">
        <f>HYPERLINK("E:\附赠：Excel模板\精美EXCEL模板\其他1000例\人民币贷款明细表.xls","人民币贷款明细表.xls")</f>
        <v>人民币贷款明细表.xls</v>
      </c>
      <c r="Q2183">
        <v>0.02</v>
      </c>
      <c r="R2183" s="7" t="str">
        <f t="shared" si="47"/>
        <v>E:\附赠：Excel模板\精美EXCEL模板\其他1000例</v>
      </c>
      <c r="S2183" s="9">
        <v>43600.3821527778</v>
      </c>
      <c r="T2183" s="9">
        <v>43390.5175925926</v>
      </c>
    </row>
    <row r="2184" spans="14:20">
      <c r="N2184" s="7" t="str">
        <f>HYPERLINK("E:\附赠：Excel模板\精美EXCEL模板\其他1000例\人身保险公司业务统计表.xls","人身保险公司业务统计表.xls")</f>
        <v>人身保险公司业务统计表.xls</v>
      </c>
      <c r="Q2184">
        <v>0.02</v>
      </c>
      <c r="R2184" s="7" t="str">
        <f t="shared" si="47"/>
        <v>E:\附赠：Excel模板\精美EXCEL模板\其他1000例</v>
      </c>
      <c r="S2184" s="9">
        <v>43600.3821527778</v>
      </c>
      <c r="T2184" s="9">
        <v>43390.5175925926</v>
      </c>
    </row>
    <row r="2185" spans="14:20">
      <c r="N2185" s="7" t="str">
        <f>HYPERLINK("E:\附赠：Excel模板\精美EXCEL模板\其他1000例\仓库、通讯、财务(银行除外)及商用服务业指标.xls","仓库、通讯、财务(银行除外)及商用服务业指标.xls")</f>
        <v>仓库、通讯、财务(银行除外)及商用服务业指标.xls</v>
      </c>
      <c r="Q2185">
        <v>0.03</v>
      </c>
      <c r="R2185" s="7" t="str">
        <f t="shared" si="47"/>
        <v>E:\附赠：Excel模板\精美EXCEL模板\其他1000例</v>
      </c>
      <c r="S2185" s="9">
        <v>43600.3821527778</v>
      </c>
      <c r="T2185" s="9">
        <v>43390.5182175926</v>
      </c>
    </row>
    <row r="2186" spans="14:20">
      <c r="N2186" s="7" t="str">
        <f>HYPERLINK("E:\附赠：Excel模板\精美EXCEL模板\其他1000例\代理记账机构基础信息核对表.xls","代理记账机构基础信息核对表.xls")</f>
        <v>代理记账机构基础信息核对表.xls</v>
      </c>
      <c r="Q2186">
        <v>0.01</v>
      </c>
      <c r="R2186" s="7" t="str">
        <f t="shared" si="47"/>
        <v>E:\附赠：Excel模板\精美EXCEL模板\其他1000例</v>
      </c>
      <c r="S2186" s="9">
        <v>43600.3821527778</v>
      </c>
      <c r="T2186" s="9">
        <v>43390.518125</v>
      </c>
    </row>
    <row r="2187" spans="14:20">
      <c r="N2187" s="7" t="str">
        <f>HYPERLINK("E:\附赠：Excel模板\精美EXCEL模板\其他1000例\仪器设备使用费预算明细表.xls","仪器设备使用费预算明细表.xls")</f>
        <v>仪器设备使用费预算明细表.xls</v>
      </c>
      <c r="Q2187">
        <v>0.02</v>
      </c>
      <c r="R2187" s="7" t="str">
        <f t="shared" si="47"/>
        <v>E:\附赠：Excel模板\精美EXCEL模板\其他1000例</v>
      </c>
      <c r="S2187" s="9">
        <v>43600.3821527778</v>
      </c>
      <c r="T2187" s="9">
        <v>43390.5171527778</v>
      </c>
    </row>
    <row r="2188" spans="14:20">
      <c r="N2188" s="7" t="str">
        <f>HYPERLINK("E:\附赠：Excel模板\精美EXCEL模板\其他1000例\价格指数.xls","价格指数.xls")</f>
        <v>价格指数.xls</v>
      </c>
      <c r="Q2188">
        <v>0.03</v>
      </c>
      <c r="R2188" s="7" t="str">
        <f t="shared" si="47"/>
        <v>E:\附赠：Excel模板\精美EXCEL模板\其他1000例</v>
      </c>
      <c r="S2188" s="9">
        <v>43600.3821527778</v>
      </c>
      <c r="T2188" s="9">
        <v>43390.5178935185</v>
      </c>
    </row>
    <row r="2189" spans="14:20">
      <c r="N2189" s="7" t="str">
        <f>HYPERLINK("E:\附赠：Excel模板\精美EXCEL模板\其他1000例\价格查找.xls","价格查找.xls")</f>
        <v>价格查找.xls</v>
      </c>
      <c r="Q2189">
        <v>0.04</v>
      </c>
      <c r="R2189" s="7" t="str">
        <f t="shared" si="47"/>
        <v>E:\附赠：Excel模板\精美EXCEL模板\其他1000例</v>
      </c>
      <c r="S2189" s="9">
        <v>43600.3821527778</v>
      </c>
      <c r="T2189" s="9">
        <v>43390.5178935185</v>
      </c>
    </row>
    <row r="2190" spans="14:20">
      <c r="N2190" s="7" t="str">
        <f>HYPERLINK("E:\附赠：Excel模板\精美EXCEL模板\其他1000例\价格检查统计表.xls","价格检查统计表.xls")</f>
        <v>价格检查统计表.xls</v>
      </c>
      <c r="Q2190">
        <v>0.02</v>
      </c>
      <c r="R2190" s="7" t="str">
        <f t="shared" si="47"/>
        <v>E:\附赠：Excel模板\精美EXCEL模板\其他1000例</v>
      </c>
      <c r="S2190" s="9">
        <v>43600.3821527778</v>
      </c>
      <c r="T2190" s="9">
        <v>43390.5178935185</v>
      </c>
    </row>
    <row r="2191" spans="14:20">
      <c r="N2191" s="7" t="str">
        <f>HYPERLINK("E:\附赠：Excel模板\精美EXCEL模板\其他1000例\价格社会监督统计表.xls","价格社会监督统计表.xls")</f>
        <v>价格社会监督统计表.xls</v>
      </c>
      <c r="Q2191">
        <v>0.02</v>
      </c>
      <c r="R2191" s="7" t="str">
        <f t="shared" si="47"/>
        <v>E:\附赠：Excel模板\精美EXCEL模板\其他1000例</v>
      </c>
      <c r="S2191" s="9">
        <v>43600.3821527778</v>
      </c>
      <c r="T2191" s="9">
        <v>43390.5178935185</v>
      </c>
    </row>
    <row r="2192" spans="14:20">
      <c r="N2192" s="7" t="str">
        <f>HYPERLINK("E:\附赠：Excel模板\精美EXCEL模板\其他1000例\任职资格培训学员登记表.xls","任职资格培训学员登记表.xls")</f>
        <v>任职资格培训学员登记表.xls</v>
      </c>
      <c r="Q2192">
        <v>0.02</v>
      </c>
      <c r="R2192" s="7" t="str">
        <f t="shared" si="47"/>
        <v>E:\附赠：Excel模板\精美EXCEL模板\其他1000例</v>
      </c>
      <c r="S2192" s="9">
        <v>43600.3821527778</v>
      </c>
      <c r="T2192" s="9">
        <v>43390.5175925926</v>
      </c>
    </row>
    <row r="2193" spans="14:20">
      <c r="N2193" s="7" t="str">
        <f>HYPERLINK("E:\附赠：Excel模板\精美EXCEL模板\其他1000例\任职资格考试合格人员登记表.xls","任职资格考试合格人员登记表.xls")</f>
        <v>任职资格考试合格人员登记表.xls</v>
      </c>
      <c r="Q2193">
        <v>0.02</v>
      </c>
      <c r="R2193" s="7" t="str">
        <f t="shared" si="47"/>
        <v>E:\附赠：Excel模板\精美EXCEL模板\其他1000例</v>
      </c>
      <c r="S2193" s="9">
        <v>43600.3821527778</v>
      </c>
      <c r="T2193" s="9">
        <v>43390.5175925926</v>
      </c>
    </row>
    <row r="2194" spans="14:20">
      <c r="N2194" s="7" t="str">
        <f>HYPERLINK("E:\附赠：Excel模板\精美EXCEL模板\其他1000例\任课教师领书记录.xls","任课教师领书记录.xls")</f>
        <v>任课教师领书记录.xls</v>
      </c>
      <c r="Q2194">
        <v>0.01</v>
      </c>
      <c r="R2194" s="7" t="str">
        <f t="shared" si="47"/>
        <v>E:\附赠：Excel模板\精美EXCEL模板\其他1000例</v>
      </c>
      <c r="S2194" s="9">
        <v>43600.3821527778</v>
      </c>
      <c r="T2194" s="9">
        <v>43390.5175925926</v>
      </c>
    </row>
    <row r="2195" spans="14:20">
      <c r="N2195" s="7" t="str">
        <f>HYPERLINK("E:\附赠：Excel模板\精美EXCEL模板\其他1000例\企业专业技术人员基本情况表.xls","企业专业技术人员基本情况表.xls")</f>
        <v>企业专业技术人员基本情况表.xls</v>
      </c>
      <c r="Q2195">
        <v>0.02</v>
      </c>
      <c r="R2195" s="7" t="str">
        <f t="shared" si="47"/>
        <v>E:\附赠：Excel模板\精美EXCEL模板\其他1000例</v>
      </c>
      <c r="S2195" s="9">
        <v>43600.3821527778</v>
      </c>
      <c r="T2195" s="9">
        <v>43390.5176388889</v>
      </c>
    </row>
    <row r="2196" spans="14:20">
      <c r="N2196" s="7" t="str">
        <f>HYPERLINK("E:\附赠：Excel模板\精美EXCEL模板\其他1000例\企业人员培训情况表.xls","企业人员培训情况表.xls")</f>
        <v>企业人员培训情况表.xls</v>
      </c>
      <c r="Q2196">
        <v>0.02</v>
      </c>
      <c r="R2196" s="7" t="str">
        <f t="shared" si="47"/>
        <v>E:\附赠：Excel模板\精美EXCEL模板\其他1000例</v>
      </c>
      <c r="S2196" s="9">
        <v>43600.3821527778</v>
      </c>
      <c r="T2196" s="9">
        <v>43390.5176388889</v>
      </c>
    </row>
    <row r="2197" spans="14:20">
      <c r="N2197" s="7" t="str">
        <f>HYPERLINK("E:\附赠：Excel模板\精美EXCEL模板\其他1000例\企业利润表.xls","企业利润表.xls")</f>
        <v>企业利润表.xls</v>
      </c>
      <c r="Q2197">
        <v>0.02</v>
      </c>
      <c r="R2197" s="7" t="str">
        <f t="shared" si="47"/>
        <v>E:\附赠：Excel模板\精美EXCEL模板\其他1000例</v>
      </c>
      <c r="S2197" s="9">
        <v>43600.3821527778</v>
      </c>
      <c r="T2197" s="9">
        <v>43390.5176388889</v>
      </c>
    </row>
    <row r="2198" spans="14:20">
      <c r="N2198" s="7" t="str">
        <f>HYPERLINK("E:\附赠：Excel模板\精美EXCEL模板\其他1000例\企业商贸旅游业发展和网点建设财政资助项目审批表.xls","企业商贸旅游业发展和网点建设财政资助项目审批表.xls")</f>
        <v>企业商贸旅游业发展和网点建设财政资助项目审批表.xls</v>
      </c>
      <c r="Q2198">
        <v>0.02</v>
      </c>
      <c r="R2198" s="7" t="str">
        <f t="shared" si="47"/>
        <v>E:\附赠：Excel模板\精美EXCEL模板\其他1000例</v>
      </c>
      <c r="S2198" s="9">
        <v>43600.3821527778</v>
      </c>
      <c r="T2198" s="9">
        <v>43390.5176388889</v>
      </c>
    </row>
    <row r="2199" spans="14:20">
      <c r="N2199" s="7" t="str">
        <f>HYPERLINK("E:\附赠：Excel模板\精美EXCEL模板\其他1000例\企业年报.xls","企业年报.xls")</f>
        <v>企业年报.xls</v>
      </c>
      <c r="Q2199">
        <v>0.04</v>
      </c>
      <c r="R2199" s="7" t="str">
        <f t="shared" si="47"/>
        <v>E:\附赠：Excel模板\精美EXCEL模板\其他1000例</v>
      </c>
      <c r="S2199" s="9">
        <v>43600.3821527778</v>
      </c>
      <c r="T2199" s="9">
        <v>43390.517662037</v>
      </c>
    </row>
    <row r="2200" spans="14:20">
      <c r="N2200" s="7" t="str">
        <f>HYPERLINK("E:\附赠：Excel模板\精美EXCEL模板\其他1000例\企业所得税纳税申报表.xls","企业所得税纳税申报表.xls")</f>
        <v>企业所得税纳税申报表.xls</v>
      </c>
      <c r="Q2200">
        <v>0.02</v>
      </c>
      <c r="R2200" s="7" t="str">
        <f t="shared" si="47"/>
        <v>E:\附赠：Excel模板\精美EXCEL模板\其他1000例</v>
      </c>
      <c r="S2200" s="9">
        <v>43600.3821527778</v>
      </c>
      <c r="T2200" s="9">
        <v>43390.5176388889</v>
      </c>
    </row>
    <row r="2201" spans="14:20">
      <c r="N2201" s="7" t="str">
        <f>HYPERLINK("E:\附赠：Excel模板\精美EXCEL模板\其他1000例\企业报告与出口收汇核销.xls","企业报告与出口收汇核销.xls")</f>
        <v>企业报告与出口收汇核销.xls</v>
      </c>
      <c r="Q2201">
        <v>0.03</v>
      </c>
      <c r="R2201" s="7" t="str">
        <f t="shared" si="47"/>
        <v>E:\附赠：Excel模板\精美EXCEL模板\其他1000例</v>
      </c>
      <c r="S2201" s="9">
        <v>43600.3821527778</v>
      </c>
      <c r="T2201" s="9">
        <v>43390.517662037</v>
      </c>
    </row>
    <row r="2202" spans="14:20">
      <c r="N2202" s="7" t="str">
        <f>HYPERLINK("E:\附赠：Excel模板\精美EXCEL模板\其他1000例\企业报税总表.xls","企业报税总表.xls")</f>
        <v>企业报税总表.xls</v>
      </c>
      <c r="Q2202">
        <v>0.02</v>
      </c>
      <c r="R2202" s="7" t="str">
        <f t="shared" si="47"/>
        <v>E:\附赠：Excel模板\精美EXCEL模板\其他1000例</v>
      </c>
      <c r="S2202" s="9">
        <v>43600.3821527778</v>
      </c>
      <c r="T2202" s="9">
        <v>43390.517662037</v>
      </c>
    </row>
    <row r="2203" spans="14:20">
      <c r="N2203" s="7" t="str">
        <f>HYPERLINK("E:\附赠：Excel模板\精美EXCEL模板\其他1000例\企业法人基本情况表.xls","企业法人基本情况表.xls")</f>
        <v>企业法人基本情况表.xls</v>
      </c>
      <c r="Q2203">
        <v>0.02</v>
      </c>
      <c r="R2203" s="7" t="str">
        <f t="shared" si="47"/>
        <v>E:\附赠：Excel模板\精美EXCEL模板\其他1000例</v>
      </c>
      <c r="S2203" s="9">
        <v>43600.3821527778</v>
      </c>
      <c r="T2203" s="9">
        <v>43390.5176388889</v>
      </c>
    </row>
    <row r="2204" spans="14:20">
      <c r="N2204" s="7" t="str">
        <f>HYPERLINK("E:\附赠：Excel模板\精美EXCEL模板\其他1000例\企业特殊技术人才基本情况表.xls","企业特殊技术人才基本情况表.xls")</f>
        <v>企业特殊技术人才基本情况表.xls</v>
      </c>
      <c r="Q2204">
        <v>0.02</v>
      </c>
      <c r="R2204" s="7" t="str">
        <f t="shared" si="47"/>
        <v>E:\附赠：Excel模板\精美EXCEL模板\其他1000例</v>
      </c>
      <c r="S2204" s="9">
        <v>43600.3821527778</v>
      </c>
      <c r="T2204" s="9">
        <v>43390.5176388889</v>
      </c>
    </row>
    <row r="2205" spans="14:20">
      <c r="N2205" s="7" t="str">
        <f>HYPERLINK("E:\附赠：Excel模板\精美EXCEL模板\其他1000例\企业现金流量表.xls","企业现金流量表.xls")</f>
        <v>企业现金流量表.xls</v>
      </c>
      <c r="Q2205">
        <v>0.02</v>
      </c>
      <c r="R2205" s="7" t="str">
        <f t="shared" si="47"/>
        <v>E:\附赠：Excel模板\精美EXCEL模板\其他1000例</v>
      </c>
      <c r="S2205" s="9">
        <v>43600.3821527778</v>
      </c>
      <c r="T2205" s="9">
        <v>43390.5176388889</v>
      </c>
    </row>
    <row r="2206" spans="14:20">
      <c r="N2206" s="7" t="str">
        <f>HYPERLINK("E:\附赠：Excel模板\精美EXCEL模板\其他1000例\企业申报说明.xls","企业申报说明.xls")</f>
        <v>企业申报说明.xls</v>
      </c>
      <c r="Q2206">
        <v>0.02</v>
      </c>
      <c r="R2206" s="7" t="str">
        <f t="shared" si="47"/>
        <v>E:\附赠：Excel模板\精美EXCEL模板\其他1000例</v>
      </c>
      <c r="S2206" s="9">
        <v>43600.3821527778</v>
      </c>
      <c r="T2206" s="9">
        <v>43390.5176388889</v>
      </c>
    </row>
    <row r="2207" spans="14:20">
      <c r="N2207" s="7" t="str">
        <f>HYPERLINK("E:\附赠：Excel模板\精美EXCEL模板\其他1000例\企业经营管理人员基本情况表.xls","企业经营管理人员基本情况表.xls")</f>
        <v>企业经营管理人员基本情况表.xls</v>
      </c>
      <c r="Q2207">
        <v>0.03</v>
      </c>
      <c r="R2207" s="7" t="str">
        <f t="shared" si="47"/>
        <v>E:\附赠：Excel模板\精美EXCEL模板\其他1000例</v>
      </c>
      <c r="S2207" s="9">
        <v>43600.3821527778</v>
      </c>
      <c r="T2207" s="9">
        <v>43390.5176388889</v>
      </c>
    </row>
    <row r="2208" spans="14:20">
      <c r="N2208" s="7" t="str">
        <f>HYPERLINK("E:\附赠：Excel模板\精美EXCEL模板\其他1000例\企业财务会计主要指标快报表.xls","企业财务会计主要指标快报表.xls")</f>
        <v>企业财务会计主要指标快报表.xls</v>
      </c>
      <c r="Q2208">
        <v>0.01</v>
      </c>
      <c r="R2208" s="7" t="str">
        <f t="shared" si="47"/>
        <v>E:\附赠：Excel模板\精美EXCEL模板\其他1000例</v>
      </c>
      <c r="S2208" s="9">
        <v>43600.3821527778</v>
      </c>
      <c r="T2208" s="9">
        <v>43390.5176388889</v>
      </c>
    </row>
    <row r="2209" spans="14:20">
      <c r="N2209" s="7" t="str">
        <f>HYPERLINK("E:\附赠：Excel模板\精美EXCEL模板\其他1000例\企业财务会计月报主要指标表.xls","企业财务会计月报主要指标表.xls")</f>
        <v>企业财务会计月报主要指标表.xls</v>
      </c>
      <c r="Q2209">
        <v>0.02</v>
      </c>
      <c r="R2209" s="7" t="str">
        <f t="shared" si="47"/>
        <v>E:\附赠：Excel模板\精美EXCEL模板\其他1000例</v>
      </c>
      <c r="S2209" s="9">
        <v>43600.3821527778</v>
      </c>
      <c r="T2209" s="9">
        <v>43390.5176388889</v>
      </c>
    </row>
    <row r="2210" spans="14:20">
      <c r="N2210" s="7" t="str">
        <f>HYPERLINK("E:\附赠：Excel模板\精美EXCEL模板\其他1000例\企业财务会计月报附列指标表.xls","企业财务会计月报附列指标表.xls")</f>
        <v>企业财务会计月报附列指标表.xls</v>
      </c>
      <c r="Q2210">
        <v>0.03</v>
      </c>
      <c r="R2210" s="7" t="str">
        <f t="shared" si="47"/>
        <v>E:\附赠：Excel模板\精美EXCEL模板\其他1000例</v>
      </c>
      <c r="S2210" s="9">
        <v>43600.3821527778</v>
      </c>
      <c r="T2210" s="9">
        <v>43390.517662037</v>
      </c>
    </row>
    <row r="2211" spans="14:20">
      <c r="N2211" s="7" t="str">
        <f>HYPERLINK("E:\附赠：Excel模板\精美EXCEL模板\其他1000例\企业财务快报汇总表.xls","企业财务快报汇总表.xls")</f>
        <v>企业财务快报汇总表.xls</v>
      </c>
      <c r="Q2211">
        <v>0.03</v>
      </c>
      <c r="R2211" s="7" t="str">
        <f t="shared" si="47"/>
        <v>E:\附赠：Excel模板\精美EXCEL模板\其他1000例</v>
      </c>
      <c r="S2211" s="9">
        <v>43600.3821527778</v>
      </c>
      <c r="T2211" s="9">
        <v>43390.5176388889</v>
      </c>
    </row>
    <row r="2212" spans="14:20">
      <c r="N2212" s="7" t="str">
        <f>HYPERLINK("E:\附赠：Excel模板\精美EXCEL模板\其他1000例\企业进料对帐表.xls","企业进料对帐表.xls")</f>
        <v>企业进料对帐表.xls</v>
      </c>
      <c r="Q2212">
        <v>0.05</v>
      </c>
      <c r="R2212" s="7" t="str">
        <f t="shared" si="47"/>
        <v>E:\附赠：Excel模板\精美EXCEL模板\其他1000例</v>
      </c>
      <c r="S2212" s="9">
        <v>43600.3821527778</v>
      </c>
      <c r="T2212" s="9">
        <v>43390.517662037</v>
      </c>
    </row>
    <row r="2213" spans="14:20">
      <c r="N2213" s="7" t="str">
        <f>HYPERLINK("E:\附赠：Excel模板\精美EXCEL模板\其他1000例\企业银行资金回笼表.xls","企业银行资金回笼表.xls")</f>
        <v>企业银行资金回笼表.xls</v>
      </c>
      <c r="Q2213">
        <v>0.02</v>
      </c>
      <c r="R2213" s="7" t="str">
        <f t="shared" si="47"/>
        <v>E:\附赠：Excel模板\精美EXCEL模板\其他1000例</v>
      </c>
      <c r="S2213" s="9">
        <v>43600.3821527778</v>
      </c>
      <c r="T2213" s="9">
        <v>43390.5176388889</v>
      </c>
    </row>
    <row r="2214" spans="14:20">
      <c r="N2214" s="7" t="str">
        <f>HYPERLINK("E:\附赠：Excel模板\精美EXCEL模板\其他1000例\企管生产管理类课程安排.xls","企管生产管理类课程安排.xls")</f>
        <v>企管生产管理类课程安排.xls</v>
      </c>
      <c r="Q2214">
        <v>0.02</v>
      </c>
      <c r="R2214" s="7" t="str">
        <f t="shared" si="47"/>
        <v>E:\附赠：Excel模板\精美EXCEL模板\其他1000例</v>
      </c>
      <c r="S2214" s="9">
        <v>43600.3821527778</v>
      </c>
      <c r="T2214" s="9">
        <v>43390.517662037</v>
      </c>
    </row>
    <row r="2215" spans="14:20">
      <c r="N2215" s="7" t="str">
        <f>HYPERLINK("E:\附赠：Excel模板\精美EXCEL模板\其他1000例\会员费用结算表.xls","会员费用结算表.xls")</f>
        <v>会员费用结算表.xls</v>
      </c>
      <c r="Q2215">
        <v>0.02</v>
      </c>
      <c r="R2215" s="7" t="str">
        <f t="shared" si="47"/>
        <v>E:\附赠：Excel模板\精美EXCEL模板\其他1000例</v>
      </c>
      <c r="S2215" s="9">
        <v>43600.3821527778</v>
      </c>
      <c r="T2215" s="9">
        <v>43390.517962963</v>
      </c>
    </row>
    <row r="2216" spans="14:20">
      <c r="N2216" s="7" t="str">
        <f>HYPERLINK("E:\附赠：Excel模板\精美EXCEL模板\其他1000例\会计从业资格信息登记表.xls","会计从业资格信息登记表.xls")</f>
        <v>会计从业资格信息登记表.xls</v>
      </c>
      <c r="Q2216">
        <v>0.04</v>
      </c>
      <c r="R2216" s="7" t="str">
        <f t="shared" si="47"/>
        <v>E:\附赠：Excel模板\精美EXCEL模板\其他1000例</v>
      </c>
      <c r="S2216" s="9">
        <v>43600.3821527778</v>
      </c>
      <c r="T2216" s="9">
        <v>43390.517962963</v>
      </c>
    </row>
    <row r="2217" spans="14:20">
      <c r="N2217" s="7" t="str">
        <f>HYPERLINK("E:\附赠：Excel模板\精美EXCEL模板\其他1000例\会计学专业教学计划进程表.xls","会计学专业教学计划进程表.xls")</f>
        <v>会计学专业教学计划进程表.xls</v>
      </c>
      <c r="Q2217">
        <v>0.02</v>
      </c>
      <c r="R2217" s="7" t="str">
        <f t="shared" si="47"/>
        <v>E:\附赠：Excel模板\精美EXCEL模板\其他1000例</v>
      </c>
      <c r="S2217" s="9">
        <v>43600.3821527778</v>
      </c>
      <c r="T2217" s="9">
        <v>43390.517962963</v>
      </c>
    </row>
    <row r="2218" spans="14:20">
      <c r="N2218" s="7" t="str">
        <f>HYPERLINK("E:\附赠：Excel模板\精美EXCEL模板\其他1000例\低保家庭救助名册.xls","低保家庭救助名册.xls")</f>
        <v>低保家庭救助名册.xls</v>
      </c>
      <c r="Q2218">
        <v>0.06</v>
      </c>
      <c r="R2218" s="7" t="str">
        <f t="shared" si="47"/>
        <v>E:\附赠：Excel模板\精美EXCEL模板\其他1000例</v>
      </c>
      <c r="S2218" s="9">
        <v>43600.3821527778</v>
      </c>
      <c r="T2218" s="9">
        <v>43390.518125</v>
      </c>
    </row>
    <row r="2219" spans="14:20">
      <c r="N2219" s="7" t="str">
        <f>HYPERLINK("E:\附赠：Excel模板\精美EXCEL模板\其他1000例\住房公积金信息情况核对登记表.xls","住房公积金信息情况核对登记表.xls")</f>
        <v>住房公积金信息情况核对登记表.xls</v>
      </c>
      <c r="Q2219">
        <v>0.02</v>
      </c>
      <c r="R2219" s="7" t="str">
        <f t="shared" si="47"/>
        <v>E:\附赠：Excel模板\精美EXCEL模板\其他1000例</v>
      </c>
      <c r="S2219" s="9">
        <v>43600.3821527778</v>
      </c>
      <c r="T2219" s="9">
        <v>43390.517037037</v>
      </c>
    </row>
    <row r="2220" spans="14:20">
      <c r="N2220" s="7" t="str">
        <f>HYPERLINK("E:\附赠：Excel模板\精美EXCEL模板\其他1000例\住房公积金汇缴清册.xls","住房公积金汇缴清册.xls")</f>
        <v>住房公积金汇缴清册.xls</v>
      </c>
      <c r="Q2220">
        <v>0.26</v>
      </c>
      <c r="R2220" s="7" t="str">
        <f t="shared" si="47"/>
        <v>E:\附赠：Excel模板\精美EXCEL模板\其他1000例</v>
      </c>
      <c r="S2220" s="9">
        <v>43600.3821527778</v>
      </c>
      <c r="T2220" s="9">
        <v>43608.9492592593</v>
      </c>
    </row>
    <row r="2221" spans="14:20">
      <c r="N2221" s="7" t="str">
        <f>HYPERLINK("E:\附赠：Excel模板\精美EXCEL模板\其他1000例\住房补贴支出预算明细表.xls","住房补贴支出预算明细表.xls")</f>
        <v>住房补贴支出预算明细表.xls</v>
      </c>
      <c r="Q2221">
        <v>0.02</v>
      </c>
      <c r="R2221" s="7" t="str">
        <f t="shared" si="47"/>
        <v>E:\附赠：Excel模板\精美EXCEL模板\其他1000例</v>
      </c>
      <c r="S2221" s="9">
        <v>43600.3821527778</v>
      </c>
      <c r="T2221" s="9">
        <v>43390.517037037</v>
      </c>
    </row>
    <row r="2222" spans="14:20">
      <c r="N2222" s="7" t="str">
        <f>HYPERLINK("E:\附赠：Excel模板\精美EXCEL模板\其他1000例\住房补贴资金职工提取情况表.xls","住房补贴资金职工提取情况表.xls")</f>
        <v>住房补贴资金职工提取情况表.xls</v>
      </c>
      <c r="Q2222">
        <v>0.02</v>
      </c>
      <c r="R2222" s="7" t="str">
        <f t="shared" si="47"/>
        <v>E:\附赠：Excel模板\精美EXCEL模板\其他1000例</v>
      </c>
      <c r="S2222" s="9">
        <v>43600.3821527778</v>
      </c>
      <c r="T2222" s="9">
        <v>43390.517037037</v>
      </c>
    </row>
    <row r="2223" spans="14:20">
      <c r="N2223" s="7" t="str">
        <f>HYPERLINK("E:\附赠：Excel模板\精美EXCEL模板\其他1000例\作业指导卡.xls","作业指导卡.xls")</f>
        <v>作业指导卡.xls</v>
      </c>
      <c r="Q2223">
        <v>0.94</v>
      </c>
      <c r="R2223" s="7" t="str">
        <f t="shared" si="47"/>
        <v>E:\附赠：Excel模板\精美EXCEL模板\其他1000例</v>
      </c>
      <c r="S2223" s="9">
        <v>43600.3821527778</v>
      </c>
      <c r="T2223" s="9">
        <v>43390.5169675926</v>
      </c>
    </row>
    <row r="2224" spans="14:20">
      <c r="N2224" s="7" t="str">
        <f>HYPERLINK("E:\附赠：Excel模板\精美EXCEL模板\其他1000例\使用双语授课的课程一览表.xls","使用双语授课的课程一览表.xls")</f>
        <v>使用双语授课的课程一览表.xls</v>
      </c>
      <c r="Q2224">
        <v>0.02</v>
      </c>
      <c r="R2224" s="7" t="str">
        <f t="shared" si="47"/>
        <v>E:\附赠：Excel模板\精美EXCEL模板\其他1000例</v>
      </c>
      <c r="S2224" s="9">
        <v>43600.3821527778</v>
      </c>
      <c r="T2224" s="9">
        <v>43390.5175231481</v>
      </c>
    </row>
    <row r="2225" spans="14:20">
      <c r="N2225" s="7" t="str">
        <f>HYPERLINK("E:\附赠：Excel模板\精美EXCEL模板\其他1000例\供应商发展策略和计划.xls","供应商发展策略和计划.xls")</f>
        <v>供应商发展策略和计划.xls</v>
      </c>
      <c r="Q2225">
        <v>0.01</v>
      </c>
      <c r="R2225" s="7" t="str">
        <f t="shared" si="47"/>
        <v>E:\附赠：Excel模板\精美EXCEL模板\其他1000例</v>
      </c>
      <c r="S2225" s="9">
        <v>43600.3821527778</v>
      </c>
      <c r="T2225" s="9">
        <v>43390.5180324074</v>
      </c>
    </row>
    <row r="2226" spans="14:20">
      <c r="N2226" s="7" t="str">
        <f>HYPERLINK("E:\附赠：Excel模板\精美EXCEL模板\其他1000例\供应商资料.xls","供应商资料.xls")</f>
        <v>供应商资料.xls</v>
      </c>
      <c r="Q2226">
        <v>0.02</v>
      </c>
      <c r="R2226" s="7" t="str">
        <f t="shared" si="47"/>
        <v>E:\附赠：Excel模板\精美EXCEL模板\其他1000例</v>
      </c>
      <c r="S2226" s="9">
        <v>43600.3821527778</v>
      </c>
      <c r="T2226" s="9">
        <v>43390.5180324074</v>
      </c>
    </row>
    <row r="2227" spans="14:20">
      <c r="N2227" s="7" t="str">
        <f>HYPERLINK("E:\附赠：Excel模板\精美EXCEL模板\其他1000例\供热企业收耗存煤日报表.xls","供热企业收耗存煤日报表.xls")</f>
        <v>供热企业收耗存煤日报表.xls</v>
      </c>
      <c r="Q2227">
        <v>0.04</v>
      </c>
      <c r="R2227" s="7" t="str">
        <f t="shared" si="47"/>
        <v>E:\附赠：Excel模板\精美EXCEL模板\其他1000例</v>
      </c>
      <c r="S2227" s="9">
        <v>43600.3821527778</v>
      </c>
      <c r="T2227" s="9">
        <v>43390.5180324074</v>
      </c>
    </row>
    <row r="2228" spans="14:20">
      <c r="N2228" s="7" t="str">
        <f>HYPERLINK("E:\附赠：Excel模板\精美EXCEL模板\其他1000例\供销合作社企业补充指标表.xls","供销合作社企业补充指标表.xls")</f>
        <v>供销合作社企业补充指标表.xls</v>
      </c>
      <c r="Q2228">
        <v>0.02</v>
      </c>
      <c r="R2228" s="7" t="str">
        <f t="shared" si="47"/>
        <v>E:\附赠：Excel模板\精美EXCEL模板\其他1000例</v>
      </c>
      <c r="S2228" s="9">
        <v>43600.3821527778</v>
      </c>
      <c r="T2228" s="9">
        <v>43390.5180324074</v>
      </c>
    </row>
    <row r="2229" spans="14:20">
      <c r="N2229" s="7" t="str">
        <f>HYPERLINK("E:\附赠：Excel模板\精美EXCEL模板\其他1000例\保证类房贷险业务统计表.xls","保证类房贷险业务统计表.xls")</f>
        <v>保证类房贷险业务统计表.xls</v>
      </c>
      <c r="Q2229">
        <v>0.02</v>
      </c>
      <c r="R2229" s="7" t="str">
        <f t="shared" si="47"/>
        <v>E:\附赠：Excel模板\精美EXCEL模板\其他1000例</v>
      </c>
      <c r="S2229" s="9">
        <v>43600.3821527778</v>
      </c>
      <c r="T2229" s="9">
        <v>43390.5183101852</v>
      </c>
    </row>
    <row r="2230" spans="14:20">
      <c r="N2230" s="7" t="str">
        <f>HYPERLINK("E:\附赠：Excel模板\精美EXCEL模板\其他1000例\保险业利润费用表.xls","保险业利润费用表.xls")</f>
        <v>保险业利润费用表.xls</v>
      </c>
      <c r="Q2230">
        <v>0.02</v>
      </c>
      <c r="R2230" s="7" t="str">
        <f t="shared" si="47"/>
        <v>E:\附赠：Excel模板\精美EXCEL模板\其他1000例</v>
      </c>
      <c r="S2230" s="9">
        <v>43600.3821527778</v>
      </c>
      <c r="T2230" s="9">
        <v>43390.5183101852</v>
      </c>
    </row>
    <row r="2231" spans="14:20">
      <c r="N2231" s="7" t="str">
        <f>HYPERLINK("E:\附赠：Excel模板\精美EXCEL模板\其他1000例\保险业资产负债表.xls","保险业资产负债表.xls")</f>
        <v>保险业资产负债表.xls</v>
      </c>
      <c r="Q2231">
        <v>0.02</v>
      </c>
      <c r="R2231" s="7" t="str">
        <f t="shared" si="47"/>
        <v>E:\附赠：Excel模板\精美EXCEL模板\其他1000例</v>
      </c>
      <c r="S2231" s="9">
        <v>43600.3821527778</v>
      </c>
      <c r="T2231" s="9">
        <v>43390.5183101852</v>
      </c>
    </row>
    <row r="2232" spans="14:20">
      <c r="N2232" s="7" t="str">
        <f>HYPERLINK("E:\附赠：Excel模板\精美EXCEL模板\其他1000例\保险公司分支机构变更事项明细表.xls","保险公司分支机构变更事项明细表.xls")</f>
        <v>保险公司分支机构变更事项明细表.xls</v>
      </c>
      <c r="Q2232">
        <v>0.02</v>
      </c>
      <c r="R2232" s="7" t="str">
        <f t="shared" si="47"/>
        <v>E:\附赠：Excel模板\精美EXCEL模板\其他1000例</v>
      </c>
      <c r="S2232" s="9">
        <v>43600.3821527778</v>
      </c>
      <c r="T2232" s="9">
        <v>43390.5183101852</v>
      </c>
    </row>
    <row r="2233" spans="14:20">
      <c r="N2233" s="7" t="str">
        <f>HYPERLINK("E:\附赠：Excel模板\精美EXCEL模板\其他1000例\保险公司分支机构合并事项明细表.xls","保险公司分支机构合并事项明细表.xls")</f>
        <v>保险公司分支机构合并事项明细表.xls</v>
      </c>
      <c r="Q2233">
        <v>0.02</v>
      </c>
      <c r="R2233" s="7" t="str">
        <f t="shared" si="47"/>
        <v>E:\附赠：Excel模板\精美EXCEL模板\其他1000例</v>
      </c>
      <c r="S2233" s="9">
        <v>43600.3821527778</v>
      </c>
      <c r="T2233" s="9">
        <v>43390.5183101852</v>
      </c>
    </row>
    <row r="2234" spans="14:20">
      <c r="N2234" s="7" t="str">
        <f>HYPERLINK("E:\附赠：Excel模板\精美EXCEL模板\其他1000例\保险公司分支机构撤销事项明细表.xls","保险公司分支机构撤销事项明细表.xls")</f>
        <v>保险公司分支机构撤销事项明细表.xls</v>
      </c>
      <c r="Q2234">
        <v>0.02</v>
      </c>
      <c r="R2234" s="7" t="str">
        <f t="shared" si="47"/>
        <v>E:\附赠：Excel模板\精美EXCEL模板\其他1000例</v>
      </c>
      <c r="S2234" s="9">
        <v>43600.3821527778</v>
      </c>
      <c r="T2234" s="9">
        <v>43390.5183101852</v>
      </c>
    </row>
    <row r="2235" spans="14:20">
      <c r="N2235" s="7" t="str">
        <f>HYPERLINK("E:\附赠：Excel模板\精美EXCEL模板\其他1000例\保险公司分支机构设立明细表.xls","保险公司分支机构设立明细表.xls")</f>
        <v>保险公司分支机构设立明细表.xls</v>
      </c>
      <c r="Q2235">
        <v>0.02</v>
      </c>
      <c r="R2235" s="7" t="str">
        <f t="shared" ref="R2235:R2298" si="48">HYPERLINK("E:\附赠：Excel模板\精美EXCEL模板\其他1000例","E:\附赠：Excel模板\精美EXCEL模板\其他1000例")</f>
        <v>E:\附赠：Excel模板\精美EXCEL模板\其他1000例</v>
      </c>
      <c r="S2235" s="9">
        <v>43600.3821527778</v>
      </c>
      <c r="T2235" s="9">
        <v>43390.5183101852</v>
      </c>
    </row>
    <row r="2236" spans="14:20">
      <c r="N2236" s="7" t="str">
        <f>HYPERLINK("E:\附赠：Excel模板\精美EXCEL模板\其他1000例\信息服务企业情况调查表.xls","信息服务企业情况调查表.xls")</f>
        <v>信息服务企业情况调查表.xls</v>
      </c>
      <c r="Q2236">
        <v>0.02</v>
      </c>
      <c r="R2236" s="7" t="str">
        <f t="shared" si="48"/>
        <v>E:\附赠：Excel模板\精美EXCEL模板\其他1000例</v>
      </c>
      <c r="S2236" s="9">
        <v>43600.3821527778</v>
      </c>
      <c r="T2236" s="9">
        <v>43390.5172916667</v>
      </c>
    </row>
    <row r="2237" spans="14:20">
      <c r="N2237" s="7" t="str">
        <f>HYPERLINK("E:\附赠：Excel模板\精美EXCEL模板\其他1000例\信用管理企业业绩情况统计表.xls","信用管理企业业绩情况统计表.xls")</f>
        <v>信用管理企业业绩情况统计表.xls</v>
      </c>
      <c r="Q2237">
        <v>0.03</v>
      </c>
      <c r="R2237" s="7" t="str">
        <f t="shared" si="48"/>
        <v>E:\附赠：Excel模板\精美EXCEL模板\其他1000例</v>
      </c>
      <c r="S2237" s="9">
        <v>43600.3821527778</v>
      </c>
      <c r="T2237" s="9">
        <v>43390.5172916667</v>
      </c>
    </row>
    <row r="2238" spans="14:20">
      <c r="N2238" s="7" t="str">
        <f>HYPERLINK("E:\附赠：Excel模板\精美EXCEL模板\其他1000例\俱乐部入会申请表.xls","俱乐部入会申请表.xls")</f>
        <v>俱乐部入会申请表.xls</v>
      </c>
      <c r="Q2238">
        <v>0.02</v>
      </c>
      <c r="R2238" s="7" t="str">
        <f t="shared" si="48"/>
        <v>E:\附赠：Excel模板\精美EXCEL模板\其他1000例</v>
      </c>
      <c r="S2238" s="9">
        <v>43600.3821527778</v>
      </c>
      <c r="T2238" s="9">
        <v>43390.5178240741</v>
      </c>
    </row>
    <row r="2239" spans="14:20">
      <c r="N2239" s="7" t="str">
        <f>HYPERLINK("E:\附赠：Excel模板\精美EXCEL模板\其他1000例\候选人名单.xls","候选人名单.xls")</f>
        <v>候选人名单.xls</v>
      </c>
      <c r="Q2239">
        <v>0.05</v>
      </c>
      <c r="R2239" s="7" t="str">
        <f t="shared" si="48"/>
        <v>E:\附赠：Excel模板\精美EXCEL模板\其他1000例</v>
      </c>
      <c r="S2239" s="9">
        <v>43600.3821527778</v>
      </c>
      <c r="T2239" s="9">
        <v>43390.517962963</v>
      </c>
    </row>
    <row r="2240" spans="14:20">
      <c r="N2240" s="7" t="str">
        <f>HYPERLINK("E:\附赠：Excel模板\精美EXCEL模板\其他1000例\债权资产调查表.xls","债权资产调查表.xls")</f>
        <v>债权资产调查表.xls</v>
      </c>
      <c r="Q2240">
        <v>0.02</v>
      </c>
      <c r="R2240" s="7" t="str">
        <f t="shared" si="48"/>
        <v>E:\附赠：Excel模板\精美EXCEL模板\其他1000例</v>
      </c>
      <c r="S2240" s="9">
        <v>43600.3821527778</v>
      </c>
      <c r="T2240" s="9">
        <v>43390.5171064815</v>
      </c>
    </row>
    <row r="2241" spans="14:20">
      <c r="N2241" s="7" t="str">
        <f>HYPERLINK("E:\附赠：Excel模板\精美EXCEL模板\其他1000例\值班表.xls","值班表.xls")</f>
        <v>值班表.xls</v>
      </c>
      <c r="Q2241">
        <v>0.02</v>
      </c>
      <c r="R2241" s="7" t="str">
        <f t="shared" si="48"/>
        <v>E:\附赠：Excel模板\精美EXCEL模板\其他1000例</v>
      </c>
      <c r="S2241" s="9">
        <v>43600.3821527778</v>
      </c>
      <c r="T2241" s="9">
        <v>43390.5170601852</v>
      </c>
    </row>
    <row r="2242" spans="14:20">
      <c r="N2242" s="7" t="str">
        <f>HYPERLINK("E:\附赠：Excel模板\精美EXCEL模板\其他1000例\值班表2.xls","值班表2.xls")</f>
        <v>值班表2.xls</v>
      </c>
      <c r="Q2242">
        <v>0.02</v>
      </c>
      <c r="R2242" s="7" t="str">
        <f t="shared" si="48"/>
        <v>E:\附赠：Excel模板\精美EXCEL模板\其他1000例</v>
      </c>
      <c r="S2242" s="9">
        <v>43600.3821527778</v>
      </c>
      <c r="T2242" s="9">
        <v>43390.5170601852</v>
      </c>
    </row>
    <row r="2243" spans="14:20">
      <c r="N2243" s="7" t="str">
        <f>HYPERLINK("E:\附赠：Excel模板\精美EXCEL模板\其他1000例\假期值班安排表.xls","假期值班安排表.xls")</f>
        <v>假期值班安排表.xls</v>
      </c>
      <c r="Q2243">
        <v>0.01</v>
      </c>
      <c r="R2243" s="7" t="str">
        <f t="shared" si="48"/>
        <v>E:\附赠：Excel模板\精美EXCEL模板\其他1000例</v>
      </c>
      <c r="S2243" s="9">
        <v>43600.3821527778</v>
      </c>
      <c r="T2243" s="9">
        <v>43390.5178935185</v>
      </c>
    </row>
    <row r="2244" spans="14:20">
      <c r="N2244" s="7" t="str">
        <f>HYPERLINK("E:\附赠：Excel模板\精美EXCEL模板\其他1000例\党政机关基本情况.xls","党政机关基本情况.xls")</f>
        <v>党政机关基本情况.xls</v>
      </c>
      <c r="Q2244">
        <v>0.02</v>
      </c>
      <c r="R2244" s="7" t="str">
        <f t="shared" si="48"/>
        <v>E:\附赠：Excel模板\精美EXCEL模板\其他1000例</v>
      </c>
      <c r="S2244" s="9">
        <v>43600.3821527778</v>
      </c>
      <c r="T2244" s="9">
        <v>43390.518125</v>
      </c>
    </row>
    <row r="2245" spans="14:20">
      <c r="N2245" s="7" t="str">
        <f>HYPERLINK("E:\附赠：Excel模板\精美EXCEL模板\其他1000例\全国农村计划生育家庭奖励扶助对象申报表.xls","全国农村计划生育家庭奖励扶助对象申报表.xls")</f>
        <v>全国农村计划生育家庭奖励扶助对象申报表.xls</v>
      </c>
      <c r="Q2245">
        <v>0.02</v>
      </c>
      <c r="R2245" s="7" t="str">
        <f t="shared" si="48"/>
        <v>E:\附赠：Excel模板\精美EXCEL模板\其他1000例</v>
      </c>
      <c r="S2245" s="9">
        <v>43600.3821527778</v>
      </c>
      <c r="T2245" s="9">
        <v>43390.5176157407</v>
      </c>
    </row>
    <row r="2246" spans="14:20">
      <c r="N2246" s="7" t="str">
        <f>HYPERLINK("E:\附赠：Excel模板\精美EXCEL模板\其他1000例\全国文明风景旅游区暂行标准.xls","全国文明风景旅游区暂行标准.xls")</f>
        <v>全国文明风景旅游区暂行标准.xls</v>
      </c>
      <c r="Q2246">
        <v>0.11</v>
      </c>
      <c r="R2246" s="7" t="str">
        <f t="shared" si="48"/>
        <v>E:\附赠：Excel模板\精美EXCEL模板\其他1000例</v>
      </c>
      <c r="S2246" s="9">
        <v>43600.3821527778</v>
      </c>
      <c r="T2246" s="9">
        <v>43390.5176157407</v>
      </c>
    </row>
    <row r="2247" spans="14:20">
      <c r="N2247" s="7" t="str">
        <f>HYPERLINK("E:\附赠：Excel模板\精美EXCEL模板\其他1000例\全国翻译专业资格(水平)考试报名表.xls","全国翻译专业资格(水平)考试报名表.xls")</f>
        <v>全国翻译专业资格(水平)考试报名表.xls</v>
      </c>
      <c r="Q2247">
        <v>0.02</v>
      </c>
      <c r="R2247" s="7" t="str">
        <f t="shared" si="48"/>
        <v>E:\附赠：Excel模板\精美EXCEL模板\其他1000例</v>
      </c>
      <c r="S2247" s="9">
        <v>43600.3821527778</v>
      </c>
      <c r="T2247" s="9">
        <v>43390.5176157407</v>
      </c>
    </row>
    <row r="2248" spans="14:20">
      <c r="N2248" s="7" t="str">
        <f>HYPERLINK("E:\附赠：Excel模板\精美EXCEL模板\其他1000例\全省主要经济指标.xls","全省主要经济指标.xls")</f>
        <v>全省主要经济指标.xls</v>
      </c>
      <c r="Q2248">
        <v>0.02</v>
      </c>
      <c r="R2248" s="7" t="str">
        <f t="shared" si="48"/>
        <v>E:\附赠：Excel模板\精美EXCEL模板\其他1000例</v>
      </c>
      <c r="S2248" s="9">
        <v>43600.3821527778</v>
      </c>
      <c r="T2248" s="9">
        <v>43390.5176157407</v>
      </c>
    </row>
    <row r="2249" spans="14:20">
      <c r="N2249" s="7" t="str">
        <f>HYPERLINK("E:\附赠：Excel模板\精美EXCEL模板\其他1000例\全省国土资源部门行政事业性收费及政府性基金情况表.xls","全省国土资源部门行政事业性收费及政府性基金情况表.xls")</f>
        <v>全省国土资源部门行政事业性收费及政府性基金情况表.xls</v>
      </c>
      <c r="Q2249">
        <v>0.02</v>
      </c>
      <c r="R2249" s="7" t="str">
        <f t="shared" si="48"/>
        <v>E:\附赠：Excel模板\精美EXCEL模板\其他1000例</v>
      </c>
      <c r="S2249" s="9">
        <v>43600.3821527778</v>
      </c>
      <c r="T2249" s="9">
        <v>43390.5176157407</v>
      </c>
    </row>
    <row r="2250" spans="14:20">
      <c r="N2250" s="7" t="str">
        <f>HYPERLINK("E:\附赠：Excel模板\精美EXCEL模板\其他1000例\全省工业企业财务快报.xls","全省工业企业财务快报.xls")</f>
        <v>全省工业企业财务快报.xls</v>
      </c>
      <c r="Q2250">
        <v>0.02</v>
      </c>
      <c r="R2250" s="7" t="str">
        <f t="shared" si="48"/>
        <v>E:\附赠：Excel模板\精美EXCEL模板\其他1000例</v>
      </c>
      <c r="S2250" s="9">
        <v>43600.3821527778</v>
      </c>
      <c r="T2250" s="9">
        <v>43390.5176157407</v>
      </c>
    </row>
    <row r="2251" spans="14:20">
      <c r="N2251" s="7" t="str">
        <f>HYPERLINK("E:\附赠：Excel模板\精美EXCEL模板\其他1000例\全省工业增加值完成情况.xls","全省工业增加值完成情况.xls")</f>
        <v>全省工业增加值完成情况.xls</v>
      </c>
      <c r="Q2251">
        <v>0.02</v>
      </c>
      <c r="R2251" s="7" t="str">
        <f t="shared" si="48"/>
        <v>E:\附赠：Excel模板\精美EXCEL模板\其他1000例</v>
      </c>
      <c r="S2251" s="9">
        <v>43600.3821527778</v>
      </c>
      <c r="T2251" s="9">
        <v>43390.5176157407</v>
      </c>
    </row>
    <row r="2252" spans="14:20">
      <c r="N2252" s="7" t="str">
        <f>HYPERLINK("E:\附赠：Excel模板\精美EXCEL模板\其他1000例\全省部门外债情况表.xls","全省部门外债情况表.xls")</f>
        <v>全省部门外债情况表.xls</v>
      </c>
      <c r="Q2252">
        <v>0.02</v>
      </c>
      <c r="R2252" s="7" t="str">
        <f t="shared" si="48"/>
        <v>E:\附赠：Excel模板\精美EXCEL模板\其他1000例</v>
      </c>
      <c r="S2252" s="9">
        <v>43600.3821527778</v>
      </c>
      <c r="T2252" s="9">
        <v>43390.5176157407</v>
      </c>
    </row>
    <row r="2253" spans="14:20">
      <c r="N2253" s="7" t="str">
        <f>HYPERLINK("E:\附赠：Excel模板\精美EXCEL模板\其他1000例\全省部门机构人员表.xls","全省部门机构人员表.xls")</f>
        <v>全省部门机构人员表.xls</v>
      </c>
      <c r="Q2253">
        <v>0.02</v>
      </c>
      <c r="R2253" s="7" t="str">
        <f t="shared" si="48"/>
        <v>E:\附赠：Excel模板\精美EXCEL模板\其他1000例</v>
      </c>
      <c r="S2253" s="9">
        <v>43600.3821527778</v>
      </c>
      <c r="T2253" s="9">
        <v>43390.5176157407</v>
      </c>
    </row>
    <row r="2254" spans="14:20">
      <c r="N2254" s="7" t="str">
        <f>HYPERLINK("E:\附赠：Excel模板\精美EXCEL模板\其他1000例\全省部门财政收入表.xls","全省部门财政收入表.xls")</f>
        <v>全省部门财政收入表.xls</v>
      </c>
      <c r="Q2254">
        <v>0.02</v>
      </c>
      <c r="R2254" s="7" t="str">
        <f t="shared" si="48"/>
        <v>E:\附赠：Excel模板\精美EXCEL模板\其他1000例</v>
      </c>
      <c r="S2254" s="9">
        <v>43600.3821527778</v>
      </c>
      <c r="T2254" s="9">
        <v>43390.5176157407</v>
      </c>
    </row>
    <row r="2255" spans="14:20">
      <c r="N2255" s="7" t="str">
        <f>HYPERLINK("E:\附赠：Excel模板\精美EXCEL模板\其他1000例\全院××周岁以下教师名册.xls","全院××周岁以下教师名册.xls")</f>
        <v>全院××周岁以下教师名册.xls</v>
      </c>
      <c r="Q2255">
        <v>0.02</v>
      </c>
      <c r="R2255" s="7" t="str">
        <f t="shared" si="48"/>
        <v>E:\附赠：Excel模板\精美EXCEL模板\其他1000例</v>
      </c>
      <c r="S2255" s="9">
        <v>43600.3821527778</v>
      </c>
      <c r="T2255" s="9">
        <v>43390.5175925926</v>
      </c>
    </row>
    <row r="2256" spans="14:20">
      <c r="N2256" s="7" t="str">
        <f>HYPERLINK("E:\附赠：Excel模板\精美EXCEL模板\其他1000例\全院××周岁以下教师学缘结构分析.xls","全院××周岁以下教师学缘结构分析.xls")</f>
        <v>全院××周岁以下教师学缘结构分析.xls</v>
      </c>
      <c r="Q2256">
        <v>0.02</v>
      </c>
      <c r="R2256" s="7" t="str">
        <f t="shared" si="48"/>
        <v>E:\附赠：Excel模板\精美EXCEL模板\其他1000例</v>
      </c>
      <c r="S2256" s="9">
        <v>43600.3821527778</v>
      </c>
      <c r="T2256" s="9">
        <v>43390.5175925926</v>
      </c>
    </row>
    <row r="2257" spans="14:20">
      <c r="N2257" s="7" t="str">
        <f>HYPERLINK("E:\附赠：Excel模板\精美EXCEL模板\其他1000例\全院××岁以下教师获博士学位的教师名册.xls","全院××岁以下教师获博士学位的教师名册.xls")</f>
        <v>全院××岁以下教师获博士学位的教师名册.xls</v>
      </c>
      <c r="Q2257">
        <v>0.02</v>
      </c>
      <c r="R2257" s="7" t="str">
        <f t="shared" si="48"/>
        <v>E:\附赠：Excel模板\精美EXCEL模板\其他1000例</v>
      </c>
      <c r="S2257" s="9">
        <v>43600.3821527778</v>
      </c>
      <c r="T2257" s="9">
        <v>43390.5176157407</v>
      </c>
    </row>
    <row r="2258" spans="14:20">
      <c r="N2258" s="7" t="str">
        <f>HYPERLINK("E:\附赠：Excel模板\精美EXCEL模板\其他1000例\全院教师学科结构分析.xls","全院教师学科结构分析.xls")</f>
        <v>全院教师学科结构分析.xls</v>
      </c>
      <c r="Q2258">
        <v>0.02</v>
      </c>
      <c r="R2258" s="7" t="str">
        <f t="shared" si="48"/>
        <v>E:\附赠：Excel模板\精美EXCEL模板\其他1000例</v>
      </c>
      <c r="S2258" s="9">
        <v>43600.3821527778</v>
      </c>
      <c r="T2258" s="9">
        <v>43390.5175925926</v>
      </c>
    </row>
    <row r="2259" spans="14:20">
      <c r="N2259" s="7" t="str">
        <f>HYPERLINK("E:\附赠：Excel模板\精美EXCEL模板\其他1000例\公共管理专业学生名册.xls","公共管理专业学生名册.xls")</f>
        <v>公共管理专业学生名册.xls</v>
      </c>
      <c r="Q2259">
        <v>0.03</v>
      </c>
      <c r="R2259" s="7" t="str">
        <f t="shared" si="48"/>
        <v>E:\附赠：Excel模板\精美EXCEL模板\其他1000例</v>
      </c>
      <c r="S2259" s="9">
        <v>43600.3821527778</v>
      </c>
      <c r="T2259" s="9">
        <v>43390.5180324074</v>
      </c>
    </row>
    <row r="2260" spans="14:20">
      <c r="N2260" s="7" t="str">
        <f>HYPERLINK("E:\附赠：Excel模板\精美EXCEL模板\其他1000例\公务员转入养老保险基金处理通知.xls","公务员转入养老保险基金处理通知.xls")</f>
        <v>公务员转入养老保险基金处理通知.xls</v>
      </c>
      <c r="Q2260">
        <v>0.02</v>
      </c>
      <c r="R2260" s="7" t="str">
        <f t="shared" si="48"/>
        <v>E:\附赠：Excel模板\精美EXCEL模板\其他1000例</v>
      </c>
      <c r="S2260" s="9">
        <v>43600.3821527778</v>
      </c>
      <c r="T2260" s="9">
        <v>43390.5180092593</v>
      </c>
    </row>
    <row r="2261" spans="14:20">
      <c r="N2261" s="7" t="str">
        <f>HYPERLINK("E:\附赠：Excel模板\精美EXCEL模板\其他1000例\公务用车非财政核拨经费分配表.xls","公务用车非财政核拨经费分配表.xls")</f>
        <v>公务用车非财政核拨经费分配表.xls</v>
      </c>
      <c r="Q2261">
        <v>0.02</v>
      </c>
      <c r="R2261" s="7" t="str">
        <f t="shared" si="48"/>
        <v>E:\附赠：Excel模板\精美EXCEL模板\其他1000例</v>
      </c>
      <c r="S2261" s="9">
        <v>43600.3821527778</v>
      </c>
      <c r="T2261" s="9">
        <v>43390.5180092593</v>
      </c>
    </row>
    <row r="2262" spans="14:20">
      <c r="N2262" s="7" t="str">
        <f>HYPERLINK("E:\附赠：Excel模板\精美EXCEL模板\其他1000例\公司各部门拟聘人员表.xls","公司各部门拟聘人员表.xls")</f>
        <v>公司各部门拟聘人员表.xls</v>
      </c>
      <c r="Q2262">
        <v>0.02</v>
      </c>
      <c r="R2262" s="7" t="str">
        <f t="shared" si="48"/>
        <v>E:\附赠：Excel模板\精美EXCEL模板\其他1000例</v>
      </c>
      <c r="S2262" s="9">
        <v>43600.3821527778</v>
      </c>
      <c r="T2262" s="9">
        <v>43390.5180092593</v>
      </c>
    </row>
    <row r="2263" spans="14:20">
      <c r="N2263" s="7" t="str">
        <f>HYPERLINK("E:\附赠：Excel模板\精美EXCEL模板\其他1000例\公司年度奖项申报审批表.xls","公司年度奖项申报审批表.xls")</f>
        <v>公司年度奖项申报审批表.xls</v>
      </c>
      <c r="Q2263">
        <v>0.02</v>
      </c>
      <c r="R2263" s="7" t="str">
        <f t="shared" si="48"/>
        <v>E:\附赠：Excel模板\精美EXCEL模板\其他1000例</v>
      </c>
      <c r="S2263" s="9">
        <v>43600.3821527778</v>
      </c>
      <c r="T2263" s="9">
        <v>43390.5180092593</v>
      </c>
    </row>
    <row r="2264" spans="14:20">
      <c r="N2264" s="7" t="str">
        <f>HYPERLINK("E:\附赠：Excel模板\精美EXCEL模板\其他1000例\公司年度财务分析统计表.xls","公司年度财务分析统计表.xls")</f>
        <v>公司年度财务分析统计表.xls</v>
      </c>
      <c r="Q2264">
        <v>0.02</v>
      </c>
      <c r="R2264" s="7" t="str">
        <f t="shared" si="48"/>
        <v>E:\附赠：Excel模板\精美EXCEL模板\其他1000例</v>
      </c>
      <c r="S2264" s="9">
        <v>43600.3821527778</v>
      </c>
      <c r="T2264" s="9">
        <v>43390.5180324074</v>
      </c>
    </row>
    <row r="2265" spans="14:20">
      <c r="N2265" s="7" t="str">
        <f>HYPERLINK("E:\附赠：Excel模板\精美EXCEL模板\其他1000例\公司机关部门经理绩效考核等级.xls","公司机关部门经理绩效考核等级.xls")</f>
        <v>公司机关部门经理绩效考核等级.xls</v>
      </c>
      <c r="Q2265">
        <v>0.02</v>
      </c>
      <c r="R2265" s="7" t="str">
        <f t="shared" si="48"/>
        <v>E:\附赠：Excel模板\精美EXCEL模板\其他1000例</v>
      </c>
      <c r="S2265" s="9">
        <v>43600.3821527778</v>
      </c>
      <c r="T2265" s="9">
        <v>43390.5180092593</v>
      </c>
    </row>
    <row r="2266" spans="14:20">
      <c r="N2266" s="7" t="str">
        <f>HYPERLINK("E:\附赠：Excel模板\精美EXCEL模板\其他1000例\公寓（或写字楼）经营情况明细表.xls","公寓（或写字楼）经营情况明细表.xls")</f>
        <v>公寓（或写字楼）经营情况明细表.xls</v>
      </c>
      <c r="Q2266">
        <v>0.02</v>
      </c>
      <c r="R2266" s="7" t="str">
        <f t="shared" si="48"/>
        <v>E:\附赠：Excel模板\精美EXCEL模板\其他1000例</v>
      </c>
      <c r="S2266" s="9">
        <v>43600.3821527778</v>
      </c>
      <c r="T2266" s="9">
        <v>43390.5180092593</v>
      </c>
    </row>
    <row r="2267" spans="14:20">
      <c r="N2267" s="7" t="str">
        <f>HYPERLINK("E:\附赠：Excel模板\精美EXCEL模板\其他1000例\公民出境旅游商务考察申请表.xls","公民出境旅游商务考察申请表.xls")</f>
        <v>公民出境旅游商务考察申请表.xls</v>
      </c>
      <c r="Q2267">
        <v>0.02</v>
      </c>
      <c r="R2267" s="7" t="str">
        <f t="shared" si="48"/>
        <v>E:\附赠：Excel模板\精美EXCEL模板\其他1000例</v>
      </c>
      <c r="S2267" s="9">
        <v>43600.3821527778</v>
      </c>
      <c r="T2267" s="9">
        <v>43390.5180092593</v>
      </c>
    </row>
    <row r="2268" spans="14:20">
      <c r="N2268" s="7" t="str">
        <f>HYPERLINK("E:\附赠：Excel模板\精美EXCEL模板\其他1000例\共建高校基础实验室现状及建设目标汇总表.xls","共建高校基础实验室现状及建设目标汇总表.xls")</f>
        <v>共建高校基础实验室现状及建设目标汇总表.xls</v>
      </c>
      <c r="Q2268">
        <v>0.03</v>
      </c>
      <c r="R2268" s="7" t="str">
        <f t="shared" si="48"/>
        <v>E:\附赠：Excel模板\精美EXCEL模板\其他1000例</v>
      </c>
      <c r="S2268" s="9">
        <v>43600.3821527778</v>
      </c>
      <c r="T2268" s="9">
        <v>43390.5180092593</v>
      </c>
    </row>
    <row r="2269" spans="14:20">
      <c r="N2269" s="7" t="str">
        <f>HYPERLINK("E:\附赠：Excel模板\精美EXCEL模板\其他1000例\其他房改资金账户开户登记表.xls","其他房改资金账户开户登记表.xls")</f>
        <v>其他房改资金账户开户登记表.xls</v>
      </c>
      <c r="Q2269">
        <v>0.02</v>
      </c>
      <c r="R2269" s="7" t="str">
        <f t="shared" si="48"/>
        <v>E:\附赠：Excel模板\精美EXCEL模板\其他1000例</v>
      </c>
      <c r="S2269" s="9">
        <v>43600.3821527778</v>
      </c>
      <c r="T2269" s="9">
        <v>43390.517662037</v>
      </c>
    </row>
    <row r="2270" spans="14:20">
      <c r="N2270" s="7" t="str">
        <f>HYPERLINK("E:\附赠：Excel模板\精美EXCEL模板\其他1000例\内部调货单.xls","内部调货单.xls")</f>
        <v>内部调货单.xls</v>
      </c>
      <c r="Q2270">
        <v>0.02</v>
      </c>
      <c r="R2270" s="7" t="str">
        <f t="shared" si="48"/>
        <v>E:\附赠：Excel模板\精美EXCEL模板\其他1000例</v>
      </c>
      <c r="S2270" s="9">
        <v>43600.3821527778</v>
      </c>
      <c r="T2270" s="9">
        <v>43390.5177083333</v>
      </c>
    </row>
    <row r="2271" spans="14:20">
      <c r="N2271" s="7" t="str">
        <f>HYPERLINK("E:\附赠：Excel模板\精美EXCEL模板\其他1000例\内部财务会计报表一览表.xls","内部财务会计报表一览表.xls")</f>
        <v>内部财务会计报表一览表.xls</v>
      </c>
      <c r="Q2271">
        <v>0.02</v>
      </c>
      <c r="R2271" s="7" t="str">
        <f t="shared" si="48"/>
        <v>E:\附赠：Excel模板\精美EXCEL模板\其他1000例</v>
      </c>
      <c r="S2271" s="9">
        <v>43600.3821527778</v>
      </c>
      <c r="T2271" s="9">
        <v>43390.5177083333</v>
      </c>
    </row>
    <row r="2272" spans="14:20">
      <c r="N2272" s="7" t="str">
        <f>HYPERLINK("E:\附赠：Excel模板\精美EXCEL模板\其他1000例\再就业培训情况表.xls","再就业培训情况表.xls")</f>
        <v>再就业培训情况表.xls</v>
      </c>
      <c r="Q2272">
        <v>0.03</v>
      </c>
      <c r="R2272" s="7" t="str">
        <f t="shared" si="48"/>
        <v>E:\附赠：Excel模板\精美EXCEL模板\其他1000例</v>
      </c>
      <c r="S2272" s="9">
        <v>43600.3821527778</v>
      </c>
      <c r="T2272" s="9">
        <v>43390.5171064815</v>
      </c>
    </row>
    <row r="2273" spans="14:20">
      <c r="N2273" s="7" t="str">
        <f>HYPERLINK("E:\附赠：Excel模板\精美EXCEL模板\其他1000例\军区国防生选拔报名表.xls","军区国防生选拔报名表.xls")</f>
        <v>军区国防生选拔报名表.xls</v>
      </c>
      <c r="Q2273">
        <v>0.02</v>
      </c>
      <c r="R2273" s="7" t="str">
        <f t="shared" si="48"/>
        <v>E:\附赠：Excel模板\精美EXCEL模板\其他1000例</v>
      </c>
      <c r="S2273" s="9">
        <v>43600.3821527778</v>
      </c>
      <c r="T2273" s="9">
        <v>43390.5178009259</v>
      </c>
    </row>
    <row r="2274" spans="14:20">
      <c r="N2274" s="7" t="str">
        <f>HYPERLINK("E:\附赠：Excel模板\精美EXCEL模板\其他1000例\农业发展资金定补项目汇总表.xls","农业发展资金定补项目汇总表.xls")</f>
        <v>农业发展资金定补项目汇总表.xls</v>
      </c>
      <c r="Q2274">
        <v>0.01</v>
      </c>
      <c r="R2274" s="7" t="str">
        <f t="shared" si="48"/>
        <v>E:\附赠：Excel模板\精美EXCEL模板\其他1000例</v>
      </c>
      <c r="S2274" s="9">
        <v>43600.3821527778</v>
      </c>
      <c r="T2274" s="9">
        <v>43390.5176851852</v>
      </c>
    </row>
    <row r="2275" spans="14:20">
      <c r="N2275" s="7" t="str">
        <f>HYPERLINK("E:\附赠：Excel模板\精美EXCEL模板\其他1000例\农业改革主要指标统计表.xls","农业改革主要指标统计表.xls")</f>
        <v>农业改革主要指标统计表.xls</v>
      </c>
      <c r="Q2275">
        <v>0.02</v>
      </c>
      <c r="R2275" s="7" t="str">
        <f t="shared" si="48"/>
        <v>E:\附赠：Excel模板\精美EXCEL模板\其他1000例</v>
      </c>
      <c r="S2275" s="9">
        <v>43600.3821527778</v>
      </c>
      <c r="T2275" s="9">
        <v>43390.5176851852</v>
      </c>
    </row>
    <row r="2276" spans="14:20">
      <c r="N2276" s="7" t="str">
        <f>HYPERLINK("E:\附赠：Excel模板\精美EXCEL模板\其他1000例\农业机械购置补贴产品目录表.xls","农业机械购置补贴产品目录表.xls")</f>
        <v>农业机械购置补贴产品目录表.xls</v>
      </c>
      <c r="Q2276">
        <v>0.03</v>
      </c>
      <c r="R2276" s="7" t="str">
        <f t="shared" si="48"/>
        <v>E:\附赠：Excel模板\精美EXCEL模板\其他1000例</v>
      </c>
      <c r="S2276" s="9">
        <v>43600.3821527778</v>
      </c>
      <c r="T2276" s="9">
        <v>43390.5176851852</v>
      </c>
    </row>
    <row r="2277" spans="14:20">
      <c r="N2277" s="7" t="str">
        <f>HYPERLINK("E:\附赠：Excel模板\精美EXCEL模板\其他1000例\农业综合专项项目任务(效益)投资主要指标汇总表.xls","农业综合专项项目任务(效益)投资主要指标汇总表.xls")</f>
        <v>农业综合专项项目任务(效益)投资主要指标汇总表.xls</v>
      </c>
      <c r="Q2277">
        <v>0.03</v>
      </c>
      <c r="R2277" s="7" t="str">
        <f t="shared" si="48"/>
        <v>E:\附赠：Excel模板\精美EXCEL模板\其他1000例</v>
      </c>
      <c r="S2277" s="9">
        <v>43600.3821527778</v>
      </c>
      <c r="T2277" s="9">
        <v>43390.5176851852</v>
      </c>
    </row>
    <row r="2278" spans="14:20">
      <c r="N2278" s="7" t="str">
        <f>HYPERLINK("E:\附赠：Excel模板\精美EXCEL模板\其他1000例\农业适用技术推广示范培训情况统计表.xls","农业适用技术推广示范培训情况统计表.xls")</f>
        <v>农业适用技术推广示范培训情况统计表.xls</v>
      </c>
      <c r="Q2278">
        <v>0.02</v>
      </c>
      <c r="R2278" s="7" t="str">
        <f t="shared" si="48"/>
        <v>E:\附赠：Excel模板\精美EXCEL模板\其他1000例</v>
      </c>
      <c r="S2278" s="9">
        <v>43600.3821527778</v>
      </c>
      <c r="T2278" s="9">
        <v>43390.5176851852</v>
      </c>
    </row>
    <row r="2279" spans="14:20">
      <c r="N2279" s="7" t="str">
        <f>HYPERLINK("E:\附赠：Excel模板\精美EXCEL模板\其他1000例\农业适用技术推广项目落实情况统计表.xls","农业适用技术推广项目落实情况统计表.xls")</f>
        <v>农业适用技术推广项目落实情况统计表.xls</v>
      </c>
      <c r="Q2279">
        <v>0.05</v>
      </c>
      <c r="R2279" s="7" t="str">
        <f t="shared" si="48"/>
        <v>E:\附赠：Excel模板\精美EXCEL模板\其他1000例</v>
      </c>
      <c r="S2279" s="9">
        <v>43600.3821527778</v>
      </c>
      <c r="T2279" s="9">
        <v>43390.5176851852</v>
      </c>
    </row>
    <row r="2280" spans="14:20">
      <c r="N2280" s="7" t="str">
        <f>HYPERLINK("E:\附赠：Excel模板\精美EXCEL模板\其他1000例\农业项目国家投资类表.xls","农业项目国家投资类表.xls")</f>
        <v>农业项目国家投资类表.xls</v>
      </c>
      <c r="Q2280">
        <v>0.02</v>
      </c>
      <c r="R2280" s="7" t="str">
        <f t="shared" si="48"/>
        <v>E:\附赠：Excel模板\精美EXCEL模板\其他1000例</v>
      </c>
      <c r="S2280" s="9">
        <v>43600.3821527778</v>
      </c>
      <c r="T2280" s="9">
        <v>43390.5176851852</v>
      </c>
    </row>
    <row r="2281" spans="14:20">
      <c r="N2281" s="7" t="str">
        <f>HYPERLINK("E:\附赠：Excel模板\精美EXCEL模板\其他1000例\农业项目招商引资类表.xls","农业项目招商引资类表.xls")</f>
        <v>农业项目招商引资类表.xls</v>
      </c>
      <c r="Q2281">
        <v>0.02</v>
      </c>
      <c r="R2281" s="7" t="str">
        <f t="shared" si="48"/>
        <v>E:\附赠：Excel模板\精美EXCEL模板\其他1000例</v>
      </c>
      <c r="S2281" s="9">
        <v>43600.3821527778</v>
      </c>
      <c r="T2281" s="9">
        <v>43390.5176851852</v>
      </c>
    </row>
    <row r="2282" spans="14:20">
      <c r="N2282" s="7" t="str">
        <f>HYPERLINK("E:\附赠：Excel模板\精美EXCEL模板\其他1000例\农机作业服务单位效益情况表.xls","农机作业服务单位效益情况表.xls")</f>
        <v>农机作业服务单位效益情况表.xls</v>
      </c>
      <c r="Q2282">
        <v>0.02</v>
      </c>
      <c r="R2282" s="7" t="str">
        <f t="shared" si="48"/>
        <v>E:\附赠：Excel模板\精美EXCEL模板\其他1000例</v>
      </c>
      <c r="S2282" s="9">
        <v>43600.3821527778</v>
      </c>
      <c r="T2282" s="9">
        <v>43390.5176851852</v>
      </c>
    </row>
    <row r="2283" spans="14:20">
      <c r="N2283" s="7" t="str">
        <f>HYPERLINK("E:\附赠：Excel模板\精美EXCEL模板\其他1000例\农村义务教育贫困家庭学生免杂费资金分配表.xls","农村义务教育贫困家庭学生免杂费资金分配表.xls")</f>
        <v>农村义务教育贫困家庭学生免杂费资金分配表.xls</v>
      </c>
      <c r="Q2283">
        <v>0.02</v>
      </c>
      <c r="R2283" s="7" t="str">
        <f t="shared" si="48"/>
        <v>E:\附赠：Excel模板\精美EXCEL模板\其他1000例</v>
      </c>
      <c r="S2283" s="9">
        <v>43600.3821527778</v>
      </c>
      <c r="T2283" s="9">
        <v>43390.5176851852</v>
      </c>
    </row>
    <row r="2284" spans="14:20">
      <c r="N2284" s="7" t="str">
        <f>HYPERLINK("E:\附赠：Excel模板\精美EXCEL模板\其他1000例\农村卫生建设执行情况汇总表.xls","农村卫生建设执行情况汇总表.xls")</f>
        <v>农村卫生建设执行情况汇总表.xls</v>
      </c>
      <c r="Q2284">
        <v>0.02</v>
      </c>
      <c r="R2284" s="7" t="str">
        <f t="shared" si="48"/>
        <v>E:\附赠：Excel模板\精美EXCEL模板\其他1000例</v>
      </c>
      <c r="S2284" s="9">
        <v>43600.3821527778</v>
      </c>
      <c r="T2284" s="9">
        <v>43390.5176851852</v>
      </c>
    </row>
    <row r="2285" spans="14:20">
      <c r="N2285" s="7" t="str">
        <f>HYPERLINK("E:\附赠：Excel模板\精美EXCEL模板\其他1000例\农村居民最低生活保障家庭备案表.xls","农村居民最低生活保障家庭备案表.xls")</f>
        <v>农村居民最低生活保障家庭备案表.xls</v>
      </c>
      <c r="Q2285">
        <v>0.08</v>
      </c>
      <c r="R2285" s="7" t="str">
        <f t="shared" si="48"/>
        <v>E:\附赠：Excel模板\精美EXCEL模板\其他1000例</v>
      </c>
      <c r="S2285" s="9">
        <v>43600.3821527778</v>
      </c>
      <c r="T2285" s="9">
        <v>43390.5176851852</v>
      </c>
    </row>
    <row r="2286" spans="14:20">
      <c r="N2286" s="7" t="str">
        <f>HYPERLINK("E:\附赠：Excel模板\精美EXCEL模板\其他1000例\出口收汇差额核销.xls","出口收汇差额核销.xls")</f>
        <v>出口收汇差额核销.xls</v>
      </c>
      <c r="Q2286">
        <v>0.03</v>
      </c>
      <c r="R2286" s="7" t="str">
        <f t="shared" si="48"/>
        <v>E:\附赠：Excel模板\精美EXCEL模板\其他1000例</v>
      </c>
      <c r="S2286" s="9">
        <v>43600.3821527778</v>
      </c>
      <c r="T2286" s="9">
        <v>43390.5181944444</v>
      </c>
    </row>
    <row r="2287" spans="14:20">
      <c r="N2287" s="7" t="str">
        <f>HYPERLINK("E:\附赠：Excel模板\精美EXCEL模板\其他1000例\出口收汇核销出口单位登记及核销人员管理.xls","出口收汇核销出口单位登记及核销人员管理.xls")</f>
        <v>出口收汇核销出口单位登记及核销人员管理.xls</v>
      </c>
      <c r="Q2287">
        <v>0.02</v>
      </c>
      <c r="R2287" s="7" t="str">
        <f t="shared" si="48"/>
        <v>E:\附赠：Excel模板\精美EXCEL模板\其他1000例</v>
      </c>
      <c r="S2287" s="9">
        <v>43600.3821527778</v>
      </c>
      <c r="T2287" s="9">
        <v>43390.5181944444</v>
      </c>
    </row>
    <row r="2288" spans="14:20">
      <c r="N2288" s="7" t="str">
        <f>HYPERLINK("E:\附赠：Excel模板\精美EXCEL模板\其他1000例\出口收汇核销单管理.xls","出口收汇核销单管理.xls")</f>
        <v>出口收汇核销单管理.xls</v>
      </c>
      <c r="Q2288">
        <v>0.02</v>
      </c>
      <c r="R2288" s="7" t="str">
        <f t="shared" si="48"/>
        <v>E:\附赠：Excel模板\精美EXCEL模板\其他1000例</v>
      </c>
      <c r="S2288" s="9">
        <v>43600.3821527778</v>
      </c>
      <c r="T2288" s="9">
        <v>43390.5181712963</v>
      </c>
    </row>
    <row r="2289" spans="14:20">
      <c r="N2289" s="7" t="str">
        <f>HYPERLINK("E:\附赠：Excel模板\精美EXCEL模板\其他1000例\出口收汇核销备查.xls","出口收汇核销备查.xls")</f>
        <v>出口收汇核销备查.xls</v>
      </c>
      <c r="Q2289">
        <v>0.02</v>
      </c>
      <c r="R2289" s="7" t="str">
        <f t="shared" si="48"/>
        <v>E:\附赠：Excel模板\精美EXCEL模板\其他1000例</v>
      </c>
      <c r="S2289" s="9">
        <v>43600.3821527778</v>
      </c>
      <c r="T2289" s="9">
        <v>43390.5181944444</v>
      </c>
    </row>
    <row r="2290" spans="14:20">
      <c r="N2290" s="7" t="str">
        <f>HYPERLINK("E:\附赠：Excel模板\精美EXCEL模板\其他1000例\出口收汇核销考核.xls","出口收汇核销考核.xls")</f>
        <v>出口收汇核销考核.xls</v>
      </c>
      <c r="Q2290">
        <v>0.02</v>
      </c>
      <c r="R2290" s="7" t="str">
        <f t="shared" si="48"/>
        <v>E:\附赠：Excel模板\精美EXCEL模板\其他1000例</v>
      </c>
      <c r="S2290" s="9">
        <v>43600.3821527778</v>
      </c>
      <c r="T2290" s="9">
        <v>43390.5181712963</v>
      </c>
    </row>
    <row r="2291" spans="14:20">
      <c r="N2291" s="7" t="str">
        <f>HYPERLINK("E:\附赠：Excel模板\精美EXCEL模板\其他1000例\出租、出借、内部经营等情况调查表.xls","出租、出借、内部经营等情况调查表.xls")</f>
        <v>出租、出借、内部经营等情况调查表.xls</v>
      </c>
      <c r="Q2291">
        <v>0.02</v>
      </c>
      <c r="R2291" s="7" t="str">
        <f t="shared" si="48"/>
        <v>E:\附赠：Excel模板\精美EXCEL模板\其他1000例</v>
      </c>
      <c r="S2291" s="9">
        <v>43600.3821527778</v>
      </c>
      <c r="T2291" s="9">
        <v>43390.5181712963</v>
      </c>
    </row>
    <row r="2292" spans="14:20">
      <c r="N2292" s="7" t="str">
        <f>HYPERLINK("E:\附赠：Excel模板\精美EXCEL模板\其他1000例\出资情况表.xls","出资情况表.xls")</f>
        <v>出资情况表.xls</v>
      </c>
      <c r="Q2292">
        <v>0.02</v>
      </c>
      <c r="R2292" s="7" t="str">
        <f t="shared" si="48"/>
        <v>E:\附赠：Excel模板\精美EXCEL模板\其他1000例</v>
      </c>
      <c r="S2292" s="9">
        <v>43600.3821527778</v>
      </c>
      <c r="T2292" s="9">
        <v>43390.5181712963</v>
      </c>
    </row>
    <row r="2293" spans="14:20">
      <c r="N2293" s="7" t="str">
        <f>HYPERLINK("E:\附赠：Excel模板\精美EXCEL模板\其他1000例\出进货单.xls","出进货单.xls")</f>
        <v>出进货单.xls</v>
      </c>
      <c r="Q2293">
        <v>0.02</v>
      </c>
      <c r="R2293" s="7" t="str">
        <f t="shared" si="48"/>
        <v>E:\附赠：Excel模板\精美EXCEL模板\其他1000例</v>
      </c>
      <c r="S2293" s="9">
        <v>43600.3821527778</v>
      </c>
      <c r="T2293" s="9">
        <v>43390.5181944444</v>
      </c>
    </row>
    <row r="2294" spans="14:20">
      <c r="N2294" s="7" t="str">
        <f>HYPERLINK("E:\附赠：Excel模板\精美EXCEL模板\其他1000例\分产品（业务）收入成本预算表.xls","分产品（业务）收入成本预算表.xls")</f>
        <v>分产品（业务）收入成本预算表.xls</v>
      </c>
      <c r="Q2294">
        <v>0.02</v>
      </c>
      <c r="R2294" s="7" t="str">
        <f t="shared" si="48"/>
        <v>E:\附赠：Excel模板\精美EXCEL模板\其他1000例</v>
      </c>
      <c r="S2294" s="9">
        <v>43600.3821527778</v>
      </c>
      <c r="T2294" s="9">
        <v>43390.5180555556</v>
      </c>
    </row>
    <row r="2295" spans="14:20">
      <c r="N2295" s="7" t="str">
        <f>HYPERLINK("E:\附赠：Excel模板\精美EXCEL模板\其他1000例\分散采购统计表.xls","分散采购统计表.xls")</f>
        <v>分散采购统计表.xls</v>
      </c>
      <c r="Q2295">
        <v>0.03</v>
      </c>
      <c r="R2295" s="7" t="str">
        <f t="shared" si="48"/>
        <v>E:\附赠：Excel模板\精美EXCEL模板\其他1000例</v>
      </c>
      <c r="S2295" s="9">
        <v>43600.3821527778</v>
      </c>
      <c r="T2295" s="9">
        <v>43390.5180555556</v>
      </c>
    </row>
    <row r="2296" spans="14:20">
      <c r="N2296" s="7" t="str">
        <f>HYPERLINK("E:\附赠：Excel模板\精美EXCEL模板\其他1000例\分部报表.xls","分部报表.xls")</f>
        <v>分部报表.xls</v>
      </c>
      <c r="Q2296">
        <v>0.02</v>
      </c>
      <c r="R2296" s="7" t="str">
        <f t="shared" si="48"/>
        <v>E:\附赠：Excel模板\精美EXCEL模板\其他1000例</v>
      </c>
      <c r="S2296" s="9">
        <v>43600.3821527778</v>
      </c>
      <c r="T2296" s="9">
        <v>43390.5180787037</v>
      </c>
    </row>
    <row r="2297" spans="14:20">
      <c r="N2297" s="7" t="str">
        <f>HYPERLINK("E:\附赠：Excel模板\精美EXCEL模板\其他1000例\初中教育技术装备统计汇总表.xls","初中教育技术装备统计汇总表.xls")</f>
        <v>初中教育技术装备统计汇总表.xls</v>
      </c>
      <c r="Q2297">
        <v>0.03</v>
      </c>
      <c r="R2297" s="7" t="str">
        <f t="shared" si="48"/>
        <v>E:\附赠：Excel模板\精美EXCEL模板\其他1000例</v>
      </c>
      <c r="S2297" s="9">
        <v>43600.3821527778</v>
      </c>
      <c r="T2297" s="9">
        <v>43390.5181944444</v>
      </c>
    </row>
    <row r="2298" spans="14:20">
      <c r="N2298" s="7" t="str">
        <f>HYPERLINK("E:\附赠：Excel模板\精美EXCEL模板\其他1000例\利润分配表.xls","利润分配表.xls")</f>
        <v>利润分配表.xls</v>
      </c>
      <c r="Q2298">
        <v>0.02</v>
      </c>
      <c r="R2298" s="7" t="str">
        <f t="shared" si="48"/>
        <v>E:\附赠：Excel模板\精美EXCEL模板\其他1000例</v>
      </c>
      <c r="S2298" s="9">
        <v>43600.3821527778</v>
      </c>
      <c r="T2298" s="9">
        <v>43390.5177777778</v>
      </c>
    </row>
    <row r="2299" spans="14:20">
      <c r="N2299" s="7" t="str">
        <f>HYPERLINK("E:\附赠：Excel模板\精美EXCEL模板\其他1000例\利润及利润分配表.xls","利润及利润分配表.xls")</f>
        <v>利润及利润分配表.xls</v>
      </c>
      <c r="Q2299">
        <v>0.08</v>
      </c>
      <c r="R2299" s="7" t="str">
        <f t="shared" ref="R2299:R2362" si="49">HYPERLINK("E:\附赠：Excel模板\精美EXCEL模板\其他1000例","E:\附赠：Excel模板\精美EXCEL模板\其他1000例")</f>
        <v>E:\附赠：Excel模板\精美EXCEL模板\其他1000例</v>
      </c>
      <c r="S2299" s="9">
        <v>43600.3821527778</v>
      </c>
      <c r="T2299" s="9">
        <v>43390.5177777778</v>
      </c>
    </row>
    <row r="2300" spans="14:20">
      <c r="N2300" s="7" t="str">
        <f>HYPERLINK("E:\附赠：Excel模板\精美EXCEL模板\其他1000例\利润及利润分配表2.xls","利润及利润分配表2.xls")</f>
        <v>利润及利润分配表2.xls</v>
      </c>
      <c r="Q2300">
        <v>0.02</v>
      </c>
      <c r="R2300" s="7" t="str">
        <f t="shared" si="49"/>
        <v>E:\附赠：Excel模板\精美EXCEL模板\其他1000例</v>
      </c>
      <c r="S2300" s="9">
        <v>43600.3821527778</v>
      </c>
      <c r="T2300" s="9">
        <v>43390.5177777778</v>
      </c>
    </row>
    <row r="2301" spans="14:20">
      <c r="N2301" s="7" t="str">
        <f>HYPERLINK("E:\附赠：Excel模板\精美EXCEL模板\其他1000例\利润及利润分配表（旅游类）.xls","利润及利润分配表（旅游类）.xls")</f>
        <v>利润及利润分配表（旅游类）.xls</v>
      </c>
      <c r="Q2301">
        <v>0.02</v>
      </c>
      <c r="R2301" s="7" t="str">
        <f t="shared" si="49"/>
        <v>E:\附赠：Excel模板\精美EXCEL模板\其他1000例</v>
      </c>
      <c r="S2301" s="9">
        <v>43600.3821527778</v>
      </c>
      <c r="T2301" s="9">
        <v>43390.5177546296</v>
      </c>
    </row>
    <row r="2302" spans="14:20">
      <c r="N2302" s="7" t="str">
        <f>HYPERLINK("E:\附赠：Excel模板\精美EXCEL模板\其他1000例\利润表.xls","利润表.xls")</f>
        <v>利润表.xls</v>
      </c>
      <c r="Q2302">
        <v>0.02</v>
      </c>
      <c r="R2302" s="7" t="str">
        <f t="shared" si="49"/>
        <v>E:\附赠：Excel模板\精美EXCEL模板\其他1000例</v>
      </c>
      <c r="S2302" s="9">
        <v>43600.3821527778</v>
      </c>
      <c r="T2302" s="9">
        <v>43390.5177777778</v>
      </c>
    </row>
    <row r="2303" spans="14:20">
      <c r="N2303" s="7" t="str">
        <f>HYPERLINK("E:\附赠：Excel模板\精美EXCEL模板\其他1000例\利润表2.xls","利润表2.xls")</f>
        <v>利润表2.xls</v>
      </c>
      <c r="Q2303">
        <v>0.02</v>
      </c>
      <c r="R2303" s="7" t="str">
        <f t="shared" si="49"/>
        <v>E:\附赠：Excel模板\精美EXCEL模板\其他1000例</v>
      </c>
      <c r="S2303" s="9">
        <v>43600.3821527778</v>
      </c>
      <c r="T2303" s="9">
        <v>43390.5177777778</v>
      </c>
    </row>
    <row r="2304" spans="14:20">
      <c r="N2304" s="7" t="str">
        <f>HYPERLINK("E:\附赠：Excel模板\精美EXCEL模板\其他1000例\利润表3.xls","利润表3.xls")</f>
        <v>利润表3.xls</v>
      </c>
      <c r="Q2304">
        <v>0.02</v>
      </c>
      <c r="R2304" s="7" t="str">
        <f t="shared" si="49"/>
        <v>E:\附赠：Excel模板\精美EXCEL模板\其他1000例</v>
      </c>
      <c r="S2304" s="9">
        <v>43600.3821527778</v>
      </c>
      <c r="T2304" s="9">
        <v>43390.5177777778</v>
      </c>
    </row>
    <row r="2305" spans="14:20">
      <c r="N2305" s="7" t="str">
        <f>HYPERLINK("E:\附赠：Excel模板\精美EXCEL模板\其他1000例\利润表4.xls","利润表4.xls")</f>
        <v>利润表4.xls</v>
      </c>
      <c r="Q2305">
        <v>0.02</v>
      </c>
      <c r="R2305" s="7" t="str">
        <f t="shared" si="49"/>
        <v>E:\附赠：Excel模板\精美EXCEL模板\其他1000例</v>
      </c>
      <c r="S2305" s="9">
        <v>43600.3821527778</v>
      </c>
      <c r="T2305" s="9">
        <v>43390.5177777778</v>
      </c>
    </row>
    <row r="2306" spans="14:20">
      <c r="N2306" s="7" t="str">
        <f>HYPERLINK("E:\附赠：Excel模板\精美EXCEL模板\其他1000例\利润预算表.xls","利润预算表.xls")</f>
        <v>利润预算表.xls</v>
      </c>
      <c r="Q2306">
        <v>0.02</v>
      </c>
      <c r="R2306" s="7" t="str">
        <f t="shared" si="49"/>
        <v>E:\附赠：Excel模板\精美EXCEL模板\其他1000例</v>
      </c>
      <c r="S2306" s="9">
        <v>43600.3821527778</v>
      </c>
      <c r="T2306" s="9">
        <v>43390.5177546296</v>
      </c>
    </row>
    <row r="2307" spans="14:20">
      <c r="N2307" s="7" t="str">
        <f>HYPERLINK("E:\附赠：Excel模板\精美EXCEL模板\其他1000例\前期物业管理服务等级证明申请表.xls","前期物业管理服务等级证明申请表.xls")</f>
        <v>前期物业管理服务等级证明申请表.xls</v>
      </c>
      <c r="Q2307">
        <v>0.02</v>
      </c>
      <c r="R2307" s="7" t="str">
        <f t="shared" si="49"/>
        <v>E:\附赠：Excel模板\精美EXCEL模板\其他1000例</v>
      </c>
      <c r="S2307" s="9">
        <v>43600.3821527778</v>
      </c>
      <c r="T2307" s="9">
        <v>43390.5176388889</v>
      </c>
    </row>
    <row r="2308" spans="14:20">
      <c r="N2308" s="7" t="str">
        <f>HYPERLINK("E:\附赠：Excel模板\精美EXCEL模板\其他1000例\加工贸易生产能力证明.xls","加工贸易生产能力证明.xls")</f>
        <v>加工贸易生产能力证明.xls</v>
      </c>
      <c r="Q2308">
        <v>0.03</v>
      </c>
      <c r="R2308" s="7" t="str">
        <f t="shared" si="49"/>
        <v>E:\附赠：Excel模板\精美EXCEL模板\其他1000例</v>
      </c>
      <c r="S2308" s="9">
        <v>43600.3821527778</v>
      </c>
      <c r="T2308" s="9">
        <v>43390.5178935185</v>
      </c>
    </row>
    <row r="2309" spans="14:20">
      <c r="N2309" s="7" t="str">
        <f>HYPERLINK("E:\附赠：Excel模板\精美EXCEL模板\其他1000例\加工贸易经营状况.xls","加工贸易经营状况.xls")</f>
        <v>加工贸易经营状况.xls</v>
      </c>
      <c r="Q2309">
        <v>0.03</v>
      </c>
      <c r="R2309" s="7" t="str">
        <f t="shared" si="49"/>
        <v>E:\附赠：Excel模板\精美EXCEL模板\其他1000例</v>
      </c>
      <c r="S2309" s="9">
        <v>43600.3821527778</v>
      </c>
      <c r="T2309" s="9">
        <v>43390.5178935185</v>
      </c>
    </row>
    <row r="2310" spans="14:20">
      <c r="N2310" s="7" t="str">
        <f>HYPERLINK("E:\附赠：Excel模板\精美EXCEL模板\其他1000例\劳动者就业登记表.xls","劳动者就业登记表.xls")</f>
        <v>劳动者就业登记表.xls</v>
      </c>
      <c r="Q2310">
        <v>0.02</v>
      </c>
      <c r="R2310" s="7" t="str">
        <f t="shared" si="49"/>
        <v>E:\附赠：Excel模板\精美EXCEL模板\其他1000例</v>
      </c>
      <c r="S2310" s="9">
        <v>43600.3821527778</v>
      </c>
      <c r="T2310" s="9">
        <v>43390.5178009259</v>
      </c>
    </row>
    <row r="2311" spans="14:20">
      <c r="N2311" s="7" t="str">
        <f>HYPERLINK("E:\附赠：Excel模板\精美EXCEL模板\其他1000例\勘查许可证、采矿许可证发放情况.xls","勘查许可证、采矿许可证发放情况.xls")</f>
        <v>勘查许可证、采矿许可证发放情况.xls</v>
      </c>
      <c r="Q2311">
        <v>0.02</v>
      </c>
      <c r="R2311" s="7" t="str">
        <f t="shared" si="49"/>
        <v>E:\附赠：Excel模板\精美EXCEL模板\其他1000例</v>
      </c>
      <c r="S2311" s="9">
        <v>43600.3821527778</v>
      </c>
      <c r="T2311" s="9">
        <v>43390.5178009259</v>
      </c>
    </row>
    <row r="2312" spans="14:20">
      <c r="N2312" s="7" t="str">
        <f>HYPERLINK("E:\附赠：Excel模板\精美EXCEL模板\其他1000例\勘测设计企业财务状况.xls","勘测设计企业财务状况.xls")</f>
        <v>勘测设计企业财务状况.xls</v>
      </c>
      <c r="Q2312">
        <v>0.02</v>
      </c>
      <c r="R2312" s="7" t="str">
        <f t="shared" si="49"/>
        <v>E:\附赠：Excel模板\精美EXCEL模板\其他1000例</v>
      </c>
      <c r="S2312" s="9">
        <v>43600.3821527778</v>
      </c>
      <c r="T2312" s="9">
        <v>43390.5178009259</v>
      </c>
    </row>
    <row r="2313" spans="14:20">
      <c r="N2313" s="7" t="str">
        <f>HYPERLINK("E:\附赠：Excel模板\精美EXCEL模板\其他1000例\区县妇女儿童发展规划统计监测基本情况表.xls","区县妇女儿童发展规划统计监测基本情况表.xls")</f>
        <v>区县妇女儿童发展规划统计监测基本情况表.xls</v>
      </c>
      <c r="Q2313">
        <v>0.24</v>
      </c>
      <c r="R2313" s="7" t="str">
        <f t="shared" si="49"/>
        <v>E:\附赠：Excel模板\精美EXCEL模板\其他1000例</v>
      </c>
      <c r="S2313" s="9">
        <v>43600.3821527778</v>
      </c>
      <c r="T2313" s="9">
        <v>43390.5176157407</v>
      </c>
    </row>
    <row r="2314" spans="14:20">
      <c r="N2314" s="7" t="str">
        <f>HYPERLINK("E:\附赠：Excel模板\精美EXCEL模板\其他1000例\区自行、分散采购资金财政直接拨付申请表.xls","区自行、分散采购资金财政直接拨付申请表.xls")</f>
        <v>区自行、分散采购资金财政直接拨付申请表.xls</v>
      </c>
      <c r="Q2314">
        <v>0.02</v>
      </c>
      <c r="R2314" s="7" t="str">
        <f t="shared" si="49"/>
        <v>E:\附赠：Excel模板\精美EXCEL模板\其他1000例</v>
      </c>
      <c r="S2314" s="9">
        <v>43600.3821527778</v>
      </c>
      <c r="T2314" s="9">
        <v>43390.5176157407</v>
      </c>
    </row>
    <row r="2315" spans="14:20">
      <c r="N2315" s="7" t="str">
        <f>HYPERLINK("E:\附赠：Excel模板\精美EXCEL模板\其他1000例\医疗单位物流.xls","医疗单位物流.xls")</f>
        <v>医疗单位物流.xls</v>
      </c>
      <c r="Q2315">
        <v>0.02</v>
      </c>
      <c r="R2315" s="7" t="str">
        <f t="shared" si="49"/>
        <v>E:\附赠：Excel模板\精美EXCEL模板\其他1000例</v>
      </c>
      <c r="S2315" s="9">
        <v>43600.3821527778</v>
      </c>
      <c r="T2315" s="9">
        <v>43390.5171759259</v>
      </c>
    </row>
    <row r="2316" spans="14:20">
      <c r="N2316" s="7" t="str">
        <f>HYPERLINK("E:\附赠：Excel模板\精美EXCEL模板\其他1000例\医疗机构医疗收支明细表.xls","医疗机构医疗收支明细表.xls")</f>
        <v>医疗机构医疗收支明细表.xls</v>
      </c>
      <c r="Q2316">
        <v>0.02</v>
      </c>
      <c r="R2316" s="7" t="str">
        <f t="shared" si="49"/>
        <v>E:\附赠：Excel模板\精美EXCEL模板\其他1000例</v>
      </c>
      <c r="S2316" s="9">
        <v>43600.3821527778</v>
      </c>
      <c r="T2316" s="9">
        <v>43390.5171527778</v>
      </c>
    </row>
    <row r="2317" spans="14:20">
      <c r="N2317" s="7" t="str">
        <f>HYPERLINK("E:\附赠：Excel模板\精美EXCEL模板\其他1000例\医疗机构基本数字表.xls","医疗机构基本数字表.xls")</f>
        <v>医疗机构基本数字表.xls</v>
      </c>
      <c r="Q2317">
        <v>0.02</v>
      </c>
      <c r="R2317" s="7" t="str">
        <f t="shared" si="49"/>
        <v>E:\附赠：Excel模板\精美EXCEL模板\其他1000例</v>
      </c>
      <c r="S2317" s="9">
        <v>43600.3821527778</v>
      </c>
      <c r="T2317" s="9">
        <v>43390.5171759259</v>
      </c>
    </row>
    <row r="2318" spans="14:20">
      <c r="N2318" s="7" t="str">
        <f>HYPERLINK("E:\附赠：Excel模板\精美EXCEL模板\其他1000例\医疗机构基金变动情况表.xls","医疗机构基金变动情况表.xls")</f>
        <v>医疗机构基金变动情况表.xls</v>
      </c>
      <c r="Q2318">
        <v>0.02</v>
      </c>
      <c r="R2318" s="7" t="str">
        <f t="shared" si="49"/>
        <v>E:\附赠：Excel模板\精美EXCEL模板\其他1000例</v>
      </c>
      <c r="S2318" s="9">
        <v>43600.3821527778</v>
      </c>
      <c r="T2318" s="9">
        <v>43390.5171759259</v>
      </c>
    </row>
    <row r="2319" spans="14:20">
      <c r="N2319" s="7" t="str">
        <f>HYPERLINK("E:\附赠：Excel模板\精美EXCEL模板\其他1000例\医疗机构收入支出总表.xls","医疗机构收入支出总表.xls")</f>
        <v>医疗机构收入支出总表.xls</v>
      </c>
      <c r="Q2319">
        <v>0.02</v>
      </c>
      <c r="R2319" s="7" t="str">
        <f t="shared" si="49"/>
        <v>E:\附赠：Excel模板\精美EXCEL模板\其他1000例</v>
      </c>
      <c r="S2319" s="9">
        <v>43600.3821527778</v>
      </c>
      <c r="T2319" s="9">
        <v>43390.5171759259</v>
      </c>
    </row>
    <row r="2320" spans="14:20">
      <c r="N2320" s="7" t="str">
        <f>HYPERLINK("E:\附赠：Excel模板\精美EXCEL模板\其他1000例\医疗机构药品收支明细表.xls","医疗机构药品收支明细表.xls")</f>
        <v>医疗机构药品收支明细表.xls</v>
      </c>
      <c r="Q2320">
        <v>0.02</v>
      </c>
      <c r="R2320" s="7" t="str">
        <f t="shared" si="49"/>
        <v>E:\附赠：Excel模板\精美EXCEL模板\其他1000例</v>
      </c>
      <c r="S2320" s="9">
        <v>43600.3821527778</v>
      </c>
      <c r="T2320" s="9">
        <v>43390.5171527778</v>
      </c>
    </row>
    <row r="2321" spans="14:20">
      <c r="N2321" s="7" t="str">
        <f>HYPERLINK("E:\附赠：Excel模板\精美EXCEL模板\其他1000例\医疗机构资产负债表.xls","医疗机构资产负债表.xls")</f>
        <v>医疗机构资产负债表.xls</v>
      </c>
      <c r="Q2321">
        <v>0.02</v>
      </c>
      <c r="R2321" s="7" t="str">
        <f t="shared" si="49"/>
        <v>E:\附赠：Excel模板\精美EXCEL模板\其他1000例</v>
      </c>
      <c r="S2321" s="9">
        <v>43600.3821527778</v>
      </c>
      <c r="T2321" s="9">
        <v>43390.5171527778</v>
      </c>
    </row>
    <row r="2322" spans="14:20">
      <c r="N2322" s="7" t="str">
        <f>HYPERLINK("E:\附赠：Excel模板\精美EXCEL模板\其他1000例\单位人员车辆基本信息表.xls","单位人员车辆基本信息表.xls")</f>
        <v>单位人员车辆基本信息表.xls</v>
      </c>
      <c r="Q2322">
        <v>0.02</v>
      </c>
      <c r="R2322" s="7" t="str">
        <f t="shared" si="49"/>
        <v>E:\附赠：Excel模板\精美EXCEL模板\其他1000例</v>
      </c>
      <c r="S2322" s="9">
        <v>43600.3821527778</v>
      </c>
      <c r="T2322" s="9">
        <v>43390.518125</v>
      </c>
    </row>
    <row r="2323" spans="14:20">
      <c r="N2323" s="7" t="str">
        <f>HYPERLINK("E:\附赠：Excel模板\精美EXCEL模板\其他1000例\单位基本情况表.xls","单位基本情况表.xls")</f>
        <v>单位基本情况表.xls</v>
      </c>
      <c r="Q2323">
        <v>0.02</v>
      </c>
      <c r="R2323" s="7" t="str">
        <f t="shared" si="49"/>
        <v>E:\附赠：Excel模板\精美EXCEL模板\其他1000例</v>
      </c>
      <c r="S2323" s="9">
        <v>43600.3821527778</v>
      </c>
      <c r="T2323" s="9">
        <v>43390.518125</v>
      </c>
    </row>
    <row r="2324" spans="14:20">
      <c r="N2324" s="7" t="str">
        <f>HYPERLINK("E:\附赠：Excel模板\精美EXCEL模板\其他1000例\单位帮困救助情况表.xls","单位帮困救助情况表.xls")</f>
        <v>单位帮困救助情况表.xls</v>
      </c>
      <c r="Q2324">
        <v>0.02</v>
      </c>
      <c r="R2324" s="7" t="str">
        <f t="shared" si="49"/>
        <v>E:\附赠：Excel模板\精美EXCEL模板\其他1000例</v>
      </c>
      <c r="S2324" s="9">
        <v>43600.3821527778</v>
      </c>
      <c r="T2324" s="9">
        <v>43390.518125</v>
      </c>
    </row>
    <row r="2325" spans="14:20">
      <c r="N2325" s="7" t="str">
        <f>HYPERLINK("E:\附赠：Excel模板\精美EXCEL模板\其他1000例\单位改制企业职工情况表.xls","单位改制企业职工情况表.xls")</f>
        <v>单位改制企业职工情况表.xls</v>
      </c>
      <c r="Q2325">
        <v>0.03</v>
      </c>
      <c r="R2325" s="7" t="str">
        <f t="shared" si="49"/>
        <v>E:\附赠：Excel模板\精美EXCEL模板\其他1000例</v>
      </c>
      <c r="S2325" s="9">
        <v>43600.3821527778</v>
      </c>
      <c r="T2325" s="9">
        <v>43390.518125</v>
      </c>
    </row>
    <row r="2326" spans="14:20">
      <c r="N2326" s="7" t="str">
        <f>HYPERLINK("E:\附赠：Excel模板\精美EXCEL模板\其他1000例\单位清欠劳动债务情况表.xls","单位清欠劳动债务情况表.xls")</f>
        <v>单位清欠劳动债务情况表.xls</v>
      </c>
      <c r="Q2326">
        <v>0.02</v>
      </c>
      <c r="R2326" s="7" t="str">
        <f t="shared" si="49"/>
        <v>E:\附赠：Excel模板\精美EXCEL模板\其他1000例</v>
      </c>
      <c r="S2326" s="9">
        <v>43600.3821527778</v>
      </c>
      <c r="T2326" s="9">
        <v>43390.518125</v>
      </c>
    </row>
    <row r="2327" spans="14:20">
      <c r="N2327" s="7" t="str">
        <f>HYPERLINK("E:\附赠：Excel模板\精美EXCEL模板\其他1000例\单位生产成本估算表.xls","单位生产成本估算表.xls")</f>
        <v>单位生产成本估算表.xls</v>
      </c>
      <c r="Q2327">
        <v>0.01</v>
      </c>
      <c r="R2327" s="7" t="str">
        <f t="shared" si="49"/>
        <v>E:\附赠：Excel模板\精美EXCEL模板\其他1000例</v>
      </c>
      <c r="S2327" s="9">
        <v>43600.3821527778</v>
      </c>
      <c r="T2327" s="9">
        <v>43390.518125</v>
      </c>
    </row>
    <row r="2328" spans="14:20">
      <c r="N2328" s="7" t="str">
        <f>HYPERLINK("E:\附赠：Excel模板\精美EXCEL模板\其他1000例\单位申请贷款贴息表.xls","单位申请贷款贴息表.xls")</f>
        <v>单位申请贷款贴息表.xls</v>
      </c>
      <c r="Q2328">
        <v>0.04</v>
      </c>
      <c r="R2328" s="7" t="str">
        <f t="shared" si="49"/>
        <v>E:\附赠：Excel模板\精美EXCEL模板\其他1000例</v>
      </c>
      <c r="S2328" s="9">
        <v>43600.3821527778</v>
      </c>
      <c r="T2328" s="9">
        <v>43390.518125</v>
      </c>
    </row>
    <row r="2329" spans="14:20">
      <c r="N2329" s="7" t="str">
        <f>HYPERLINK("E:\附赠：Excel模板\精美EXCEL模板\其他1000例\单位财务工作检查记录.xls","单位财务工作检查记录.xls")</f>
        <v>单位财务工作检查记录.xls</v>
      </c>
      <c r="Q2329">
        <v>0.03</v>
      </c>
      <c r="R2329" s="7" t="str">
        <f t="shared" si="49"/>
        <v>E:\附赠：Excel模板\精美EXCEL模板\其他1000例</v>
      </c>
      <c r="S2329" s="9">
        <v>43600.3821527778</v>
      </c>
      <c r="T2329" s="9">
        <v>43390.518125</v>
      </c>
    </row>
    <row r="2330" spans="14:20">
      <c r="N2330" s="7" t="str">
        <f>HYPERLINK("E:\附赠：Excel模板\精美EXCEL模板\其他1000例\卫生、中医事业单位基本数字表.xls","卫生、中医事业单位基本数字表.xls")</f>
        <v>卫生、中医事业单位基本数字表.xls</v>
      </c>
      <c r="Q2330">
        <v>0.02</v>
      </c>
      <c r="R2330" s="7" t="str">
        <f t="shared" si="49"/>
        <v>E:\附赠：Excel模板\精美EXCEL模板\其他1000例</v>
      </c>
      <c r="S2330" s="9">
        <v>43600.3821527778</v>
      </c>
      <c r="T2330" s="9">
        <v>43390.5174074074</v>
      </c>
    </row>
    <row r="2331" spans="14:20">
      <c r="N2331" s="7" t="str">
        <f>HYPERLINK("E:\附赠：Excel模板\精美EXCEL模板\其他1000例\卫生、中医事业单位收支表.xls","卫生、中医事业单位收支表.xls")</f>
        <v>卫生、中医事业单位收支表.xls</v>
      </c>
      <c r="Q2331">
        <v>0.02</v>
      </c>
      <c r="R2331" s="7" t="str">
        <f t="shared" si="49"/>
        <v>E:\附赠：Excel模板\精美EXCEL模板\其他1000例</v>
      </c>
      <c r="S2331" s="9">
        <v>43600.3821527778</v>
      </c>
      <c r="T2331" s="9">
        <v>43390.5173842593</v>
      </c>
    </row>
    <row r="2332" spans="14:20">
      <c r="N2332" s="7" t="str">
        <f>HYPERLINK("E:\附赠：Excel模板\精美EXCEL模板\其他1000例\卫生事业单位资产负债表.xls","卫生事业单位资产负债表.xls")</f>
        <v>卫生事业单位资产负债表.xls</v>
      </c>
      <c r="Q2332">
        <v>0.02</v>
      </c>
      <c r="R2332" s="7" t="str">
        <f t="shared" si="49"/>
        <v>E:\附赠：Excel模板\精美EXCEL模板\其他1000例</v>
      </c>
      <c r="S2332" s="9">
        <v>43600.3821527778</v>
      </c>
      <c r="T2332" s="9">
        <v>43390.5173842593</v>
      </c>
    </row>
    <row r="2333" spans="14:20">
      <c r="N2333" s="7" t="str">
        <f>HYPERLINK("E:\附赠：Excel模板\精美EXCEL模板\其他1000例\卫生支出统计表.xls","卫生支出统计表.xls")</f>
        <v>卫生支出统计表.xls</v>
      </c>
      <c r="Q2333">
        <v>0.02</v>
      </c>
      <c r="R2333" s="7" t="str">
        <f t="shared" si="49"/>
        <v>E:\附赠：Excel模板\精美EXCEL模板\其他1000例</v>
      </c>
      <c r="S2333" s="9">
        <v>43600.3821527778</v>
      </c>
      <c r="T2333" s="9">
        <v>43390.5173842593</v>
      </c>
    </row>
    <row r="2334" spans="14:20">
      <c r="N2334" s="7" t="str">
        <f>HYPERLINK("E:\附赠：Excel模板\精美EXCEL模板\其他1000例\卫生机构基本建设情况表1.xls","卫生机构基本建设情况表1.xls")</f>
        <v>卫生机构基本建设情况表1.xls</v>
      </c>
      <c r="Q2334">
        <v>0.02</v>
      </c>
      <c r="R2334" s="7" t="str">
        <f t="shared" si="49"/>
        <v>E:\附赠：Excel模板\精美EXCEL模板\其他1000例</v>
      </c>
      <c r="S2334" s="9">
        <v>43600.3821527778</v>
      </c>
      <c r="T2334" s="9">
        <v>43390.5173842593</v>
      </c>
    </row>
    <row r="2335" spans="14:20">
      <c r="N2335" s="7" t="str">
        <f>HYPERLINK("E:\附赠：Excel模板\精美EXCEL模板\其他1000例\卫生机构基本建设情况表2.xls","卫生机构基本建设情况表2.xls")</f>
        <v>卫生机构基本建设情况表2.xls</v>
      </c>
      <c r="Q2335">
        <v>0.02</v>
      </c>
      <c r="R2335" s="7" t="str">
        <f t="shared" si="49"/>
        <v>E:\附赠：Excel模板\精美EXCEL模板\其他1000例</v>
      </c>
      <c r="S2335" s="9">
        <v>43600.3821527778</v>
      </c>
      <c r="T2335" s="9">
        <v>43390.5173842593</v>
      </c>
    </row>
    <row r="2336" spans="14:20">
      <c r="N2336" s="7" t="str">
        <f>HYPERLINK("E:\附赠：Excel模板\精美EXCEL模板\其他1000例\卫生机构基本建设投资完成情况调查表.xls","卫生机构基本建设投资完成情况调查表.xls")</f>
        <v>卫生机构基本建设投资完成情况调查表.xls</v>
      </c>
      <c r="Q2336">
        <v>0.02</v>
      </c>
      <c r="R2336" s="7" t="str">
        <f t="shared" si="49"/>
        <v>E:\附赠：Excel模板\精美EXCEL模板\其他1000例</v>
      </c>
      <c r="S2336" s="9">
        <v>43600.3821527778</v>
      </c>
      <c r="T2336" s="9">
        <v>43390.5173842593</v>
      </c>
    </row>
    <row r="2337" spans="14:20">
      <c r="N2337" s="7" t="str">
        <f>HYPERLINK("E:\附赠：Excel模板\精美EXCEL模板\其他1000例\卫生部门效益统计.xls","卫生部门效益统计.xls")</f>
        <v>卫生部门效益统计.xls</v>
      </c>
      <c r="Q2337">
        <v>0.02</v>
      </c>
      <c r="R2337" s="7" t="str">
        <f t="shared" si="49"/>
        <v>E:\附赠：Excel模板\精美EXCEL模板\其他1000例</v>
      </c>
      <c r="S2337" s="9">
        <v>43600.3821527778</v>
      </c>
      <c r="T2337" s="9">
        <v>43390.5173842593</v>
      </c>
    </row>
    <row r="2338" spans="14:20">
      <c r="N2338" s="7" t="str">
        <f>HYPERLINK("E:\附赠：Excel模板\精美EXCEL模板\其他1000例\历届知名校友名册.xls","历届知名校友名册.xls")</f>
        <v>历届知名校友名册.xls</v>
      </c>
      <c r="Q2338">
        <v>0.02</v>
      </c>
      <c r="R2338" s="7" t="str">
        <f t="shared" si="49"/>
        <v>E:\附赠：Excel模板\精美EXCEL模板\其他1000例</v>
      </c>
      <c r="S2338" s="9">
        <v>43600.3821527778</v>
      </c>
      <c r="T2338" s="9">
        <v>43390.5177777778</v>
      </c>
    </row>
    <row r="2339" spans="14:20">
      <c r="N2339" s="7" t="str">
        <f>HYPERLINK("E:\附赠：Excel模板\精美EXCEL模板\其他1000例\参加国外学习班(展览)报名表.xls","参加国外学习班(展览)报名表.xls")</f>
        <v>参加国外学习班(展览)报名表.xls</v>
      </c>
      <c r="Q2339">
        <v>0.02</v>
      </c>
      <c r="R2339" s="7" t="str">
        <f t="shared" si="49"/>
        <v>E:\附赠：Excel模板\精美EXCEL模板\其他1000例</v>
      </c>
      <c r="S2339" s="9">
        <v>43600.3821527778</v>
      </c>
      <c r="T2339" s="9">
        <v>43390.5182175926</v>
      </c>
    </row>
    <row r="2340" spans="14:20">
      <c r="N2340" s="7" t="str">
        <f>HYPERLINK("E:\附赠：Excel模板\精美EXCEL模板\其他1000例\发票领用报表.xls","发票领用报表.xls")</f>
        <v>发票领用报表.xls</v>
      </c>
      <c r="Q2340">
        <v>0.02</v>
      </c>
      <c r="R2340" s="7" t="str">
        <f t="shared" si="49"/>
        <v>E:\附赠：Excel模板\精美EXCEL模板\其他1000例</v>
      </c>
      <c r="S2340" s="9">
        <v>43600.3821527778</v>
      </c>
      <c r="T2340" s="9">
        <v>43390.5180787037</v>
      </c>
    </row>
    <row r="2341" spans="14:20">
      <c r="N2341" s="7" t="str">
        <f>HYPERLINK("E:\附赠：Excel模板\精美EXCEL模板\其他1000例\变动图表.xls","变动图表.xls")</f>
        <v>变动图表.xls</v>
      </c>
      <c r="Q2341">
        <v>0.05</v>
      </c>
      <c r="R2341" s="7" t="str">
        <f t="shared" si="49"/>
        <v>E:\附赠：Excel模板\精美EXCEL模板\其他1000例</v>
      </c>
      <c r="S2341" s="9">
        <v>43600.3821527778</v>
      </c>
      <c r="T2341" s="9">
        <v>43390.518287037</v>
      </c>
    </row>
    <row r="2342" spans="14:20">
      <c r="N2342" s="7" t="str">
        <f>HYPERLINK("E:\附赠：Excel模板\精美EXCEL模板\其他1000例\变更住房补贴汇总表.xls","变更住房补贴汇总表.xls")</f>
        <v>变更住房补贴汇总表.xls</v>
      </c>
      <c r="Q2342">
        <v>0.02</v>
      </c>
      <c r="R2342" s="7" t="str">
        <f t="shared" si="49"/>
        <v>E:\附赠：Excel模板\精美EXCEL模板\其他1000例</v>
      </c>
      <c r="S2342" s="9">
        <v>43600.3821527778</v>
      </c>
      <c r="T2342" s="9">
        <v>43390.518287037</v>
      </c>
    </row>
    <row r="2343" spans="14:20">
      <c r="N2343" s="7" t="str">
        <f>HYPERLINK("E:\附赠：Excel模板\精美EXCEL模板\其他1000例\各单位岗位津贴随月发放金额明细表1.xls","各单位岗位津贴随月发放金额明细表1.xls")</f>
        <v>各单位岗位津贴随月发放金额明细表1.xls</v>
      </c>
      <c r="Q2343">
        <v>0.07</v>
      </c>
      <c r="R2343" s="7" t="str">
        <f t="shared" si="49"/>
        <v>E:\附赠：Excel模板\精美EXCEL模板\其他1000例</v>
      </c>
      <c r="S2343" s="9">
        <v>43600.3821527778</v>
      </c>
      <c r="T2343" s="9">
        <v>43390.5180555556</v>
      </c>
    </row>
    <row r="2344" spans="14:20">
      <c r="N2344" s="7" t="str">
        <f>HYPERLINK("E:\附赠：Excel模板\精美EXCEL模板\其他1000例\各单位岗位津贴随月发放金额明细表2.xls","各单位岗位津贴随月发放金额明细表2.xls")</f>
        <v>各单位岗位津贴随月发放金额明细表2.xls</v>
      </c>
      <c r="Q2344">
        <v>0.02</v>
      </c>
      <c r="R2344" s="7" t="str">
        <f t="shared" si="49"/>
        <v>E:\附赠：Excel模板\精美EXCEL模板\其他1000例</v>
      </c>
      <c r="S2344" s="9">
        <v>43600.3821527778</v>
      </c>
      <c r="T2344" s="9">
        <v>43390.5180555556</v>
      </c>
    </row>
    <row r="2345" spans="14:20">
      <c r="N2345" s="7" t="str">
        <f>HYPERLINK("E:\附赠：Excel模板\精美EXCEL模板\其他1000例\各旅遊路線行程時間及團長安排匯總表.xls","各旅遊路線行程時間及團長安排匯總表.xls")</f>
        <v>各旅遊路線行程時間及團長安排匯總表.xls</v>
      </c>
      <c r="Q2345">
        <v>0.02</v>
      </c>
      <c r="R2345" s="7" t="str">
        <f t="shared" si="49"/>
        <v>E:\附赠：Excel模板\精美EXCEL模板\其他1000例</v>
      </c>
      <c r="S2345" s="9">
        <v>43600.3821527778</v>
      </c>
      <c r="T2345" s="9">
        <v>43390.5180324074</v>
      </c>
    </row>
    <row r="2346" spans="14:20">
      <c r="N2346" s="7" t="str">
        <f>HYPERLINK("E:\附赠：Excel模板\精美EXCEL模板\其他1000例\各环境指数统计表.xls","各环境指数统计表.xls")</f>
        <v>各环境指数统计表.xls</v>
      </c>
      <c r="Q2346">
        <v>0.02</v>
      </c>
      <c r="R2346" s="7" t="str">
        <f t="shared" si="49"/>
        <v>E:\附赠：Excel模板\精美EXCEL模板\其他1000例</v>
      </c>
      <c r="S2346" s="9">
        <v>43600.3821527778</v>
      </c>
      <c r="T2346" s="9">
        <v>43390.5180555556</v>
      </c>
    </row>
    <row r="2347" spans="14:20">
      <c r="N2347" s="7" t="str">
        <f>HYPERLINK("E:\附赠：Excel模板\精美EXCEL模板\其他1000例\各类体育竞赛获奖情况统计表.xls","各类体育竞赛获奖情况统计表.xls")</f>
        <v>各类体育竞赛获奖情况统计表.xls</v>
      </c>
      <c r="Q2347">
        <v>0.02</v>
      </c>
      <c r="R2347" s="7" t="str">
        <f t="shared" si="49"/>
        <v>E:\附赠：Excel模板\精美EXCEL模板\其他1000例</v>
      </c>
      <c r="S2347" s="9">
        <v>43600.3821527778</v>
      </c>
      <c r="T2347" s="9">
        <v>43390.5180555556</v>
      </c>
    </row>
    <row r="2348" spans="14:20">
      <c r="N2348" s="7" t="str">
        <f>HYPERLINK("E:\附赠：Excel模板\精美EXCEL模板\其他1000例\各类奖学金评定情况表.xls","各类奖学金评定情况表.xls")</f>
        <v>各类奖学金评定情况表.xls</v>
      </c>
      <c r="Q2348">
        <v>0.02</v>
      </c>
      <c r="R2348" s="7" t="str">
        <f t="shared" si="49"/>
        <v>E:\附赠：Excel模板\精美EXCEL模板\其他1000例</v>
      </c>
      <c r="S2348" s="9">
        <v>43600.3821527778</v>
      </c>
      <c r="T2348" s="9">
        <v>43390.5180555556</v>
      </c>
    </row>
    <row r="2349" spans="14:20">
      <c r="N2349" s="7" t="str">
        <f>HYPERLINK("E:\附赠：Excel模板\精美EXCEL模板\其他1000例\合伙律师事务所建设情况问卷调查表.xls","合伙律师事务所建设情况问卷调查表.xls")</f>
        <v>合伙律师事务所建设情况问卷调查表.xls</v>
      </c>
      <c r="Q2349">
        <v>0.02</v>
      </c>
      <c r="R2349" s="7" t="str">
        <f t="shared" si="49"/>
        <v>E:\附赠：Excel模板\精美EXCEL模板\其他1000例</v>
      </c>
      <c r="S2349" s="9">
        <v>43600.3821527778</v>
      </c>
      <c r="T2349" s="9">
        <v>43390.517962963</v>
      </c>
    </row>
    <row r="2350" spans="14:20">
      <c r="N2350" s="7" t="str">
        <f>HYPERLINK("E:\附赠：Excel模板\精美EXCEL模板\其他1000例\合作医疗票据统计表.xls","合作医疗票据统计表.xls")</f>
        <v>合作医疗票据统计表.xls</v>
      </c>
      <c r="Q2350">
        <v>0.14</v>
      </c>
      <c r="R2350" s="7" t="str">
        <f t="shared" si="49"/>
        <v>E:\附赠：Excel模板\精美EXCEL模板\其他1000例</v>
      </c>
      <c r="S2350" s="9">
        <v>43600.3821527778</v>
      </c>
      <c r="T2350" s="9">
        <v>43390.517962963</v>
      </c>
    </row>
    <row r="2351" spans="14:20">
      <c r="N2351" s="7" t="str">
        <f>HYPERLINK("E:\附赠：Excel模板\精美EXCEL模板\其他1000例\合格醫院名單.xls","合格醫院名單.xls")</f>
        <v>合格醫院名單.xls</v>
      </c>
      <c r="Q2351">
        <v>0.02</v>
      </c>
      <c r="R2351" s="7" t="str">
        <f t="shared" si="49"/>
        <v>E:\附赠：Excel模板\精美EXCEL模板\其他1000例</v>
      </c>
      <c r="S2351" s="9">
        <v>43600.3821527778</v>
      </c>
      <c r="T2351" s="9">
        <v>43390.517962963</v>
      </c>
    </row>
    <row r="2352" spans="14:20">
      <c r="N2352" s="7" t="str">
        <f>HYPERLINK("E:\附赠：Excel模板\精美EXCEL模板\其他1000例\员工概况表.xls","员工概况表.xls")</f>
        <v>员工概况表.xls</v>
      </c>
      <c r="Q2352">
        <v>0.02</v>
      </c>
      <c r="R2352" s="7" t="str">
        <f t="shared" si="49"/>
        <v>E:\附赠：Excel模板\精美EXCEL模板\其他1000例</v>
      </c>
      <c r="S2352" s="9">
        <v>43600.3821527778</v>
      </c>
      <c r="T2352" s="9">
        <v>43390.5171064815</v>
      </c>
    </row>
    <row r="2353" spans="14:20">
      <c r="N2353" s="7" t="str">
        <f>HYPERLINK("E:\附赠：Excel模板\精美EXCEL模板\其他1000例\员工面试通过一览表.xls","员工面试通过一览表.xls")</f>
        <v>员工面试通过一览表.xls</v>
      </c>
      <c r="Q2353">
        <v>0.02</v>
      </c>
      <c r="R2353" s="7" t="str">
        <f t="shared" si="49"/>
        <v>E:\附赠：Excel模板\精美EXCEL模板\其他1000例</v>
      </c>
      <c r="S2353" s="9">
        <v>43600.3821527778</v>
      </c>
      <c r="T2353" s="9">
        <v>43390.5171064815</v>
      </c>
    </row>
    <row r="2354" spans="14:20">
      <c r="N2354" s="7" t="str">
        <f>HYPERLINK("E:\附赠：Excel模板\精美EXCEL模板\其他1000例\咨询单位资质系统.xls","咨询单位资质系统.xls")</f>
        <v>咨询单位资质系统.xls</v>
      </c>
      <c r="Q2354">
        <v>0.15</v>
      </c>
      <c r="R2354" s="7" t="str">
        <f t="shared" si="49"/>
        <v>E:\附赠：Excel模板\精美EXCEL模板\其他1000例</v>
      </c>
      <c r="S2354" s="9">
        <v>43600.3821527778</v>
      </c>
      <c r="T2354" s="9">
        <v>43390.5170138889</v>
      </c>
    </row>
    <row r="2355" spans="14:20">
      <c r="N2355" s="7" t="str">
        <f>HYPERLINK("E:\附赠：Excel模板\精美EXCEL模板\其他1000例\品学兼优毕业生名单.xls","品学兼优毕业生名单.xls")</f>
        <v>品学兼优毕业生名单.xls</v>
      </c>
      <c r="Q2355">
        <v>0.02</v>
      </c>
      <c r="R2355" s="7" t="str">
        <f t="shared" si="49"/>
        <v>E:\附赠：Excel模板\精美EXCEL模板\其他1000例</v>
      </c>
      <c r="S2355" s="9">
        <v>43600.3821527778</v>
      </c>
      <c r="T2355" s="9">
        <v>43390.517662037</v>
      </c>
    </row>
    <row r="2356" spans="14:20">
      <c r="N2356" s="7" t="str">
        <f>HYPERLINK("E:\附赠：Excel模板\精美EXCEL模板\其他1000例\商务经营情况明细表.xls","商务经营情况明细表.xls")</f>
        <v>商务经营情况明细表.xls</v>
      </c>
      <c r="Q2356">
        <v>0.02</v>
      </c>
      <c r="R2356" s="7" t="str">
        <f t="shared" si="49"/>
        <v>E:\附赠：Excel模板\精美EXCEL模板\其他1000例</v>
      </c>
      <c r="S2356" s="9">
        <v>43600.3821527778</v>
      </c>
      <c r="T2356" s="9">
        <v>43390.5175694444</v>
      </c>
    </row>
    <row r="2357" spans="14:20">
      <c r="N2357" s="7" t="str">
        <f>HYPERLINK("E:\附赠：Excel模板\精美EXCEL模板\其他1000例\商品经营情况明细表.xls","商品经营情况明细表.xls")</f>
        <v>商品经营情况明细表.xls</v>
      </c>
      <c r="Q2357">
        <v>0.02</v>
      </c>
      <c r="R2357" s="7" t="str">
        <f t="shared" si="49"/>
        <v>E:\附赠：Excel模板\精美EXCEL模板\其他1000例</v>
      </c>
      <c r="S2357" s="9">
        <v>43600.3821527778</v>
      </c>
      <c r="T2357" s="9">
        <v>43390.5175694444</v>
      </c>
    </row>
    <row r="2358" spans="14:20">
      <c r="N2358" s="7" t="str">
        <f>HYPERLINK("E:\附赠：Excel模板\精美EXCEL模板\其他1000例\商品订购单.xls","商品订购单.xls")</f>
        <v>商品订购单.xls</v>
      </c>
      <c r="Q2358">
        <v>0.02</v>
      </c>
      <c r="R2358" s="7" t="str">
        <f t="shared" si="49"/>
        <v>E:\附赠：Excel模板\精美EXCEL模板\其他1000例</v>
      </c>
      <c r="S2358" s="9">
        <v>43600.3821527778</v>
      </c>
      <c r="T2358" s="9">
        <v>43390.5175694444</v>
      </c>
    </row>
    <row r="2359" spans="14:20">
      <c r="N2359" s="7" t="str">
        <f>HYPERLINK("E:\附赠：Excel模板\精美EXCEL模板\其他1000例\商品采购项目计划申请表.xls","商品采购项目计划申请表.xls")</f>
        <v>商品采购项目计划申请表.xls</v>
      </c>
      <c r="Q2359">
        <v>0.02</v>
      </c>
      <c r="R2359" s="7" t="str">
        <f t="shared" si="49"/>
        <v>E:\附赠：Excel模板\精美EXCEL模板\其他1000例</v>
      </c>
      <c r="S2359" s="9">
        <v>43600.3821527778</v>
      </c>
      <c r="T2359" s="9">
        <v>43390.5175694444</v>
      </c>
    </row>
    <row r="2360" spans="14:20">
      <c r="N2360" s="7" t="str">
        <f>HYPERLINK("E:\附赠：Excel模板\精美EXCEL模板\其他1000例\四项教学经费情况统计表.xls","四项教学经费情况统计表.xls")</f>
        <v>四项教学经费情况统计表.xls</v>
      </c>
      <c r="Q2360">
        <v>0.03</v>
      </c>
      <c r="R2360" s="7" t="str">
        <f t="shared" si="49"/>
        <v>E:\附赠：Excel模板\精美EXCEL模板\其他1000例</v>
      </c>
      <c r="S2360" s="9">
        <v>43600.3821527778</v>
      </c>
      <c r="T2360" s="9">
        <v>43390.5174305556</v>
      </c>
    </row>
    <row r="2361" spans="14:20">
      <c r="N2361" s="7" t="str">
        <f>HYPERLINK("E:\附赠：Excel模板\精美EXCEL模板\其他1000例\园林绿化工程专项验收与竣工备案证明书.xls","园林绿化工程专项验收与竣工备案证明书.xls")</f>
        <v>园林绿化工程专项验收与竣工备案证明书.xls</v>
      </c>
      <c r="Q2361">
        <v>0.02</v>
      </c>
      <c r="R2361" s="7" t="str">
        <f t="shared" si="49"/>
        <v>E:\附赠：Excel模板\精美EXCEL模板\其他1000例</v>
      </c>
      <c r="S2361" s="9">
        <v>43600.3821527778</v>
      </c>
      <c r="T2361" s="9">
        <v>43390.5171064815</v>
      </c>
    </row>
    <row r="2362" spans="14:20">
      <c r="N2362" s="7" t="str">
        <f>HYPERLINK("E:\附赠：Excel模板\精美EXCEL模板\其他1000例\困难学生资助申请表.xls","困难学生资助申请表.xls")</f>
        <v>困难学生资助申请表.xls</v>
      </c>
      <c r="Q2362">
        <v>0.02</v>
      </c>
      <c r="R2362" s="7" t="str">
        <f t="shared" si="49"/>
        <v>E:\附赠：Excel模板\精美EXCEL模板\其他1000例</v>
      </c>
      <c r="S2362" s="9">
        <v>43600.3821527778</v>
      </c>
      <c r="T2362" s="9">
        <v>43390.5177777778</v>
      </c>
    </row>
    <row r="2363" spans="14:20">
      <c r="N2363" s="7" t="str">
        <f>HYPERLINK("E:\附赠：Excel模板\精美EXCEL模板\其他1000例\固定资产价值重估申报表.xls","固定资产价值重估申报表.xls")</f>
        <v>固定资产价值重估申报表.xls</v>
      </c>
      <c r="Q2363">
        <v>0.02</v>
      </c>
      <c r="R2363" s="7" t="str">
        <f t="shared" ref="R2363:R2426" si="50">HYPERLINK("E:\附赠：Excel模板\精美EXCEL模板\其他1000例","E:\附赠：Excel模板\精美EXCEL模板\其他1000例")</f>
        <v>E:\附赠：Excel模板\精美EXCEL模板\其他1000例</v>
      </c>
      <c r="S2363" s="9">
        <v>43600.3821527778</v>
      </c>
      <c r="T2363" s="9">
        <v>43390.5180092593</v>
      </c>
    </row>
    <row r="2364" spans="14:20">
      <c r="N2364" s="7" t="str">
        <f>HYPERLINK("E:\附赠：Excel模板\精美EXCEL模板\其他1000例\固定资产分类表.xls","固定资产分类表.xls")</f>
        <v>固定资产分类表.xls</v>
      </c>
      <c r="Q2364">
        <v>0.03</v>
      </c>
      <c r="R2364" s="7" t="str">
        <f t="shared" si="50"/>
        <v>E:\附赠：Excel模板\精美EXCEL模板\其他1000例</v>
      </c>
      <c r="S2364" s="9">
        <v>43600.3821527778</v>
      </c>
      <c r="T2364" s="9">
        <v>43390.5180092593</v>
      </c>
    </row>
    <row r="2365" spans="14:20">
      <c r="N2365" s="7" t="str">
        <f>HYPERLINK("E:\附赠：Excel模板\精美EXCEL模板\其他1000例\固定资产明细表.xls","固定资产明细表.xls")</f>
        <v>固定资产明细表.xls</v>
      </c>
      <c r="Q2365">
        <v>0.02</v>
      </c>
      <c r="R2365" s="7" t="str">
        <f t="shared" si="50"/>
        <v>E:\附赠：Excel模板\精美EXCEL模板\其他1000例</v>
      </c>
      <c r="S2365" s="9">
        <v>43600.3821527778</v>
      </c>
      <c r="T2365" s="9">
        <v>43390.5179861111</v>
      </c>
    </row>
    <row r="2366" spans="14:20">
      <c r="N2366" s="7" t="str">
        <f>HYPERLINK("E:\附赠：Excel模板\精美EXCEL模板\其他1000例\固定资产汇兑表.xls","固定资产汇兑表.xls")</f>
        <v>固定资产汇兑表.xls</v>
      </c>
      <c r="Q2366">
        <v>0.02</v>
      </c>
      <c r="R2366" s="7" t="str">
        <f t="shared" si="50"/>
        <v>E:\附赠：Excel模板\精美EXCEL模板\其他1000例</v>
      </c>
      <c r="S2366" s="9">
        <v>43600.3821527778</v>
      </c>
      <c r="T2366" s="9">
        <v>43390.5180092593</v>
      </c>
    </row>
    <row r="2367" spans="14:20">
      <c r="N2367" s="7" t="str">
        <f>HYPERLINK("E:\附赠：Excel模板\精美EXCEL模板\其他1000例\国土资源综合统计月报报表.xls","国土资源综合统计月报报表.xls")</f>
        <v>国土资源综合统计月报报表.xls</v>
      </c>
      <c r="Q2367">
        <v>0.02</v>
      </c>
      <c r="R2367" s="7" t="str">
        <f t="shared" si="50"/>
        <v>E:\附赠：Excel模板\精美EXCEL模板\其他1000例</v>
      </c>
      <c r="S2367" s="9">
        <v>43600.3821527778</v>
      </c>
      <c r="T2367" s="9">
        <v>43390.5179861111</v>
      </c>
    </row>
    <row r="2368" spans="14:20">
      <c r="N2368" s="7" t="str">
        <f>HYPERLINK("E:\附赠：Excel模板\精美EXCEL模板\其他1000例\国土资源违法案件查处.xls","国土资源违法案件查处.xls")</f>
        <v>国土资源违法案件查处.xls</v>
      </c>
      <c r="Q2368">
        <v>0.02</v>
      </c>
      <c r="R2368" s="7" t="str">
        <f t="shared" si="50"/>
        <v>E:\附赠：Excel模板\精美EXCEL模板\其他1000例</v>
      </c>
      <c r="S2368" s="9">
        <v>43600.3821527778</v>
      </c>
      <c r="T2368" s="9">
        <v>43390.5179861111</v>
      </c>
    </row>
    <row r="2369" spans="14:20">
      <c r="N2369" s="7" t="str">
        <f>HYPERLINK("E:\附赠：Excel模板\精美EXCEL模板\其他1000例\国家公务员机关工作者录用计划执行情况统计表.xls","国家公务员机关工作者录用计划执行情况统计表.xls")</f>
        <v>国家公务员机关工作者录用计划执行情况统计表.xls</v>
      </c>
      <c r="Q2369">
        <v>0.02</v>
      </c>
      <c r="R2369" s="7" t="str">
        <f t="shared" si="50"/>
        <v>E:\附赠：Excel模板\精美EXCEL模板\其他1000例</v>
      </c>
      <c r="S2369" s="9">
        <v>43600.3821527778</v>
      </c>
      <c r="T2369" s="9">
        <v>43390.5179861111</v>
      </c>
    </row>
    <row r="2370" spans="14:20">
      <c r="N2370" s="7" t="str">
        <f>HYPERLINK("E:\附赠：Excel模板\精美EXCEL模板\其他1000例\国家助学贷款学生家庭所在地证明.xls","国家助学贷款学生家庭所在地证明.xls")</f>
        <v>国家助学贷款学生家庭所在地证明.xls</v>
      </c>
      <c r="Q2370">
        <v>0.02</v>
      </c>
      <c r="R2370" s="7" t="str">
        <f t="shared" si="50"/>
        <v>E:\附赠：Excel模板\精美EXCEL模板\其他1000例</v>
      </c>
      <c r="S2370" s="9">
        <v>43600.3821527778</v>
      </c>
      <c r="T2370" s="9">
        <v>43390.5179861111</v>
      </c>
    </row>
    <row r="2371" spans="14:20">
      <c r="N2371" s="7" t="str">
        <f>HYPERLINK("E:\附赠：Excel模板\精美EXCEL模板\其他1000例\国家政策内的津贴补贴调查表.xls","国家政策内的津贴补贴调查表.xls")</f>
        <v>国家政策内的津贴补贴调查表.xls</v>
      </c>
      <c r="Q2371">
        <v>0.02</v>
      </c>
      <c r="R2371" s="7" t="str">
        <f t="shared" si="50"/>
        <v>E:\附赠：Excel模板\精美EXCEL模板\其他1000例</v>
      </c>
      <c r="S2371" s="9">
        <v>43600.3821527778</v>
      </c>
      <c r="T2371" s="9">
        <v>43390.5179861111</v>
      </c>
    </row>
    <row r="2372" spans="14:20">
      <c r="N2372" s="7" t="str">
        <f>HYPERLINK("E:\附赠：Excel模板\精美EXCEL模板\其他1000例\国家社会科学基金项目申报数据代码表.xls","国家社会科学基金项目申报数据代码表.xls")</f>
        <v>国家社会科学基金项目申报数据代码表.xls</v>
      </c>
      <c r="Q2372">
        <v>0.04</v>
      </c>
      <c r="R2372" s="7" t="str">
        <f t="shared" si="50"/>
        <v>E:\附赠：Excel模板\精美EXCEL模板\其他1000例</v>
      </c>
      <c r="S2372" s="9">
        <v>43600.3821527778</v>
      </c>
      <c r="T2372" s="9">
        <v>43390.5179861111</v>
      </c>
    </row>
    <row r="2373" spans="14:20">
      <c r="N2373" s="7" t="str">
        <f>HYPERLINK("E:\附赠：Excel模板\精美EXCEL模板\其他1000例\国家粮食局库存统计.xls","国家粮食局库存统计.xls")</f>
        <v>国家粮食局库存统计.xls</v>
      </c>
      <c r="Q2373">
        <v>0.04</v>
      </c>
      <c r="R2373" s="7" t="str">
        <f t="shared" si="50"/>
        <v>E:\附赠：Excel模板\精美EXCEL模板\其他1000例</v>
      </c>
      <c r="S2373" s="9">
        <v>43600.3821527778</v>
      </c>
      <c r="T2373" s="9">
        <v>43390.5179861111</v>
      </c>
    </row>
    <row r="2374" spans="14:20">
      <c r="N2374" s="7" t="str">
        <f>HYPERLINK("E:\附赠：Excel模板\精美EXCEL模板\其他1000例\国家风景名胜区申请国家补助项目表.xls","国家风景名胜区申请国家补助项目表.xls")</f>
        <v>国家风景名胜区申请国家补助项目表.xls</v>
      </c>
      <c r="Q2374">
        <v>0.02</v>
      </c>
      <c r="R2374" s="7" t="str">
        <f t="shared" si="50"/>
        <v>E:\附赠：Excel模板\精美EXCEL模板\其他1000例</v>
      </c>
      <c r="S2374" s="9">
        <v>43600.3821527778</v>
      </c>
      <c r="T2374" s="9">
        <v>43390.5179861111</v>
      </c>
    </row>
    <row r="2375" spans="14:20">
      <c r="N2375" s="7" t="str">
        <f>HYPERLINK("E:\附赠：Excel模板\精美EXCEL模板\其他1000例\国库集中支付计划单.xls","国库集中支付计划单.xls")</f>
        <v>国库集中支付计划单.xls</v>
      </c>
      <c r="Q2375">
        <v>0.01</v>
      </c>
      <c r="R2375" s="7" t="str">
        <f t="shared" si="50"/>
        <v>E:\附赠：Excel模板\精美EXCEL模板\其他1000例</v>
      </c>
      <c r="S2375" s="9">
        <v>43600.3821527778</v>
      </c>
      <c r="T2375" s="9">
        <v>43390.5179861111</v>
      </c>
    </row>
    <row r="2376" spans="14:20">
      <c r="N2376" s="7" t="str">
        <f>HYPERLINK("E:\附赠：Excel模板\精美EXCEL模板\其他1000例\国有产权（股权）交易上市申请书.xls","国有产权（股权）交易上市申请书.xls")</f>
        <v>国有产权（股权）交易上市申请书.xls</v>
      </c>
      <c r="Q2376">
        <v>0.07</v>
      </c>
      <c r="R2376" s="7" t="str">
        <f t="shared" si="50"/>
        <v>E:\附赠：Excel模板\精美EXCEL模板\其他1000例</v>
      </c>
      <c r="S2376" s="9">
        <v>43600.3821527778</v>
      </c>
      <c r="T2376" s="9">
        <v>43390.5179861111</v>
      </c>
    </row>
    <row r="2377" spans="14:20">
      <c r="N2377" s="7" t="str">
        <f>HYPERLINK("E:\附赠：Excel模板\精美EXCEL模板\其他1000例\国有农牧渔良种场繁殖情况调查表.xls","国有农牧渔良种场繁殖情况调查表.xls")</f>
        <v>国有农牧渔良种场繁殖情况调查表.xls</v>
      </c>
      <c r="Q2377">
        <v>0.01</v>
      </c>
      <c r="R2377" s="7" t="str">
        <f t="shared" si="50"/>
        <v>E:\附赠：Excel模板\精美EXCEL模板\其他1000例</v>
      </c>
      <c r="S2377" s="9">
        <v>43600.3821527778</v>
      </c>
      <c r="T2377" s="9">
        <v>43390.5179861111</v>
      </c>
    </row>
    <row r="2378" spans="14:20">
      <c r="N2378" s="7" t="str">
        <f>HYPERLINK("E:\附赠：Excel模板\精美EXCEL模板\其他1000例\国民经济行业分类职工人数和工资情况.xls","国民经济行业分类职工人数和工资情况.xls")</f>
        <v>国民经济行业分类职工人数和工资情况.xls</v>
      </c>
      <c r="Q2378">
        <v>0.02</v>
      </c>
      <c r="R2378" s="7" t="str">
        <f t="shared" si="50"/>
        <v>E:\附赠：Excel模板\精美EXCEL模板\其他1000例</v>
      </c>
      <c r="S2378" s="9">
        <v>43600.3821527778</v>
      </c>
      <c r="T2378" s="9">
        <v>43390.5179861111</v>
      </c>
    </row>
    <row r="2379" spans="14:20">
      <c r="N2379" s="7" t="str">
        <f>HYPERLINK("E:\附赠：Excel模板\精美EXCEL模板\其他1000例\国际旅游人数和外汇收入（1985－2001年）.xls","国际旅游人数和外汇收入（1985－2001年）.xls")</f>
        <v>国际旅游人数和外汇收入（1985－2001年）.xls</v>
      </c>
      <c r="Q2379">
        <v>0.02</v>
      </c>
      <c r="R2379" s="7" t="str">
        <f t="shared" si="50"/>
        <v>E:\附赠：Excel模板\精美EXCEL模板\其他1000例</v>
      </c>
      <c r="S2379" s="9">
        <v>43600.3821527778</v>
      </c>
      <c r="T2379" s="9">
        <v>43390.5179861111</v>
      </c>
    </row>
    <row r="2380" spans="14:20">
      <c r="N2380" s="7" t="str">
        <f>HYPERLINK("E:\附赠：Excel模板\精美EXCEL模板\其他1000例\土地使用权调查表.xls","土地使用权调查表.xls")</f>
        <v>土地使用权调查表.xls</v>
      </c>
      <c r="Q2380">
        <v>0.02</v>
      </c>
      <c r="R2380" s="7" t="str">
        <f t="shared" si="50"/>
        <v>E:\附赠：Excel模板\精美EXCEL模板\其他1000例</v>
      </c>
      <c r="S2380" s="9">
        <v>43600.3821527778</v>
      </c>
      <c r="T2380" s="9">
        <v>43390.5174074074</v>
      </c>
    </row>
    <row r="2381" spans="14:20">
      <c r="N2381" s="7" t="str">
        <f>HYPERLINK("E:\附赠：Excel模板\精美EXCEL模板\其他1000例\土地类资产情况明细表.xls","土地类资产情况明细表.xls")</f>
        <v>土地类资产情况明细表.xls</v>
      </c>
      <c r="Q2381">
        <v>0.01</v>
      </c>
      <c r="R2381" s="7" t="str">
        <f t="shared" si="50"/>
        <v>E:\附赠：Excel模板\精美EXCEL模板\其他1000例</v>
      </c>
      <c r="S2381" s="9">
        <v>43600.3821527778</v>
      </c>
      <c r="T2381" s="9">
        <v>43390.5174074074</v>
      </c>
    </row>
    <row r="2382" spans="14:20">
      <c r="N2382" s="7" t="str">
        <f>HYPERLINK("E:\附赠：Excel模板\精美EXCEL模板\其他1000例\土地行政管理.xls","土地行政管理.xls")</f>
        <v>土地行政管理.xls</v>
      </c>
      <c r="Q2382">
        <v>0.02</v>
      </c>
      <c r="R2382" s="7" t="str">
        <f t="shared" si="50"/>
        <v>E:\附赠：Excel模板\精美EXCEL模板\其他1000例</v>
      </c>
      <c r="S2382" s="9">
        <v>43600.3821527778</v>
      </c>
      <c r="T2382" s="9">
        <v>43390.5174074074</v>
      </c>
    </row>
    <row r="2383" spans="14:20">
      <c r="N2383" s="7" t="str">
        <f>HYPERLINK("E:\附赠：Excel模板\精美EXCEL模板\其他1000例\土地调查基本情况表.xls","土地调查基本情况表.xls")</f>
        <v>土地调查基本情况表.xls</v>
      </c>
      <c r="Q2383">
        <v>0.02</v>
      </c>
      <c r="R2383" s="7" t="str">
        <f t="shared" si="50"/>
        <v>E:\附赠：Excel模板\精美EXCEL模板\其他1000例</v>
      </c>
      <c r="S2383" s="9">
        <v>43600.3821527778</v>
      </c>
      <c r="T2383" s="9">
        <v>43390.5174305556</v>
      </c>
    </row>
    <row r="2384" spans="14:20">
      <c r="N2384" s="7" t="str">
        <f>HYPERLINK("E:\附赠：Excel模板\精美EXCEL模板\其他1000例\土地资产预估价值明细表.xls","土地资产预估价值明细表.xls")</f>
        <v>土地资产预估价值明细表.xls</v>
      </c>
      <c r="Q2384">
        <v>0.02</v>
      </c>
      <c r="R2384" s="7" t="str">
        <f t="shared" si="50"/>
        <v>E:\附赠：Excel模板\精美EXCEL模板\其他1000例</v>
      </c>
      <c r="S2384" s="9">
        <v>43600.3821527778</v>
      </c>
      <c r="T2384" s="9">
        <v>43390.5174074074</v>
      </c>
    </row>
    <row r="2385" spans="14:20">
      <c r="N2385" s="7" t="str">
        <f>HYPERLINK("E:\附赠：Excel模板\精美EXCEL模板\其他1000例\地址引用替换.xls","地址引用替换.xls")</f>
        <v>地址引用替换.xls</v>
      </c>
      <c r="Q2385">
        <v>0.02</v>
      </c>
      <c r="R2385" s="7" t="str">
        <f t="shared" si="50"/>
        <v>E:\附赠：Excel模板\精美EXCEL模板\其他1000例</v>
      </c>
      <c r="S2385" s="9">
        <v>43600.3821527778</v>
      </c>
      <c r="T2385" s="9">
        <v>43390.5181018518</v>
      </c>
    </row>
    <row r="2386" spans="14:20">
      <c r="N2386" s="7" t="str">
        <f>HYPERLINK("E:\附赠：Excel模板\精美EXCEL模板\其他1000例\地方财政收入主要项目.xls","地方财政收入主要项目.xls")</f>
        <v>地方财政收入主要项目.xls</v>
      </c>
      <c r="Q2386">
        <v>0.02</v>
      </c>
      <c r="R2386" s="7" t="str">
        <f t="shared" si="50"/>
        <v>E:\附赠：Excel模板\精美EXCEL模板\其他1000例</v>
      </c>
      <c r="S2386" s="9">
        <v>43600.3821527778</v>
      </c>
      <c r="T2386" s="9">
        <v>43390.5181018518</v>
      </c>
    </row>
    <row r="2387" spans="14:20">
      <c r="N2387" s="7" t="str">
        <f>HYPERLINK("E:\附赠：Excel模板\精美EXCEL模板\其他1000例\地级行政单位统计指标目录.xls","地级行政单位统计指标目录.xls")</f>
        <v>地级行政单位统计指标目录.xls</v>
      </c>
      <c r="Q2387">
        <v>0.06</v>
      </c>
      <c r="R2387" s="7" t="str">
        <f t="shared" si="50"/>
        <v>E:\附赠：Excel模板\精美EXCEL模板\其他1000例</v>
      </c>
      <c r="S2387" s="9">
        <v>43600.3821527778</v>
      </c>
      <c r="T2387" s="9">
        <v>43390.5181018518</v>
      </c>
    </row>
    <row r="2388" spans="14:20">
      <c r="N2388" s="7" t="str">
        <f>HYPERLINK("E:\附赠：Excel模板\精美EXCEL模板\其他1000例\地质调查费用报表.xls","地质调查费用报表.xls")</f>
        <v>地质调查费用报表.xls</v>
      </c>
      <c r="Q2388">
        <v>0.04</v>
      </c>
      <c r="R2388" s="7" t="str">
        <f t="shared" si="50"/>
        <v>E:\附赠：Excel模板\精美EXCEL模板\其他1000例</v>
      </c>
      <c r="S2388" s="9">
        <v>43600.3821527778</v>
      </c>
      <c r="T2388" s="9">
        <v>43390.5181018518</v>
      </c>
    </row>
    <row r="2389" spans="14:20">
      <c r="N2389" s="7" t="str">
        <f>HYPERLINK("E:\附赠：Excel模板\精美EXCEL模板\其他1000例\场地使用费核定表.xls","场地使用费核定表.xls")</f>
        <v>场地使用费核定表.xls</v>
      </c>
      <c r="Q2389">
        <v>0.02</v>
      </c>
      <c r="R2389" s="7" t="str">
        <f t="shared" si="50"/>
        <v>E:\附赠：Excel模板\精美EXCEL模板\其他1000例</v>
      </c>
      <c r="S2389" s="9">
        <v>43600.3821527778</v>
      </c>
      <c r="T2389" s="9">
        <v>43390.5182175926</v>
      </c>
    </row>
    <row r="2390" spans="14:20">
      <c r="N2390" s="7" t="str">
        <f>HYPERLINK("E:\附赠：Excel模板\精美EXCEL模板\其他1000例\城市基本情况统计表.xls","城市基本情况统计表.xls")</f>
        <v>城市基本情况统计表.xls</v>
      </c>
      <c r="Q2390">
        <v>0.02</v>
      </c>
      <c r="R2390" s="7" t="str">
        <f t="shared" si="50"/>
        <v>E:\附赠：Excel模板\精美EXCEL模板\其他1000例</v>
      </c>
      <c r="S2390" s="9">
        <v>43600.3821527778</v>
      </c>
      <c r="T2390" s="9">
        <v>43390.5182175926</v>
      </c>
    </row>
    <row r="2391" spans="14:20">
      <c r="N2391" s="7" t="str">
        <f>HYPERLINK("E:\附赠：Excel模板\精美EXCEL模板\其他1000例\城市居民最低生活保障统计月报表.xls","城市居民最低生活保障统计月报表.xls")</f>
        <v>城市居民最低生活保障统计月报表.xls</v>
      </c>
      <c r="Q2391">
        <v>0.02</v>
      </c>
      <c r="R2391" s="7" t="str">
        <f t="shared" si="50"/>
        <v>E:\附赠：Excel模板\精美EXCEL模板\其他1000例</v>
      </c>
      <c r="S2391" s="9">
        <v>43600.3821527778</v>
      </c>
      <c r="T2391" s="9">
        <v>43390.5181944444</v>
      </c>
    </row>
    <row r="2392" spans="14:20">
      <c r="N2392" s="7" t="str">
        <f>HYPERLINK("E:\附赠：Excel模板\精美EXCEL模板\其他1000例\城市建设统计范围及指标体系.xls","城市建设统计范围及指标体系.xls")</f>
        <v>城市建设统计范围及指标体系.xls</v>
      </c>
      <c r="Q2392">
        <v>0.06</v>
      </c>
      <c r="R2392" s="7" t="str">
        <f t="shared" si="50"/>
        <v>E:\附赠：Excel模板\精美EXCEL模板\其他1000例</v>
      </c>
      <c r="S2392" s="9">
        <v>43600.3821527778</v>
      </c>
      <c r="T2392" s="9">
        <v>43390.5182175926</v>
      </c>
    </row>
    <row r="2393" spans="14:20">
      <c r="N2393" s="7" t="str">
        <f>HYPERLINK("E:\附赠：Excel模板\精美EXCEL模板\其他1000例\城市房屋拆迁情况.xls","城市房屋拆迁情况.xls")</f>
        <v>城市房屋拆迁情况.xls</v>
      </c>
      <c r="Q2393">
        <v>0.02</v>
      </c>
      <c r="R2393" s="7" t="str">
        <f t="shared" si="50"/>
        <v>E:\附赠：Excel模板\精美EXCEL模板\其他1000例</v>
      </c>
      <c r="S2393" s="9">
        <v>43600.3821527778</v>
      </c>
      <c r="T2393" s="9">
        <v>43390.5182175926</v>
      </c>
    </row>
    <row r="2394" spans="14:20">
      <c r="N2394" s="7" t="str">
        <f>HYPERLINK("E:\附赠：Excel模板\精美EXCEL模板\其他1000例\城镇廉租住房申请登记表.xls","城镇廉租住房申请登记表.xls")</f>
        <v>城镇廉租住房申请登记表.xls</v>
      </c>
      <c r="Q2394">
        <v>0.03</v>
      </c>
      <c r="R2394" s="7" t="str">
        <f t="shared" si="50"/>
        <v>E:\附赠：Excel模板\精美EXCEL模板\其他1000例</v>
      </c>
      <c r="S2394" s="9">
        <v>43600.3821527778</v>
      </c>
      <c r="T2394" s="9">
        <v>43390.5181944444</v>
      </c>
    </row>
    <row r="2395" spans="14:20">
      <c r="N2395" s="7" t="str">
        <f>HYPERLINK("E:\附赠：Excel模板\精美EXCEL模板\其他1000例\城镇最低收入居民家庭住房保障申请表.xls","城镇最低收入居民家庭住房保障申请表.xls")</f>
        <v>城镇最低收入居民家庭住房保障申请表.xls</v>
      </c>
      <c r="Q2395">
        <v>0.02</v>
      </c>
      <c r="R2395" s="7" t="str">
        <f t="shared" si="50"/>
        <v>E:\附赠：Excel模板\精美EXCEL模板\其他1000例</v>
      </c>
      <c r="S2395" s="9">
        <v>43600.3821527778</v>
      </c>
      <c r="T2395" s="9">
        <v>43390.5181944444</v>
      </c>
    </row>
    <row r="2396" spans="14:20">
      <c r="N2396" s="7" t="str">
        <f>HYPERLINK("E:\附赠：Excel模板\精美EXCEL模板\其他1000例\城镇热力及蒸汽生产供应情况.xls","城镇热力及蒸汽生产供应情况.xls")</f>
        <v>城镇热力及蒸汽生产供应情况.xls</v>
      </c>
      <c r="Q2396">
        <v>0.02</v>
      </c>
      <c r="R2396" s="7" t="str">
        <f t="shared" si="50"/>
        <v>E:\附赠：Excel模板\精美EXCEL模板\其他1000例</v>
      </c>
      <c r="S2396" s="9">
        <v>43600.3821527778</v>
      </c>
      <c r="T2396" s="9">
        <v>43390.5181944444</v>
      </c>
    </row>
    <row r="2397" spans="14:20">
      <c r="N2397" s="7" t="str">
        <f>HYPERLINK("E:\附赠：Excel模板\精美EXCEL模板\其他1000例\城镇维护建设资金收入.xls","城镇维护建设资金收入.xls")</f>
        <v>城镇维护建设资金收入.xls</v>
      </c>
      <c r="Q2397">
        <v>0.02</v>
      </c>
      <c r="R2397" s="7" t="str">
        <f t="shared" si="50"/>
        <v>E:\附赠：Excel模板\精美EXCEL模板\其他1000例</v>
      </c>
      <c r="S2397" s="9">
        <v>43600.3821527778</v>
      </c>
      <c r="T2397" s="9">
        <v>43390.5181944444</v>
      </c>
    </row>
    <row r="2398" spans="14:20">
      <c r="N2398" s="7" t="str">
        <f>HYPERLINK("E:\附赠：Excel模板\精美EXCEL模板\其他1000例\基建预算.xls","基建预算.xls")</f>
        <v>基建预算.xls</v>
      </c>
      <c r="Q2398">
        <v>0.02</v>
      </c>
      <c r="R2398" s="7" t="str">
        <f t="shared" si="50"/>
        <v>E:\附赠：Excel模板\精美EXCEL模板\其他1000例</v>
      </c>
      <c r="S2398" s="9">
        <v>43600.3821527778</v>
      </c>
      <c r="T2398" s="9">
        <v>43390.5179398148</v>
      </c>
    </row>
    <row r="2399" spans="14:20">
      <c r="N2399" s="7" t="str">
        <f>HYPERLINK("E:\附赠：Excel模板\精美EXCEL模板\其他1000例\基本建设财务管理人员备案表.xls","基本建设财务管理人员备案表.xls")</f>
        <v>基本建设财务管理人员备案表.xls</v>
      </c>
      <c r="Q2399">
        <v>0.01</v>
      </c>
      <c r="R2399" s="7" t="str">
        <f t="shared" si="50"/>
        <v>E:\附赠：Excel模板\精美EXCEL模板\其他1000例</v>
      </c>
      <c r="S2399" s="9">
        <v>43600.3821527778</v>
      </c>
      <c r="T2399" s="9">
        <v>43390.517962963</v>
      </c>
    </row>
    <row r="2400" spans="14:20">
      <c r="N2400" s="7" t="str">
        <f>HYPERLINK("E:\附赠：Excel模板\精美EXCEL模板\其他1000例\基本数字表.xls","基本数字表.xls")</f>
        <v>基本数字表.xls</v>
      </c>
      <c r="Q2400">
        <v>0.04</v>
      </c>
      <c r="R2400" s="7" t="str">
        <f t="shared" si="50"/>
        <v>E:\附赠：Excel模板\精美EXCEL模板\其他1000例</v>
      </c>
      <c r="S2400" s="9">
        <v>43600.3821527778</v>
      </c>
      <c r="T2400" s="9">
        <v>43390.517962963</v>
      </c>
    </row>
    <row r="2401" spans="14:20">
      <c r="N2401" s="7" t="str">
        <f>HYPERLINK("E:\附赠：Excel模板\精美EXCEL模板\其他1000例\基础课、专业主干课教师情况统计表.xls","基础课、专业主干课教师情况统计表.xls")</f>
        <v>基础课、专业主干课教师情况统计表.xls</v>
      </c>
      <c r="Q2401">
        <v>0.02</v>
      </c>
      <c r="R2401" s="7" t="str">
        <f t="shared" si="50"/>
        <v>E:\附赠：Excel模板\精美EXCEL模板\其他1000例</v>
      </c>
      <c r="S2401" s="9">
        <v>43600.3821527778</v>
      </c>
      <c r="T2401" s="9">
        <v>43390.517962963</v>
      </c>
    </row>
    <row r="2402" spans="14:20">
      <c r="N2402" s="7" t="str">
        <f>HYPERLINK("E:\附赠：Excel模板\精美EXCEL模板\其他1000例\境外企业基本情况表.xls","境外企业基本情况表.xls")</f>
        <v>境外企业基本情况表.xls</v>
      </c>
      <c r="Q2402">
        <v>0.02</v>
      </c>
      <c r="R2402" s="7" t="str">
        <f t="shared" si="50"/>
        <v>E:\附赠：Excel模板\精美EXCEL模板\其他1000例</v>
      </c>
      <c r="S2402" s="9">
        <v>43600.3821527778</v>
      </c>
      <c r="T2402" s="9">
        <v>43390.5178240741</v>
      </c>
    </row>
    <row r="2403" spans="14:20">
      <c r="N2403" s="7" t="str">
        <f>HYPERLINK("E:\附赠：Excel模板\精美EXCEL模板\其他1000例\境外办事机构及项目基本情况表.xls","境外办事机构及项目基本情况表.xls")</f>
        <v>境外办事机构及项目基本情况表.xls</v>
      </c>
      <c r="Q2403">
        <v>0.02</v>
      </c>
      <c r="R2403" s="7" t="str">
        <f t="shared" si="50"/>
        <v>E:\附赠：Excel模板\精美EXCEL模板\其他1000例</v>
      </c>
      <c r="S2403" s="9">
        <v>43600.3821527778</v>
      </c>
      <c r="T2403" s="9">
        <v>43390.5178240741</v>
      </c>
    </row>
    <row r="2404" spans="14:20">
      <c r="N2404" s="7" t="str">
        <f>HYPERLINK("E:\附赠：Excel模板\精美EXCEL模板\其他1000例\境外外汇借款情况表.xls","境外外汇借款情况表.xls")</f>
        <v>境外外汇借款情况表.xls</v>
      </c>
      <c r="Q2404">
        <v>0.01</v>
      </c>
      <c r="R2404" s="7" t="str">
        <f t="shared" si="50"/>
        <v>E:\附赠：Excel模板\精美EXCEL模板\其他1000例</v>
      </c>
      <c r="S2404" s="9">
        <v>43600.3821527778</v>
      </c>
      <c r="T2404" s="9">
        <v>43390.5178240741</v>
      </c>
    </row>
    <row r="2405" spans="14:20">
      <c r="N2405" s="7" t="str">
        <f>HYPERLINK("E:\附赠：Excel模板\精美EXCEL模板\其他1000例\增值税一般纳税人暂认定审批表（商贸型企业）.xls","增值税一般纳税人暂认定审批表（商贸型企业）.xls")</f>
        <v>增值税一般纳税人暂认定审批表（商贸型企业）.xls</v>
      </c>
      <c r="Q2405">
        <v>0.02</v>
      </c>
      <c r="R2405" s="7" t="str">
        <f t="shared" si="50"/>
        <v>E:\附赠：Excel模板\精美EXCEL模板\其他1000例</v>
      </c>
      <c r="S2405" s="9">
        <v>43600.3821527778</v>
      </c>
      <c r="T2405" s="9">
        <v>43390.5171064815</v>
      </c>
    </row>
    <row r="2406" spans="14:20">
      <c r="N2406" s="7" t="str">
        <f>HYPERLINK("E:\附赠：Excel模板\精美EXCEL模板\其他1000例\增设的新专业一览表.xls","增设的新专业一览表.xls")</f>
        <v>增设的新专业一览表.xls</v>
      </c>
      <c r="Q2406">
        <v>0.02</v>
      </c>
      <c r="R2406" s="7" t="str">
        <f t="shared" si="50"/>
        <v>E:\附赠：Excel模板\精美EXCEL模板\其他1000例</v>
      </c>
      <c r="S2406" s="9">
        <v>43600.3821527778</v>
      </c>
      <c r="T2406" s="9">
        <v>43390.5171064815</v>
      </c>
    </row>
    <row r="2407" spans="14:20">
      <c r="N2407" s="7" t="str">
        <f>HYPERLINK("E:\附赠：Excel模板\精美EXCEL模板\其他1000例\外商投资企业主要财务指标快报.xls","外商投资企业主要财务指标快报.xls")</f>
        <v>外商投资企业主要财务指标快报.xls</v>
      </c>
      <c r="Q2407">
        <v>0.02</v>
      </c>
      <c r="R2407" s="7" t="str">
        <f t="shared" si="50"/>
        <v>E:\附赠：Excel模板\精美EXCEL模板\其他1000例</v>
      </c>
      <c r="S2407" s="9">
        <v>43600.3821527778</v>
      </c>
      <c r="T2407" s="9">
        <v>43390.5173842593</v>
      </c>
    </row>
    <row r="2408" spans="14:20">
      <c r="N2408" s="7" t="str">
        <f>HYPERLINK("E:\附赠：Excel模板\精美EXCEL模板\其他1000例\外商投资企业年检申报基本情况表.xls","外商投资企业年检申报基本情况表.xls")</f>
        <v>外商投资企业年检申报基本情况表.xls</v>
      </c>
      <c r="Q2408">
        <v>0.02</v>
      </c>
      <c r="R2408" s="7" t="str">
        <f t="shared" si="50"/>
        <v>E:\附赠：Excel模板\精美EXCEL模板\其他1000例</v>
      </c>
      <c r="S2408" s="9">
        <v>43600.3821527778</v>
      </c>
      <c r="T2408" s="9">
        <v>43390.5174074074</v>
      </c>
    </row>
    <row r="2409" spans="14:20">
      <c r="N2409" s="7" t="str">
        <f>HYPERLINK("E:\附赠：Excel模板\精美EXCEL模板\其他1000例\外商投资企业财政登记变动表.xls","外商投资企业财政登记变动表.xls")</f>
        <v>外商投资企业财政登记变动表.xls</v>
      </c>
      <c r="Q2409">
        <v>0.02</v>
      </c>
      <c r="R2409" s="7" t="str">
        <f t="shared" si="50"/>
        <v>E:\附赠：Excel模板\精美EXCEL模板\其他1000例</v>
      </c>
      <c r="S2409" s="9">
        <v>43600.3821527778</v>
      </c>
      <c r="T2409" s="9">
        <v>43390.5174074074</v>
      </c>
    </row>
    <row r="2410" spans="14:20">
      <c r="N2410" s="7" t="str">
        <f>HYPERLINK("E:\附赠：Excel模板\精美EXCEL模板\其他1000例\外商投资企业财政登记表1.xls","外商投资企业财政登记表1.xls")</f>
        <v>外商投资企业财政登记表1.xls</v>
      </c>
      <c r="Q2410">
        <v>0.02</v>
      </c>
      <c r="R2410" s="7" t="str">
        <f t="shared" si="50"/>
        <v>E:\附赠：Excel模板\精美EXCEL模板\其他1000例</v>
      </c>
      <c r="S2410" s="9">
        <v>43600.3821527778</v>
      </c>
      <c r="T2410" s="9">
        <v>43390.5174074074</v>
      </c>
    </row>
    <row r="2411" spans="14:20">
      <c r="N2411" s="7" t="str">
        <f>HYPERLINK("E:\附赠：Excel模板\精美EXCEL模板\其他1000例\外商投资企业财政登记表2.xls","外商投资企业财政登记表2.xls")</f>
        <v>外商投资企业财政登记表2.xls</v>
      </c>
      <c r="Q2411">
        <v>0.02</v>
      </c>
      <c r="R2411" s="7" t="str">
        <f t="shared" si="50"/>
        <v>E:\附赠：Excel模板\精美EXCEL模板\其他1000例</v>
      </c>
      <c r="S2411" s="9">
        <v>43600.3821527778</v>
      </c>
      <c r="T2411" s="9">
        <v>43390.5174074074</v>
      </c>
    </row>
    <row r="2412" spans="14:20">
      <c r="N2412" s="7" t="str">
        <f>HYPERLINK("E:\附赠：Excel模板\精美EXCEL模板\其他1000例\外币贷款明细表.xls","外币贷款明细表.xls")</f>
        <v>外币贷款明细表.xls</v>
      </c>
      <c r="Q2412">
        <v>0.02</v>
      </c>
      <c r="R2412" s="7" t="str">
        <f t="shared" si="50"/>
        <v>E:\附赠：Excel模板\精美EXCEL模板\其他1000例</v>
      </c>
      <c r="S2412" s="9">
        <v>43600.3821527778</v>
      </c>
      <c r="T2412" s="9">
        <v>43390.5174074074</v>
      </c>
    </row>
    <row r="2413" spans="14:20">
      <c r="N2413" s="7" t="str">
        <f>HYPERLINK("E:\附赠：Excel模板\精美EXCEL模板\其他1000例\外汇收支情况表.xls","外汇收支情况表.xls")</f>
        <v>外汇收支情况表.xls</v>
      </c>
      <c r="Q2413">
        <v>0.03</v>
      </c>
      <c r="R2413" s="7" t="str">
        <f t="shared" si="50"/>
        <v>E:\附赠：Excel模板\精美EXCEL模板\其他1000例</v>
      </c>
      <c r="S2413" s="9">
        <v>43600.3821527778</v>
      </c>
      <c r="T2413" s="9">
        <v>43390.5174074074</v>
      </c>
    </row>
    <row r="2414" spans="14:20">
      <c r="N2414" s="7" t="str">
        <f>HYPERLINK("E:\附赠：Excel模板\精美EXCEL模板\其他1000例\多媒体课件统计表.xls","多媒体课件统计表.xls")</f>
        <v>多媒体课件统计表.xls</v>
      </c>
      <c r="Q2414">
        <v>0.02</v>
      </c>
      <c r="R2414" s="7" t="str">
        <f t="shared" si="50"/>
        <v>E:\附赠：Excel模板\精美EXCEL模板\其他1000例</v>
      </c>
      <c r="S2414" s="9">
        <v>43600.3821527778</v>
      </c>
      <c r="T2414" s="9">
        <v>43390.5180787037</v>
      </c>
    </row>
    <row r="2415" spans="14:20">
      <c r="N2415" s="7" t="str">
        <f>HYPERLINK("E:\附赠：Excel模板\精美EXCEL模板\其他1000例\大型水库库区扶贫新建项目表.xls","大型水库库区扶贫新建项目表.xls")</f>
        <v>大型水库库区扶贫新建项目表.xls</v>
      </c>
      <c r="Q2415">
        <v>0.02</v>
      </c>
      <c r="R2415" s="7" t="str">
        <f t="shared" si="50"/>
        <v>E:\附赠：Excel模板\精美EXCEL模板\其他1000例</v>
      </c>
      <c r="S2415" s="9">
        <v>43600.3821527778</v>
      </c>
      <c r="T2415" s="9">
        <v>43390.5181712963</v>
      </c>
    </row>
    <row r="2416" spans="14:20">
      <c r="N2416" s="7" t="str">
        <f>HYPERLINK("E:\附赠：Excel模板\精美EXCEL模板\其他1000例\大学“开放教学试点”旅游管理专业（专科）教学计划进度表.xls","大学“开放教学试点”旅游管理专业（专科）教学计划进度表.xls")</f>
        <v>大学“开放教学试点”旅游管理专业（专科）教学计划进度表.xls</v>
      </c>
      <c r="Q2416">
        <v>0.03</v>
      </c>
      <c r="R2416" s="7" t="str">
        <f t="shared" si="50"/>
        <v>E:\附赠：Excel模板\精美EXCEL模板\其他1000例</v>
      </c>
      <c r="S2416" s="9">
        <v>43600.3821527778</v>
      </c>
      <c r="T2416" s="9">
        <v>43390.5181712963</v>
      </c>
    </row>
    <row r="2417" spans="14:20">
      <c r="N2417" s="7" t="str">
        <f>HYPERLINK("E:\附赠：Excel模板\精美EXCEL模板\其他1000例\大学优秀学生申请校内专业调整拟录取名单公示.xls","大学优秀学生申请校内专业调整拟录取名单公示.xls")</f>
        <v>大学优秀学生申请校内专业调整拟录取名单公示.xls</v>
      </c>
      <c r="Q2417">
        <v>0.02</v>
      </c>
      <c r="R2417" s="7" t="str">
        <f t="shared" si="50"/>
        <v>E:\附赠：Excel模板\精美EXCEL模板\其他1000例</v>
      </c>
      <c r="S2417" s="9">
        <v>43600.3821527778</v>
      </c>
      <c r="T2417" s="9">
        <v>43390.518125</v>
      </c>
    </row>
    <row r="2418" spans="14:20">
      <c r="N2418" s="7" t="str">
        <f>HYPERLINK("E:\附赠：Excel模板\精美EXCEL模板\其他1000例\大学分解校发汇总表.xls","大学分解校发汇总表.xls")</f>
        <v>大学分解校发汇总表.xls</v>
      </c>
      <c r="Q2418">
        <v>0.1</v>
      </c>
      <c r="R2418" s="7" t="str">
        <f t="shared" si="50"/>
        <v>E:\附赠：Excel模板\精美EXCEL模板\其他1000例</v>
      </c>
      <c r="S2418" s="9">
        <v>43600.3821527778</v>
      </c>
      <c r="T2418" s="9">
        <v>43390.5181712963</v>
      </c>
    </row>
    <row r="2419" spans="14:20">
      <c r="N2419" s="7" t="str">
        <f>HYPERLINK("E:\附赠：Excel模板\精美EXCEL模板\其他1000例\大学学期教学进程计划.xls","大学学期教学进程计划.xls")</f>
        <v>大学学期教学进程计划.xls</v>
      </c>
      <c r="Q2419">
        <v>0.03</v>
      </c>
      <c r="R2419" s="7" t="str">
        <f t="shared" si="50"/>
        <v>E:\附赠：Excel模板\精美EXCEL模板\其他1000例</v>
      </c>
      <c r="S2419" s="9">
        <v>43600.3821527778</v>
      </c>
      <c r="T2419" s="9">
        <v>43390.518125</v>
      </c>
    </row>
    <row r="2420" spans="14:20">
      <c r="N2420" s="7" t="str">
        <f>HYPERLINK("E:\附赠：Excel模板\精美EXCEL模板\其他1000例\大学学院承担主要研究项目一览.xls","大学学院承担主要研究项目一览.xls")</f>
        <v>大学学院承担主要研究项目一览.xls</v>
      </c>
      <c r="Q2420">
        <v>0.02</v>
      </c>
      <c r="R2420" s="7" t="str">
        <f t="shared" si="50"/>
        <v>E:\附赠：Excel模板\精美EXCEL模板\其他1000例</v>
      </c>
      <c r="S2420" s="9">
        <v>43600.3821527778</v>
      </c>
      <c r="T2420" s="9">
        <v>43390.5181481481</v>
      </c>
    </row>
    <row r="2421" spans="14:20">
      <c r="N2421" s="7" t="str">
        <f>HYPERLINK("E:\附赠：Excel模板\精美EXCEL模板\其他1000例\大学学院科研项目.xls","大学学院科研项目.xls")</f>
        <v>大学学院科研项目.xls</v>
      </c>
      <c r="Q2421">
        <v>0.02</v>
      </c>
      <c r="R2421" s="7" t="str">
        <f t="shared" si="50"/>
        <v>E:\附赠：Excel模板\精美EXCEL模板\其他1000例</v>
      </c>
      <c r="S2421" s="9">
        <v>43600.3821527778</v>
      </c>
      <c r="T2421" s="9">
        <v>43390.518125</v>
      </c>
    </row>
    <row r="2422" spans="14:20">
      <c r="N2422" s="7" t="str">
        <f>HYPERLINK("E:\附赠：Excel模板\精美EXCEL模板\其他1000例\大学年度期末考试时间表.xls","大学年度期末考试时间表.xls")</f>
        <v>大学年度期末考试时间表.xls</v>
      </c>
      <c r="Q2422">
        <v>0.04</v>
      </c>
      <c r="R2422" s="7" t="str">
        <f t="shared" si="50"/>
        <v>E:\附赠：Excel模板\精美EXCEL模板\其他1000例</v>
      </c>
      <c r="S2422" s="9">
        <v>43600.3821527778</v>
      </c>
      <c r="T2422" s="9">
        <v>43390.5181481481</v>
      </c>
    </row>
    <row r="2423" spans="14:20">
      <c r="N2423" s="7" t="str">
        <f>HYPERLINK("E:\附赠：Excel模板\精美EXCEL模板\其他1000例\大学年度課程規劃表.xls","大学年度課程規劃表.xls")</f>
        <v>大学年度課程規劃表.xls</v>
      </c>
      <c r="Q2423">
        <v>0.03</v>
      </c>
      <c r="R2423" s="7" t="str">
        <f t="shared" si="50"/>
        <v>E:\附赠：Excel模板\精美EXCEL模板\其他1000例</v>
      </c>
      <c r="S2423" s="9">
        <v>43600.3821527778</v>
      </c>
      <c r="T2423" s="9">
        <v>43390.5181481481</v>
      </c>
    </row>
    <row r="2424" spans="14:20">
      <c r="N2424" s="7" t="str">
        <f>HYPERLINK("E:\附赠：Excel模板\精美EXCEL模板\其他1000例\大学年度财务收支简要表.xls","大学年度财务收支简要表.xls")</f>
        <v>大学年度财务收支简要表.xls</v>
      </c>
      <c r="Q2424">
        <v>0.03</v>
      </c>
      <c r="R2424" s="7" t="str">
        <f t="shared" si="50"/>
        <v>E:\附赠：Excel模板\精美EXCEL模板\其他1000例</v>
      </c>
      <c r="S2424" s="9">
        <v>43600.3821527778</v>
      </c>
      <c r="T2424" s="9">
        <v>43390.5181481481</v>
      </c>
    </row>
    <row r="2425" spans="14:20">
      <c r="N2425" s="7" t="str">
        <f>HYPERLINK("E:\附赠：Excel模板\精美EXCEL模板\其他1000例\大学教育教材使用计划.xls","大学教育教材使用计划.xls")</f>
        <v>大学教育教材使用计划.xls</v>
      </c>
      <c r="Q2425">
        <v>0.05</v>
      </c>
      <c r="R2425" s="7" t="str">
        <f t="shared" si="50"/>
        <v>E:\附赠：Excel模板\精美EXCEL模板\其他1000例</v>
      </c>
      <c r="S2425" s="9">
        <v>43600.3821527778</v>
      </c>
      <c r="T2425" s="9">
        <v>43390.5181481481</v>
      </c>
    </row>
    <row r="2426" spans="14:20">
      <c r="N2426" s="7" t="str">
        <f>HYPERLINK("E:\附赠：Excel模板\精美EXCEL模板\其他1000例\大学普通高等学校专接本招生计划及参考教材.xls","大学普通高等学校专接本招生计划及参考教材.xls")</f>
        <v>大学普通高等学校专接本招生计划及参考教材.xls</v>
      </c>
      <c r="Q2426">
        <v>0.05</v>
      </c>
      <c r="R2426" s="7" t="str">
        <f t="shared" si="50"/>
        <v>E:\附赠：Excel模板\精美EXCEL模板\其他1000例</v>
      </c>
      <c r="S2426" s="9">
        <v>43600.3821527778</v>
      </c>
      <c r="T2426" s="9">
        <v>43390.5181481481</v>
      </c>
    </row>
    <row r="2427" spans="14:20">
      <c r="N2427" s="7" t="str">
        <f>HYPERLINK("E:\附赠：Excel模板\精美EXCEL模板\其他1000例\大学校部机关处室学生勤工助学酬金公示.xls","大学校部机关处室学生勤工助学酬金公示.xls")</f>
        <v>大学校部机关处室学生勤工助学酬金公示.xls</v>
      </c>
      <c r="Q2427">
        <v>0.02</v>
      </c>
      <c r="R2427" s="7" t="str">
        <f t="shared" ref="R2427:R2490" si="51">HYPERLINK("E:\附赠：Excel模板\精美EXCEL模板\其他1000例","E:\附赠：Excel模板\精美EXCEL模板\其他1000例")</f>
        <v>E:\附赠：Excel模板\精美EXCEL模板\其他1000例</v>
      </c>
      <c r="S2427" s="9">
        <v>43600.3821527778</v>
      </c>
      <c r="T2427" s="9">
        <v>43390.5181481481</v>
      </c>
    </row>
    <row r="2428" spans="14:20">
      <c r="N2428" s="7" t="str">
        <f>HYPERLINK("E:\附赠：Excel模板\精美EXCEL模板\其他1000例\大学生“三下乡”社会实践活动情况统计.xls","大学生“三下乡”社会实践活动情况统计.xls")</f>
        <v>大学生“三下乡”社会实践活动情况统计.xls</v>
      </c>
      <c r="Q2428">
        <v>0.02</v>
      </c>
      <c r="R2428" s="7" t="str">
        <f t="shared" si="51"/>
        <v>E:\附赠：Excel模板\精美EXCEL模板\其他1000例</v>
      </c>
      <c r="S2428" s="9">
        <v>43600.3821643519</v>
      </c>
      <c r="T2428" s="9">
        <v>43390.5181481481</v>
      </c>
    </row>
    <row r="2429" spans="14:20">
      <c r="N2429" s="7" t="str">
        <f>HYPERLINK("E:\附赠：Excel模板\精美EXCEL模板\其他1000例\大学社团建设标准表.xls","大学社团建设标准表.xls")</f>
        <v>大学社团建设标准表.xls</v>
      </c>
      <c r="Q2429">
        <v>0.03</v>
      </c>
      <c r="R2429" s="7" t="str">
        <f t="shared" si="51"/>
        <v>E:\附赠：Excel模板\精美EXCEL模板\其他1000例</v>
      </c>
      <c r="S2429" s="9">
        <v>43600.3821643519</v>
      </c>
      <c r="T2429" s="9">
        <v>43390.5181481481</v>
      </c>
    </row>
    <row r="2430" spans="14:20">
      <c r="N2430" s="7" t="str">
        <f>HYPERLINK("E:\附赠：Excel模板\精美EXCEL模板\其他1000例\大学社联财务报表.xls","大学社联财务报表.xls")</f>
        <v>大学社联财务报表.xls</v>
      </c>
      <c r="Q2430">
        <v>0.03</v>
      </c>
      <c r="R2430" s="7" t="str">
        <f t="shared" si="51"/>
        <v>E:\附赠：Excel模板\精美EXCEL模板\其他1000例</v>
      </c>
      <c r="S2430" s="9">
        <v>43600.3821643519</v>
      </c>
      <c r="T2430" s="9">
        <v>43390.5181481481</v>
      </c>
    </row>
    <row r="2431" spans="14:20">
      <c r="N2431" s="7" t="str">
        <f>HYPERLINK("E:\附赠：Excel模板\精美EXCEL模板\其他1000例\大学管理学科工商管理类教学计划.xls","大学管理学科工商管理类教学计划.xls")</f>
        <v>大学管理学科工商管理类教学计划.xls</v>
      </c>
      <c r="Q2431">
        <v>0.02</v>
      </c>
      <c r="R2431" s="7" t="str">
        <f t="shared" si="51"/>
        <v>E:\附赠：Excel模板\精美EXCEL模板\其他1000例</v>
      </c>
      <c r="S2431" s="9">
        <v>43600.3821643519</v>
      </c>
      <c r="T2431" s="9">
        <v>43390.5181712963</v>
      </c>
    </row>
    <row r="2432" spans="14:20">
      <c r="N2432" s="7" t="str">
        <f>HYPERLINK("E:\附赠：Excel模板\精美EXCEL模板\其他1000例\大学考前辅导表.xls","大学考前辅导表.xls")</f>
        <v>大学考前辅导表.xls</v>
      </c>
      <c r="Q2432">
        <v>0.01</v>
      </c>
      <c r="R2432" s="7" t="str">
        <f t="shared" si="51"/>
        <v>E:\附赠：Excel模板\精美EXCEL模板\其他1000例</v>
      </c>
      <c r="S2432" s="9">
        <v>43600.3821643519</v>
      </c>
      <c r="T2432" s="9">
        <v>43390.5181481481</v>
      </c>
    </row>
    <row r="2433" spans="14:20">
      <c r="N2433" s="7" t="str">
        <f>HYPERLINK("E:\附赠：Excel模板\精美EXCEL模板\其他1000例\大学考试成绩报告表.xls","大学考试成绩报告表.xls")</f>
        <v>大学考试成绩报告表.xls</v>
      </c>
      <c r="Q2433">
        <v>0.03</v>
      </c>
      <c r="R2433" s="7" t="str">
        <f t="shared" si="51"/>
        <v>E:\附赠：Excel模板\精美EXCEL模板\其他1000例</v>
      </c>
      <c r="S2433" s="9">
        <v>43600.3821643519</v>
      </c>
      <c r="T2433" s="9">
        <v>43390.5181481481</v>
      </c>
    </row>
    <row r="2434" spans="14:20">
      <c r="N2434" s="7" t="str">
        <f>HYPERLINK("E:\附赠：Excel模板\精美EXCEL模板\其他1000例\大学考试表.xls","大学考试表.xls")</f>
        <v>大学考试表.xls</v>
      </c>
      <c r="Q2434">
        <v>0.01</v>
      </c>
      <c r="R2434" s="7" t="str">
        <f t="shared" si="51"/>
        <v>E:\附赠：Excel模板\精美EXCEL模板\其他1000例</v>
      </c>
      <c r="S2434" s="9">
        <v>43600.3821643519</v>
      </c>
      <c r="T2434" s="9">
        <v>43390.5181481481</v>
      </c>
    </row>
    <row r="2435" spans="14:20">
      <c r="N2435" s="7" t="str">
        <f>HYPERLINK("E:\附赠：Excel模板\精美EXCEL模板\其他1000例\大学计划财务处考勤情况表.xls","大学计划财务处考勤情况表.xls")</f>
        <v>大学计划财务处考勤情况表.xls</v>
      </c>
      <c r="Q2435">
        <v>0.04</v>
      </c>
      <c r="R2435" s="7" t="str">
        <f t="shared" si="51"/>
        <v>E:\附赠：Excel模板\精美EXCEL模板\其他1000例</v>
      </c>
      <c r="S2435" s="9">
        <v>43600.3821643519</v>
      </c>
      <c r="T2435" s="9">
        <v>43390.5181712963</v>
      </c>
    </row>
    <row r="2436" spans="14:20">
      <c r="N2436" s="7" t="str">
        <f>HYPERLINK("E:\附赠：Excel模板\精美EXCEL模板\其他1000例\大学设备请购报告.xls","大学设备请购报告.xls")</f>
        <v>大学设备请购报告.xls</v>
      </c>
      <c r="Q2436">
        <v>0.02</v>
      </c>
      <c r="R2436" s="7" t="str">
        <f t="shared" si="51"/>
        <v>E:\附赠：Excel模板\精美EXCEL模板\其他1000例</v>
      </c>
      <c r="S2436" s="9">
        <v>43600.3821643519</v>
      </c>
      <c r="T2436" s="9">
        <v>43390.5181481481</v>
      </c>
    </row>
    <row r="2437" spans="14:20">
      <c r="N2437" s="7" t="str">
        <f>HYPERLINK("E:\附赠：Excel模板\精美EXCEL模板\其他1000例\大学财务收支表.xls","大学财务收支表.xls")</f>
        <v>大学财务收支表.xls</v>
      </c>
      <c r="Q2437">
        <v>0.02</v>
      </c>
      <c r="R2437" s="7" t="str">
        <f t="shared" si="51"/>
        <v>E:\附赠：Excel模板\精美EXCEL模板\其他1000例</v>
      </c>
      <c r="S2437" s="9">
        <v>43600.3821643519</v>
      </c>
      <c r="T2437" s="9">
        <v>43390.5181712963</v>
      </c>
    </row>
    <row r="2438" spans="14:20">
      <c r="N2438" s="7" t="str">
        <f>HYPERLINK("E:\附赠：Excel模板\精美EXCEL模板\其他1000例\大学院系资金财物表.xls","大学院系资金财物表.xls")</f>
        <v>大学院系资金财物表.xls</v>
      </c>
      <c r="Q2438">
        <v>0.02</v>
      </c>
      <c r="R2438" s="7" t="str">
        <f t="shared" si="51"/>
        <v>E:\附赠：Excel模板\精美EXCEL模板\其他1000例</v>
      </c>
      <c r="S2438" s="9">
        <v>43600.3821643519</v>
      </c>
      <c r="T2438" s="9">
        <v>43390.518125</v>
      </c>
    </row>
    <row r="2439" spans="14:20">
      <c r="N2439" s="7" t="str">
        <f>HYPERLINK("E:\附赠：Excel模板\精美EXCEL模板\其他1000例\大学项目预(结)算单.xls","大学项目预(结)算单.xls")</f>
        <v>大学项目预(结)算单.xls</v>
      </c>
      <c r="Q2439">
        <v>0.02</v>
      </c>
      <c r="R2439" s="7" t="str">
        <f t="shared" si="51"/>
        <v>E:\附赠：Excel模板\精美EXCEL模板\其他1000例</v>
      </c>
      <c r="S2439" s="9">
        <v>43600.3821643519</v>
      </c>
      <c r="T2439" s="9">
        <v>43390.5181481481</v>
      </c>
    </row>
    <row r="2440" spans="14:20">
      <c r="N2440" s="7" t="str">
        <f>HYPERLINK("E:\附赠：Excel模板\精美EXCEL模板\其他1000例\大學學度招生考試筆試試場分配表.xls","大學學度招生考試筆試試場分配表.xls")</f>
        <v>大學學度招生考試筆試試場分配表.xls</v>
      </c>
      <c r="Q2440">
        <v>0.03</v>
      </c>
      <c r="R2440" s="7" t="str">
        <f t="shared" si="51"/>
        <v>E:\附赠：Excel模板\精美EXCEL模板\其他1000例</v>
      </c>
      <c r="S2440" s="9">
        <v>43600.3821643519</v>
      </c>
      <c r="T2440" s="9">
        <v>43390.5181712963</v>
      </c>
    </row>
    <row r="2441" spans="14:20">
      <c r="N2441" s="7" t="str">
        <f>HYPERLINK("E:\附赠：Excel模板\精美EXCEL模板\其他1000例\大學學會财务表.xls","大學學會财务表.xls")</f>
        <v>大學學會财务表.xls</v>
      </c>
      <c r="Q2441">
        <v>0.02</v>
      </c>
      <c r="R2441" s="7" t="str">
        <f t="shared" si="51"/>
        <v>E:\附赠：Excel模板\精美EXCEL模板\其他1000例</v>
      </c>
      <c r="S2441" s="9">
        <v>43600.3821643519</v>
      </c>
      <c r="T2441" s="9">
        <v>43390.5181712963</v>
      </c>
    </row>
    <row r="2442" spans="14:20">
      <c r="N2442" s="7" t="str">
        <f>HYPERLINK("E:\附赠：Excel模板\精美EXCEL模板\其他1000例\大學財務收支簡要說明.xls","大學財務收支簡要說明.xls")</f>
        <v>大學財務收支簡要說明.xls</v>
      </c>
      <c r="Q2442">
        <v>0.02</v>
      </c>
      <c r="R2442" s="7" t="str">
        <f t="shared" si="51"/>
        <v>E:\附赠：Excel模板\精美EXCEL模板\其他1000例</v>
      </c>
      <c r="S2442" s="9">
        <v>43600.3821643519</v>
      </c>
      <c r="T2442" s="9">
        <v>43390.5181712963</v>
      </c>
    </row>
    <row r="2443" spans="14:20">
      <c r="N2443" s="7" t="str">
        <f>HYPERLINK("E:\附赠：Excel模板\精美EXCEL模板\其他1000例\夫妻再生育申请审批表.xls","夫妻再生育申请审批表.xls")</f>
        <v>夫妻再生育申请审批表.xls</v>
      </c>
      <c r="Q2443">
        <v>0.04</v>
      </c>
      <c r="R2443" s="7" t="str">
        <f t="shared" si="51"/>
        <v>E:\附赠：Excel模板\精美EXCEL模板\其他1000例</v>
      </c>
      <c r="S2443" s="9">
        <v>43600.3821643519</v>
      </c>
      <c r="T2443" s="9">
        <v>43390.5180555556</v>
      </c>
    </row>
    <row r="2444" spans="14:20">
      <c r="N2444" s="7" t="str">
        <f>HYPERLINK("E:\附赠：Excel模板\精美EXCEL模板\其他1000例\契税减免申报表.xls","契税减免申报表.xls")</f>
        <v>契税减免申报表.xls</v>
      </c>
      <c r="Q2444">
        <v>0.02</v>
      </c>
      <c r="R2444" s="7" t="str">
        <f t="shared" si="51"/>
        <v>E:\附赠：Excel模板\精美EXCEL模板\其他1000例</v>
      </c>
      <c r="S2444" s="9">
        <v>43600.3821643519</v>
      </c>
      <c r="T2444" s="9">
        <v>43390.5176388889</v>
      </c>
    </row>
    <row r="2445" spans="14:20">
      <c r="N2445" s="7" t="str">
        <f>HYPERLINK("E:\附赠：Excel模板\精美EXCEL模板\其他1000例\奖励有突出贡献人才资金资助申请书.xls","奖励有突出贡献人才资金资助申请书.xls")</f>
        <v>奖励有突出贡献人才资金资助申请书.xls</v>
      </c>
      <c r="Q2445">
        <v>0.03</v>
      </c>
      <c r="R2445" s="7" t="str">
        <f t="shared" si="51"/>
        <v>E:\附赠：Excel模板\精美EXCEL模板\其他1000例</v>
      </c>
      <c r="S2445" s="9">
        <v>43600.3821643519</v>
      </c>
      <c r="T2445" s="9">
        <v>43390.5178703704</v>
      </c>
    </row>
    <row r="2446" spans="14:20">
      <c r="N2446" s="7" t="str">
        <f>HYPERLINK("E:\附赠：Excel模板\精美EXCEL模板\其他1000例\委托贷款明细表.xls","委托贷款明细表.xls")</f>
        <v>委托贷款明细表.xls</v>
      </c>
      <c r="Q2446">
        <v>0.02</v>
      </c>
      <c r="R2446" s="7" t="str">
        <f t="shared" si="51"/>
        <v>E:\附赠：Excel模板\精美EXCEL模板\其他1000例</v>
      </c>
      <c r="S2446" s="9">
        <v>43600.3821643519</v>
      </c>
      <c r="T2446" s="9">
        <v>43390.5173842593</v>
      </c>
    </row>
    <row r="2447" spans="14:20">
      <c r="N2447" s="7" t="str">
        <f>HYPERLINK("E:\附赠：Excel模板\精美EXCEL模板\其他1000例\娱乐经营情况明细表.xls","娱乐经营情况明细表.xls")</f>
        <v>娱乐经营情况明细表.xls</v>
      </c>
      <c r="Q2447">
        <v>0.02</v>
      </c>
      <c r="R2447" s="7" t="str">
        <f t="shared" si="51"/>
        <v>E:\附赠：Excel模板\精美EXCEL模板\其他1000例</v>
      </c>
      <c r="S2447" s="9">
        <v>43600.3821643519</v>
      </c>
      <c r="T2447" s="9">
        <v>43390.5171296296</v>
      </c>
    </row>
    <row r="2448" spans="14:20">
      <c r="N2448" s="7" t="str">
        <f>HYPERLINK("E:\附赠：Excel模板\精美EXCEL模板\其他1000例\学年开放教育（本科）考试科目.xls","学年开放教育（本科）考试科目.xls")</f>
        <v>学年开放教育（本科）考试科目.xls</v>
      </c>
      <c r="Q2448">
        <v>0.03</v>
      </c>
      <c r="R2448" s="7" t="str">
        <f t="shared" si="51"/>
        <v>E:\附赠：Excel模板\精美EXCEL模板\其他1000例</v>
      </c>
      <c r="S2448" s="9">
        <v>43600.3821643519</v>
      </c>
      <c r="T2448" s="9">
        <v>43390.5172685185</v>
      </c>
    </row>
    <row r="2449" spans="14:20">
      <c r="N2449" s="7" t="str">
        <f>HYPERLINK("E:\附赠：Excel模板\精美EXCEL模板\其他1000例\学校债权债务年终明细表.xls","学校债权债务年终明细表.xls")</f>
        <v>学校债权债务年终明细表.xls</v>
      </c>
      <c r="Q2449">
        <v>0.01</v>
      </c>
      <c r="R2449" s="7" t="str">
        <f t="shared" si="51"/>
        <v>E:\附赠：Excel模板\精美EXCEL模板\其他1000例</v>
      </c>
      <c r="S2449" s="9">
        <v>43600.3821643519</v>
      </c>
      <c r="T2449" s="9">
        <v>43390.5172222222</v>
      </c>
    </row>
    <row r="2450" spans="14:20">
      <c r="N2450" s="7" t="str">
        <f>HYPERLINK("E:\附赠：Excel模板\精美EXCEL模板\其他1000例\学校各部门专项经费使用范围.xls","学校各部门专项经费使用范围.xls")</f>
        <v>学校各部门专项经费使用范围.xls</v>
      </c>
      <c r="Q2450">
        <v>0.07</v>
      </c>
      <c r="R2450" s="7" t="str">
        <f t="shared" si="51"/>
        <v>E:\附赠：Excel模板\精美EXCEL模板\其他1000例</v>
      </c>
      <c r="S2450" s="9">
        <v>43600.3821643519</v>
      </c>
      <c r="T2450" s="9">
        <v>43390.5172453704</v>
      </c>
    </row>
    <row r="2451" spans="14:20">
      <c r="N2451" s="7" t="str">
        <f>HYPERLINK("E:\附赠：Excel模板\精美EXCEL模板\其他1000例\学校学生“课本费、作业本费”收支明细表.xls","学校学生“课本费、作业本费”收支明细表.xls")</f>
        <v>学校学生“课本费、作业本费”收支明细表.xls</v>
      </c>
      <c r="Q2451">
        <v>0.01</v>
      </c>
      <c r="R2451" s="7" t="str">
        <f t="shared" si="51"/>
        <v>E:\附赠：Excel模板\精美EXCEL模板\其他1000例</v>
      </c>
      <c r="S2451" s="9">
        <v>43600.3821643519</v>
      </c>
      <c r="T2451" s="9">
        <v>43390.5172222222</v>
      </c>
    </row>
    <row r="2452" spans="14:20">
      <c r="N2452" s="7" t="str">
        <f>HYPERLINK("E:\附赠：Excel模板\精美EXCEL模板\其他1000例\学校家庭贫困学生情况调查表.xls","学校家庭贫困学生情况调查表.xls")</f>
        <v>学校家庭贫困学生情况调查表.xls</v>
      </c>
      <c r="Q2452">
        <v>0.05</v>
      </c>
      <c r="R2452" s="7" t="str">
        <f t="shared" si="51"/>
        <v>E:\附赠：Excel模板\精美EXCEL模板\其他1000例</v>
      </c>
      <c r="S2452" s="9">
        <v>43600.3821643519</v>
      </c>
      <c r="T2452" s="9">
        <v>43390.5172453704</v>
      </c>
    </row>
    <row r="2453" spans="14:20">
      <c r="N2453" s="7" t="str">
        <f>HYPERLINK("E:\附赠：Excel模板\精美EXCEL模板\其他1000例\学校寄托班学生“临管费”收支明细表.xls","学校寄托班学生“临管费”收支明细表.xls")</f>
        <v>学校寄托班学生“临管费”收支明细表.xls</v>
      </c>
      <c r="Q2453">
        <v>0.01</v>
      </c>
      <c r="R2453" s="7" t="str">
        <f t="shared" si="51"/>
        <v>E:\附赠：Excel模板\精美EXCEL模板\其他1000例</v>
      </c>
      <c r="S2453" s="9">
        <v>43600.3821643519</v>
      </c>
      <c r="T2453" s="9">
        <v>43390.5172453704</v>
      </c>
    </row>
    <row r="2454" spans="14:20">
      <c r="N2454" s="7" t="str">
        <f>HYPERLINK("E:\附赠：Excel模板\精美EXCEL模板\其他1000例\学校年终负债余额情况表.xls","学校年终负债余额情况表.xls")</f>
        <v>学校年终负债余额情况表.xls</v>
      </c>
      <c r="Q2454">
        <v>0.02</v>
      </c>
      <c r="R2454" s="7" t="str">
        <f t="shared" si="51"/>
        <v>E:\附赠：Excel模板\精美EXCEL模板\其他1000例</v>
      </c>
      <c r="S2454" s="9">
        <v>43600.3821643519</v>
      </c>
      <c r="T2454" s="9">
        <v>43390.5172222222</v>
      </c>
    </row>
    <row r="2455" spans="14:20">
      <c r="N2455" s="7" t="str">
        <f>HYPERLINK("E:\附赠：Excel模板\精美EXCEL模板\其他1000例\学校建设工程项目概况.xls","学校建设工程项目概况.xls")</f>
        <v>学校建设工程项目概况.xls</v>
      </c>
      <c r="Q2455">
        <v>0.03</v>
      </c>
      <c r="R2455" s="7" t="str">
        <f t="shared" si="51"/>
        <v>E:\附赠：Excel模板\精美EXCEL模板\其他1000例</v>
      </c>
      <c r="S2455" s="9">
        <v>43600.3821643519</v>
      </c>
      <c r="T2455" s="9">
        <v>43390.5172453704</v>
      </c>
    </row>
    <row r="2456" spans="14:20">
      <c r="N2456" s="7" t="str">
        <f>HYPERLINK("E:\附赠：Excel模板\精美EXCEL模板\其他1000例\学校开放教育课程开课科目.xls","学校开放教育课程开课科目.xls")</f>
        <v>学校开放教育课程开课科目.xls</v>
      </c>
      <c r="Q2456">
        <v>0.04</v>
      </c>
      <c r="R2456" s="7" t="str">
        <f t="shared" si="51"/>
        <v>E:\附赠：Excel模板\精美EXCEL模板\其他1000例</v>
      </c>
      <c r="S2456" s="9">
        <v>43600.3821643519</v>
      </c>
      <c r="T2456" s="9">
        <v>43390.5172222222</v>
      </c>
    </row>
    <row r="2457" spans="14:20">
      <c r="N2457" s="7" t="str">
        <f>HYPERLINK("E:\附赠：Excel模板\精美EXCEL模板\其他1000例\学校开放本科公共事业管理（教育管理）专业课程教材征订表.xls","学校开放本科公共事业管理（教育管理）专业课程教材征订表.xls")</f>
        <v>学校开放本科公共事业管理（教育管理）专业课程教材征订表.xls</v>
      </c>
      <c r="Q2457">
        <v>0.02</v>
      </c>
      <c r="R2457" s="7" t="str">
        <f t="shared" si="51"/>
        <v>E:\附赠：Excel模板\精美EXCEL模板\其他1000例</v>
      </c>
      <c r="S2457" s="9">
        <v>43600.3821643519</v>
      </c>
      <c r="T2457" s="9">
        <v>43390.5172453704</v>
      </c>
    </row>
    <row r="2458" spans="14:20">
      <c r="N2458" s="7" t="str">
        <f>HYPERLINK("E:\附赠：Excel模板\精美EXCEL模板\其他1000例\学校开放本科工商管理专业课程教材征订表.xls","学校开放本科工商管理专业课程教材征订表.xls")</f>
        <v>学校开放本科工商管理专业课程教材征订表.xls</v>
      </c>
      <c r="Q2458">
        <v>0.02</v>
      </c>
      <c r="R2458" s="7" t="str">
        <f t="shared" si="51"/>
        <v>E:\附赠：Excel模板\精美EXCEL模板\其他1000例</v>
      </c>
      <c r="S2458" s="9">
        <v>43600.3821643519</v>
      </c>
      <c r="T2458" s="9">
        <v>43390.5172453704</v>
      </c>
    </row>
    <row r="2459" spans="14:20">
      <c r="N2459" s="7" t="str">
        <f>HYPERLINK("E:\附赠：Excel模板\精美EXCEL模板\其他1000例\学校开放本科法学专业课程教材征订表.xls","学校开放本科法学专业课程教材征订表.xls")</f>
        <v>学校开放本科法学专业课程教材征订表.xls</v>
      </c>
      <c r="Q2459">
        <v>0.02</v>
      </c>
      <c r="R2459" s="7" t="str">
        <f t="shared" si="51"/>
        <v>E:\附赠：Excel模板\精美EXCEL模板\其他1000例</v>
      </c>
      <c r="S2459" s="9">
        <v>43600.3821643519</v>
      </c>
      <c r="T2459" s="9">
        <v>43390.5172453704</v>
      </c>
    </row>
    <row r="2460" spans="14:20">
      <c r="N2460" s="7" t="str">
        <f>HYPERLINK("E:\附赠：Excel模板\精美EXCEL模板\其他1000例\学校投资财务收支情况验收表.xls","学校投资财务收支情况验收表.xls")</f>
        <v>学校投资财务收支情况验收表.xls</v>
      </c>
      <c r="Q2460">
        <v>0.02</v>
      </c>
      <c r="R2460" s="7" t="str">
        <f t="shared" si="51"/>
        <v>E:\附赠：Excel模板\精美EXCEL模板\其他1000例</v>
      </c>
      <c r="S2460" s="9">
        <v>43600.3821643519</v>
      </c>
      <c r="T2460" s="9">
        <v>43390.5172222222</v>
      </c>
    </row>
    <row r="2461" spans="14:20">
      <c r="N2461" s="7" t="str">
        <f>HYPERLINK("E:\附赠：Excel模板\精美EXCEL模板\其他1000例\学校招生计划表.xls","学校招生计划表.xls")</f>
        <v>学校招生计划表.xls</v>
      </c>
      <c r="Q2461">
        <v>0.03</v>
      </c>
      <c r="R2461" s="7" t="str">
        <f t="shared" si="51"/>
        <v>E:\附赠：Excel模板\精美EXCEL模板\其他1000例</v>
      </c>
      <c r="S2461" s="9">
        <v>43600.3821643519</v>
      </c>
      <c r="T2461" s="9">
        <v>43390.5172222222</v>
      </c>
    </row>
    <row r="2462" spans="14:20">
      <c r="N2462" s="7" t="str">
        <f>HYPERLINK("E:\附赠：Excel模板\精美EXCEL模板\其他1000例\学校支出明细表.xls","学校支出明细表.xls")</f>
        <v>学校支出明细表.xls</v>
      </c>
      <c r="Q2462">
        <v>0.02</v>
      </c>
      <c r="R2462" s="7" t="str">
        <f t="shared" si="51"/>
        <v>E:\附赠：Excel模板\精美EXCEL模板\其他1000例</v>
      </c>
      <c r="S2462" s="9">
        <v>43600.3821643519</v>
      </c>
      <c r="T2462" s="9">
        <v>43390.5172222222</v>
      </c>
    </row>
    <row r="2463" spans="14:20">
      <c r="N2463" s="7" t="str">
        <f>HYPERLINK("E:\附赠：Excel模板\精美EXCEL模板\其他1000例\学校收入明细表.xls","学校收入明细表.xls")</f>
        <v>学校收入明细表.xls</v>
      </c>
      <c r="Q2463">
        <v>0.02</v>
      </c>
      <c r="R2463" s="7" t="str">
        <f t="shared" si="51"/>
        <v>E:\附赠：Excel模板\精美EXCEL模板\其他1000例</v>
      </c>
      <c r="S2463" s="9">
        <v>43600.3821643519</v>
      </c>
      <c r="T2463" s="9">
        <v>43390.5172222222</v>
      </c>
    </row>
    <row r="2464" spans="14:20">
      <c r="N2464" s="7" t="str">
        <f>HYPERLINK("E:\附赠：Excel模板\精美EXCEL模板\其他1000例\学校现金收支概況表.xls","学校现金收支概況表.xls")</f>
        <v>学校现金收支概況表.xls</v>
      </c>
      <c r="Q2464">
        <v>0.02</v>
      </c>
      <c r="R2464" s="7" t="str">
        <f t="shared" si="51"/>
        <v>E:\附赠：Excel模板\精美EXCEL模板\其他1000例</v>
      </c>
      <c r="S2464" s="9">
        <v>43600.3821643519</v>
      </c>
      <c r="T2464" s="9">
        <v>43390.5172222222</v>
      </c>
    </row>
    <row r="2465" spans="14:20">
      <c r="N2465" s="7" t="str">
        <f>HYPERLINK("E:\附赠：Excel模板\精美EXCEL模板\其他1000例\学校现金流量决算表.xls","学校现金流量决算表.xls")</f>
        <v>学校现金流量决算表.xls</v>
      </c>
      <c r="Q2465">
        <v>0.02</v>
      </c>
      <c r="R2465" s="7" t="str">
        <f t="shared" si="51"/>
        <v>E:\附赠：Excel模板\精美EXCEL模板\其他1000例</v>
      </c>
      <c r="S2465" s="9">
        <v>43600.3821643519</v>
      </c>
      <c r="T2465" s="9">
        <v>43390.5172222222</v>
      </c>
    </row>
    <row r="2466" spans="14:20">
      <c r="N2466" s="7" t="str">
        <f>HYPERLINK("E:\附赠：Excel模板\精美EXCEL模板\其他1000例\学校现金流量表.xls","学校现金流量表.xls")</f>
        <v>学校现金流量表.xls</v>
      </c>
      <c r="Q2466">
        <v>0.02</v>
      </c>
      <c r="R2466" s="7" t="str">
        <f t="shared" si="51"/>
        <v>E:\附赠：Excel模板\精美EXCEL模板\其他1000例</v>
      </c>
      <c r="S2466" s="9">
        <v>43600.3821643519</v>
      </c>
      <c r="T2466" s="9">
        <v>43390.5172222222</v>
      </c>
    </row>
    <row r="2467" spans="14:20">
      <c r="N2467" s="7" t="str">
        <f>HYPERLINK("E:\附赠：Excel模板\精美EXCEL模板\其他1000例\学校現金收支概況表.xls","学校現金收支概況表.xls")</f>
        <v>学校現金收支概況表.xls</v>
      </c>
      <c r="Q2467">
        <v>0.02</v>
      </c>
      <c r="R2467" s="7" t="str">
        <f t="shared" si="51"/>
        <v>E:\附赠：Excel模板\精美EXCEL模板\其他1000例</v>
      </c>
      <c r="S2467" s="9">
        <v>43600.3821643519</v>
      </c>
      <c r="T2467" s="9">
        <v>43390.5172453704</v>
      </c>
    </row>
    <row r="2468" spans="14:20">
      <c r="N2468" s="7" t="str">
        <f>HYPERLINK("E:\附赠：Excel模板\精美EXCEL模板\其他1000例\学校管理高级研讨班报名回执.xls","学校管理高级研讨班报名回执.xls")</f>
        <v>学校管理高级研讨班报名回执.xls</v>
      </c>
      <c r="Q2468">
        <v>0.02</v>
      </c>
      <c r="R2468" s="7" t="str">
        <f t="shared" si="51"/>
        <v>E:\附赠：Excel模板\精美EXCEL模板\其他1000例</v>
      </c>
      <c r="S2468" s="9">
        <v>43600.3821643519</v>
      </c>
      <c r="T2468" s="9">
        <v>43390.5172453704</v>
      </c>
    </row>
    <row r="2469" spans="14:20">
      <c r="N2469" s="7" t="str">
        <f>HYPERLINK("E:\附赠：Excel模板\精美EXCEL模板\其他1000例\学校综合投资效益验收统计表.xls","学校综合投资效益验收统计表.xls")</f>
        <v>学校综合投资效益验收统计表.xls</v>
      </c>
      <c r="Q2469">
        <v>0.02</v>
      </c>
      <c r="R2469" s="7" t="str">
        <f t="shared" si="51"/>
        <v>E:\附赠：Excel模板\精美EXCEL模板\其他1000例</v>
      </c>
      <c r="S2469" s="9">
        <v>43600.3821643519</v>
      </c>
      <c r="T2469" s="9">
        <v>43390.5172222222</v>
      </c>
    </row>
    <row r="2470" spans="14:20">
      <c r="N2470" s="7" t="str">
        <f>HYPERLINK("E:\附赠：Excel模板\精美EXCEL模板\其他1000例\学校考试安排.xls","学校考试安排.xls")</f>
        <v>学校考试安排.xls</v>
      </c>
      <c r="Q2470">
        <v>0.02</v>
      </c>
      <c r="R2470" s="7" t="str">
        <f t="shared" si="51"/>
        <v>E:\附赠：Excel模板\精美EXCEL模板\其他1000例</v>
      </c>
      <c r="S2470" s="9">
        <v>43600.3821643519</v>
      </c>
      <c r="T2470" s="9">
        <v>43390.5172222222</v>
      </c>
    </row>
    <row r="2471" spans="14:20">
      <c r="N2471" s="7" t="str">
        <f>HYPERLINK("E:\附赠：Excel模板\精美EXCEL模板\其他1000例\学校财务工作考核条例.xls","学校财务工作考核条例.xls")</f>
        <v>学校财务工作考核条例.xls</v>
      </c>
      <c r="Q2471">
        <v>0.02</v>
      </c>
      <c r="R2471" s="7" t="str">
        <f t="shared" si="51"/>
        <v>E:\附赠：Excel模板\精美EXCEL模板\其他1000例</v>
      </c>
      <c r="S2471" s="9">
        <v>43600.3821643519</v>
      </c>
      <c r="T2471" s="9">
        <v>43390.5172453704</v>
      </c>
    </row>
    <row r="2472" spans="14:20">
      <c r="N2472" s="7" t="str">
        <f>HYPERLINK("E:\附赠：Excel模板\精美EXCEL模板\其他1000例\学校财务自查表.xls","学校财务自查表.xls")</f>
        <v>学校财务自查表.xls</v>
      </c>
      <c r="Q2472">
        <v>0.02</v>
      </c>
      <c r="R2472" s="7" t="str">
        <f t="shared" si="51"/>
        <v>E:\附赠：Excel模板\精美EXCEL模板\其他1000例</v>
      </c>
      <c r="S2472" s="9">
        <v>43600.3821643519</v>
      </c>
      <c r="T2472" s="9">
        <v>43390.5172453704</v>
      </c>
    </row>
    <row r="2473" spans="14:20">
      <c r="N2473" s="7" t="str">
        <f>HYPERLINK("E:\附赠：Excel模板\精美EXCEL模板\其他1000例\学校资金投入与执行情况验收表.xls","学校资金投入与执行情况验收表.xls")</f>
        <v>学校资金投入与执行情况验收表.xls</v>
      </c>
      <c r="Q2473">
        <v>0.02</v>
      </c>
      <c r="R2473" s="7" t="str">
        <f t="shared" si="51"/>
        <v>E:\附赠：Excel模板\精美EXCEL模板\其他1000例</v>
      </c>
      <c r="S2473" s="9">
        <v>43600.3821643519</v>
      </c>
      <c r="T2473" s="9">
        <v>43390.5172222222</v>
      </c>
    </row>
    <row r="2474" spans="14:20">
      <c r="N2474" s="7" t="str">
        <f>HYPERLINK("E:\附赠：Excel模板\精美EXCEL模板\其他1000例\学生参加活动情况统计表.xls","学生参加活动情况统计表.xls")</f>
        <v>学生参加活动情况统计表.xls</v>
      </c>
      <c r="Q2474">
        <v>0.02</v>
      </c>
      <c r="R2474" s="7" t="str">
        <f t="shared" si="51"/>
        <v>E:\附赠：Excel模板\精美EXCEL模板\其他1000例</v>
      </c>
      <c r="S2474" s="9">
        <v>43600.3821643519</v>
      </c>
      <c r="T2474" s="9">
        <v>43390.5172685185</v>
      </c>
    </row>
    <row r="2475" spans="14:20">
      <c r="N2475" s="7" t="str">
        <f>HYPERLINK("E:\附赠：Excel模板\精美EXCEL模板\其他1000例\学生参加科技活动情况统计表.xls","学生参加科技活动情况统计表.xls")</f>
        <v>学生参加科技活动情况统计表.xls</v>
      </c>
      <c r="Q2475">
        <v>0.02</v>
      </c>
      <c r="R2475" s="7" t="str">
        <f t="shared" si="51"/>
        <v>E:\附赠：Excel模板\精美EXCEL模板\其他1000例</v>
      </c>
      <c r="S2475" s="9">
        <v>43600.3821643519</v>
      </c>
      <c r="T2475" s="9">
        <v>43390.5172685185</v>
      </c>
    </row>
    <row r="2476" spans="14:20">
      <c r="N2476" s="7" t="str">
        <f>HYPERLINK("E:\附赠：Excel模板\精美EXCEL模板\其他1000例\学生参加科研活动情况统计表（含发表的论文）.xls","学生参加科研活动情况统计表（含发表的论文）.xls")</f>
        <v>学生参加科研活动情况统计表（含发表的论文）.xls</v>
      </c>
      <c r="Q2476">
        <v>0.02</v>
      </c>
      <c r="R2476" s="7" t="str">
        <f t="shared" si="51"/>
        <v>E:\附赠：Excel模板\精美EXCEL模板\其他1000例</v>
      </c>
      <c r="S2476" s="9">
        <v>43600.3821643519</v>
      </c>
      <c r="T2476" s="9">
        <v>43390.5172685185</v>
      </c>
    </row>
    <row r="2477" spans="14:20">
      <c r="N2477" s="7" t="str">
        <f>HYPERLINK("E:\附赠：Excel模板\精美EXCEL模板\其他1000例\学生变动情况登记表.xls","学生变动情况登记表.xls")</f>
        <v>学生变动情况登记表.xls</v>
      </c>
      <c r="Q2477">
        <v>0.02</v>
      </c>
      <c r="R2477" s="7" t="str">
        <f t="shared" si="51"/>
        <v>E:\附赠：Excel模板\精美EXCEL模板\其他1000例</v>
      </c>
      <c r="S2477" s="9">
        <v>43600.3821643519</v>
      </c>
      <c r="T2477" s="9">
        <v>43390.5172685185</v>
      </c>
    </row>
    <row r="2478" spans="14:20">
      <c r="N2478" s="7" t="str">
        <f>HYPERLINK("E:\附赠：Excel模板\精美EXCEL模板\其他1000例\学生各类获奖及受表彰情况统计.xls","学生各类获奖及受表彰情况统计.xls")</f>
        <v>学生各类获奖及受表彰情况统计.xls</v>
      </c>
      <c r="Q2478">
        <v>0.02</v>
      </c>
      <c r="R2478" s="7" t="str">
        <f t="shared" si="51"/>
        <v>E:\附赠：Excel模板\精美EXCEL模板\其他1000例</v>
      </c>
      <c r="S2478" s="9">
        <v>43600.3821643519</v>
      </c>
      <c r="T2478" s="9">
        <v>43390.5172685185</v>
      </c>
    </row>
    <row r="2479" spans="14:20">
      <c r="N2479" s="7" t="str">
        <f>HYPERLINK("E:\附赠：Excel模板\精美EXCEL模板\其他1000例\学生家庭住址情况统计.xls","学生家庭住址情况统计.xls")</f>
        <v>学生家庭住址情况统计.xls</v>
      </c>
      <c r="Q2479">
        <v>0.02</v>
      </c>
      <c r="R2479" s="7" t="str">
        <f t="shared" si="51"/>
        <v>E:\附赠：Excel模板\精美EXCEL模板\其他1000例</v>
      </c>
      <c r="S2479" s="9">
        <v>43600.3821643519</v>
      </c>
      <c r="T2479" s="9">
        <v>43390.5172685185</v>
      </c>
    </row>
    <row r="2480" spans="14:20">
      <c r="N2480" s="7" t="str">
        <f>HYPERLINK("E:\附赠：Excel模板\精美EXCEL模板\其他1000例\学生成绩报告单.xls","学生成绩报告单.xls")</f>
        <v>学生成绩报告单.xls</v>
      </c>
      <c r="Q2480">
        <v>0.02</v>
      </c>
      <c r="R2480" s="7" t="str">
        <f t="shared" si="51"/>
        <v>E:\附赠：Excel模板\精美EXCEL模板\其他1000例</v>
      </c>
      <c r="S2480" s="9">
        <v>43600.3821643519</v>
      </c>
      <c r="T2480" s="9">
        <v>43390.5172685185</v>
      </c>
    </row>
    <row r="2481" spans="14:20">
      <c r="N2481" s="7" t="str">
        <f>HYPERLINK("E:\附赠：Excel模板\精美EXCEL模板\其他1000例\学生成绩表.xls","学生成绩表.xls")</f>
        <v>学生成绩表.xls</v>
      </c>
      <c r="Q2481">
        <v>0.03</v>
      </c>
      <c r="R2481" s="7" t="str">
        <f t="shared" si="51"/>
        <v>E:\附赠：Excel模板\精美EXCEL模板\其他1000例</v>
      </c>
      <c r="S2481" s="9">
        <v>43600.3821643519</v>
      </c>
      <c r="T2481" s="9">
        <v>43390.5172685185</v>
      </c>
    </row>
    <row r="2482" spans="14:20">
      <c r="N2482" s="7" t="str">
        <f>HYPERLINK("E:\附赠：Excel模板\精美EXCEL模板\其他1000例\学生成绩表2.xls","学生成绩表2.xls")</f>
        <v>学生成绩表2.xls</v>
      </c>
      <c r="Q2482">
        <v>0.03</v>
      </c>
      <c r="R2482" s="7" t="str">
        <f t="shared" si="51"/>
        <v>E:\附赠：Excel模板\精美EXCEL模板\其他1000例</v>
      </c>
      <c r="S2482" s="9">
        <v>43600.3821643519</v>
      </c>
      <c r="T2482" s="9">
        <v>43390.5172685185</v>
      </c>
    </row>
    <row r="2483" spans="14:20">
      <c r="N2483" s="7" t="str">
        <f>HYPERLINK("E:\附赠：Excel模板\精美EXCEL模板\其他1000例\学生成绩表（分析表）.xls","学生成绩表（分析表）.xls")</f>
        <v>学生成绩表（分析表）.xls</v>
      </c>
      <c r="Q2483">
        <v>0.03</v>
      </c>
      <c r="R2483" s="7" t="str">
        <f t="shared" si="51"/>
        <v>E:\附赠：Excel模板\精美EXCEL模板\其他1000例</v>
      </c>
      <c r="S2483" s="9">
        <v>43600.3821643519</v>
      </c>
      <c r="T2483" s="9">
        <v>43390.5172685185</v>
      </c>
    </row>
    <row r="2484" spans="14:20">
      <c r="N2484" s="7" t="str">
        <f>HYPERLINK("E:\附赠：Excel模板\精美EXCEL模板\其他1000例\学生毕业率学位比例考研率.xls","学生毕业率学位比例考研率.xls")</f>
        <v>学生毕业率学位比例考研率.xls</v>
      </c>
      <c r="Q2484">
        <v>0.02</v>
      </c>
      <c r="R2484" s="7" t="str">
        <f t="shared" si="51"/>
        <v>E:\附赠：Excel模板\精美EXCEL模板\其他1000例</v>
      </c>
      <c r="S2484" s="9">
        <v>43600.3821643519</v>
      </c>
      <c r="T2484" s="9">
        <v>43390.5172685185</v>
      </c>
    </row>
    <row r="2485" spans="14:20">
      <c r="N2485" s="7" t="str">
        <f>HYPERLINK("E:\附赠：Excel模板\精美EXCEL模板\其他1000例\学生物理学习情况问卷表.xls","学生物理学习情况问卷表.xls")</f>
        <v>学生物理学习情况问卷表.xls</v>
      </c>
      <c r="Q2485">
        <v>0.05</v>
      </c>
      <c r="R2485" s="7" t="str">
        <f t="shared" si="51"/>
        <v>E:\附赠：Excel模板\精美EXCEL模板\其他1000例</v>
      </c>
      <c r="S2485" s="9">
        <v>43600.3821643519</v>
      </c>
      <c r="T2485" s="9">
        <v>43390.5172453704</v>
      </c>
    </row>
    <row r="2486" spans="14:20">
      <c r="N2486" s="7" t="str">
        <f>HYPERLINK("E:\附赠：Excel模板\精美EXCEL模板\其他1000例\学生社团情况统计表.xls","学生社团情况统计表.xls")</f>
        <v>学生社团情况统计表.xls</v>
      </c>
      <c r="Q2486">
        <v>0.02</v>
      </c>
      <c r="R2486" s="7" t="str">
        <f t="shared" si="51"/>
        <v>E:\附赠：Excel模板\精美EXCEL模板\其他1000例</v>
      </c>
      <c r="S2486" s="9">
        <v>43600.3821643519</v>
      </c>
      <c r="T2486" s="9">
        <v>43390.5172453704</v>
      </c>
    </row>
    <row r="2487" spans="14:20">
      <c r="N2487" s="7" t="str">
        <f>HYPERLINK("E:\附赠：Excel模板\精美EXCEL模板\其他1000例\学生缺课情况统计表.xls","学生缺课情况统计表.xls")</f>
        <v>学生缺课情况统计表.xls</v>
      </c>
      <c r="Q2487">
        <v>0.02</v>
      </c>
      <c r="R2487" s="7" t="str">
        <f t="shared" si="51"/>
        <v>E:\附赠：Excel模板\精美EXCEL模板\其他1000例</v>
      </c>
      <c r="S2487" s="9">
        <v>43600.3821643519</v>
      </c>
      <c r="T2487" s="9">
        <v>43390.5172453704</v>
      </c>
    </row>
    <row r="2488" spans="14:20">
      <c r="N2488" s="7" t="str">
        <f>HYPERLINK("E:\附赠：Excel模板\精美EXCEL模板\其他1000例\学生记分册.xls","学生记分册.xls")</f>
        <v>学生记分册.xls</v>
      </c>
      <c r="Q2488">
        <v>0.02</v>
      </c>
      <c r="R2488" s="7" t="str">
        <f t="shared" si="51"/>
        <v>E:\附赠：Excel模板\精美EXCEL模板\其他1000例</v>
      </c>
      <c r="S2488" s="9">
        <v>43600.3821643519</v>
      </c>
      <c r="T2488" s="9">
        <v>43390.5172685185</v>
      </c>
    </row>
    <row r="2489" spans="14:20">
      <c r="N2489" s="7" t="str">
        <f>HYPERLINK("E:\附赠：Excel模板\精美EXCEL模板\其他1000例\学生贷款统计表.xls","学生贷款统计表.xls")</f>
        <v>学生贷款统计表.xls</v>
      </c>
      <c r="Q2489">
        <v>0.02</v>
      </c>
      <c r="R2489" s="7" t="str">
        <f t="shared" si="51"/>
        <v>E:\附赠：Excel模板\精美EXCEL模板\其他1000例</v>
      </c>
      <c r="S2489" s="9">
        <v>43600.3821643519</v>
      </c>
      <c r="T2489" s="9">
        <v>43390.5172685185</v>
      </c>
    </row>
    <row r="2490" spans="14:20">
      <c r="N2490" s="7" t="str">
        <f>HYPERLINK("E:\附赠：Excel模板\精美EXCEL模板\其他1000例\学生违纪情况统计表.xls","学生违纪情况统计表.xls")</f>
        <v>学生违纪情况统计表.xls</v>
      </c>
      <c r="Q2490">
        <v>0.02</v>
      </c>
      <c r="R2490" s="7" t="str">
        <f t="shared" si="51"/>
        <v>E:\附赠：Excel模板\精美EXCEL模板\其他1000例</v>
      </c>
      <c r="S2490" s="9">
        <v>43600.3821643519</v>
      </c>
      <c r="T2490" s="9">
        <v>43390.5172453704</v>
      </c>
    </row>
    <row r="2491" spans="14:20">
      <c r="N2491" s="7" t="str">
        <f>HYPERLINK("E:\附赠：Excel模板\精美EXCEL模板\其他1000例\学费结算单.xls","学费结算单.xls")</f>
        <v>学费结算单.xls</v>
      </c>
      <c r="Q2491">
        <v>0.02</v>
      </c>
      <c r="R2491" s="7" t="str">
        <f t="shared" ref="R2491:R2554" si="52">HYPERLINK("E:\附赠：Excel模板\精美EXCEL模板\其他1000例","E:\附赠：Excel模板\精美EXCEL模板\其他1000例")</f>
        <v>E:\附赠：Excel模板\精美EXCEL模板\其他1000例</v>
      </c>
      <c r="S2491" s="9">
        <v>43600.3821643519</v>
      </c>
      <c r="T2491" s="9">
        <v>43390.5172685185</v>
      </c>
    </row>
    <row r="2492" spans="14:20">
      <c r="N2492" s="7" t="str">
        <f>HYPERLINK("E:\附赠：Excel模板\精美EXCEL模板\其他1000例\学费结算单2.xls","学费结算单2.xls")</f>
        <v>学费结算单2.xls</v>
      </c>
      <c r="Q2492">
        <v>0.02</v>
      </c>
      <c r="R2492" s="7" t="str">
        <f t="shared" si="52"/>
        <v>E:\附赠：Excel模板\精美EXCEL模板\其他1000例</v>
      </c>
      <c r="S2492" s="9">
        <v>43600.3821643519</v>
      </c>
      <c r="T2492" s="9">
        <v>43390.5172685185</v>
      </c>
    </row>
    <row r="2493" spans="14:20">
      <c r="N2493" s="7" t="str">
        <f>HYPERLINK("E:\附赠：Excel模板\精美EXCEL模板\其他1000例\学院会计学专业（本）学生成绩册.xls","学院会计学专业（本）学生成绩册.xls")</f>
        <v>学院会计学专业（本）学生成绩册.xls</v>
      </c>
      <c r="Q2493">
        <v>0.02</v>
      </c>
      <c r="R2493" s="7" t="str">
        <f t="shared" si="52"/>
        <v>E:\附赠：Excel模板\精美EXCEL模板\其他1000例</v>
      </c>
      <c r="S2493" s="9">
        <v>43600.3821643519</v>
      </c>
      <c r="T2493" s="9">
        <v>43390.5171990741</v>
      </c>
    </row>
    <row r="2494" spans="14:20">
      <c r="N2494" s="7" t="str">
        <f>HYPERLINK("E:\附赠：Excel模板\精美EXCEL模板\其他1000例\学院党建迎考材料目录.xls","学院党建迎考材料目录.xls")</f>
        <v>学院党建迎考材料目录.xls</v>
      </c>
      <c r="Q2494">
        <v>0.03</v>
      </c>
      <c r="R2494" s="7" t="str">
        <f t="shared" si="52"/>
        <v>E:\附赠：Excel模板\精美EXCEL模板\其他1000例</v>
      </c>
      <c r="S2494" s="9">
        <v>43600.3821643519</v>
      </c>
      <c r="T2494" s="9">
        <v>43390.5171990741</v>
      </c>
    </row>
    <row r="2495" spans="14:20">
      <c r="N2495" s="7" t="str">
        <f>HYPERLINK("E:\附赠：Excel模板\精美EXCEL模板\其他1000例\学院党校学员登记表.xls","学院党校学员登记表.xls")</f>
        <v>学院党校学员登记表.xls</v>
      </c>
      <c r="Q2495">
        <v>0.04</v>
      </c>
      <c r="R2495" s="7" t="str">
        <f t="shared" si="52"/>
        <v>E:\附赠：Excel模板\精美EXCEL模板\其他1000例</v>
      </c>
      <c r="S2495" s="9">
        <v>43600.3821643519</v>
      </c>
      <c r="T2495" s="9">
        <v>43390.5171990741</v>
      </c>
    </row>
    <row r="2496" spans="14:20">
      <c r="N2496" s="7" t="str">
        <f>HYPERLINK("E:\附赠：Excel模板\精美EXCEL模板\其他1000例\学院具体承办的国内和国家学术研讨会情况统计表.xls","学院具体承办的国内和国家学术研讨会情况统计表.xls")</f>
        <v>学院具体承办的国内和国家学术研讨会情况统计表.xls</v>
      </c>
      <c r="Q2496">
        <v>0.02</v>
      </c>
      <c r="R2496" s="7" t="str">
        <f t="shared" si="52"/>
        <v>E:\附赠：Excel模板\精美EXCEL模板\其他1000例</v>
      </c>
      <c r="S2496" s="9">
        <v>43600.3821643519</v>
      </c>
      <c r="T2496" s="9">
        <v>43390.5171990741</v>
      </c>
    </row>
    <row r="2497" spans="14:20">
      <c r="N2497" s="7" t="str">
        <f>HYPERLINK("E:\附赠：Excel模板\精美EXCEL模板\其他1000例\学院博士生导师统计表.xls","学院博士生导师统计表.xls")</f>
        <v>学院博士生导师统计表.xls</v>
      </c>
      <c r="Q2497">
        <v>0.02</v>
      </c>
      <c r="R2497" s="7" t="str">
        <f t="shared" si="52"/>
        <v>E:\附赠：Excel模板\精美EXCEL模板\其他1000例</v>
      </c>
      <c r="S2497" s="9">
        <v>43600.3821643519</v>
      </c>
      <c r="T2497" s="9">
        <v>43390.5171990741</v>
      </c>
    </row>
    <row r="2498" spans="14:20">
      <c r="N2498" s="7" t="str">
        <f>HYPERLINK("E:\附赠：Excel模板\精美EXCEL模板\其他1000例\学院图书室（分馆）及资料--览表.xls","学院图书室（分馆）及资料--览表.xls")</f>
        <v>学院图书室（分馆）及资料--览表.xls</v>
      </c>
      <c r="Q2498">
        <v>0.02</v>
      </c>
      <c r="R2498" s="7" t="str">
        <f t="shared" si="52"/>
        <v>E:\附赠：Excel模板\精美EXCEL模板\其他1000例</v>
      </c>
      <c r="S2498" s="9">
        <v>43600.3821643519</v>
      </c>
      <c r="T2498" s="9">
        <v>43390.5171990741</v>
      </c>
    </row>
    <row r="2499" spans="14:20">
      <c r="N2499" s="7" t="str">
        <f>HYPERLINK("E:\附赠：Excel模板\精美EXCEL模板\其他1000例\学院图书室（分馆）资料管理及使用情况.xls","学院图书室（分馆）资料管理及使用情况.xls")</f>
        <v>学院图书室（分馆）资料管理及使用情况.xls</v>
      </c>
      <c r="Q2499">
        <v>0.02</v>
      </c>
      <c r="R2499" s="7" t="str">
        <f t="shared" si="52"/>
        <v>E:\附赠：Excel模板\精美EXCEL模板\其他1000例</v>
      </c>
      <c r="S2499" s="9">
        <v>43600.3821643519</v>
      </c>
      <c r="T2499" s="9">
        <v>43390.5171990741</v>
      </c>
    </row>
    <row r="2500" spans="14:20">
      <c r="N2500" s="7" t="str">
        <f>HYPERLINK("E:\附赠：Excel模板\精美EXCEL模板\其他1000例\学院在国内外各类进修人员情况一览表及分析.xls","学院在国内外各类进修人员情况一览表及分析.xls")</f>
        <v>学院在国内外各类进修人员情况一览表及分析.xls</v>
      </c>
      <c r="Q2500">
        <v>0.02</v>
      </c>
      <c r="R2500" s="7" t="str">
        <f t="shared" si="52"/>
        <v>E:\附赠：Excel模板\精美EXCEL模板\其他1000例</v>
      </c>
      <c r="S2500" s="9">
        <v>43600.3821643519</v>
      </c>
      <c r="T2500" s="9">
        <v>43390.5171759259</v>
      </c>
    </row>
    <row r="2501" spans="14:20">
      <c r="N2501" s="7" t="str">
        <f>HYPERLINK("E:\附赠：Excel模板\精美EXCEL模板\其他1000例\学院外聘专家情况统计表.xls","学院外聘专家情况统计表.xls")</f>
        <v>学院外聘专家情况统计表.xls</v>
      </c>
      <c r="Q2501">
        <v>0.02</v>
      </c>
      <c r="R2501" s="7" t="str">
        <f t="shared" si="52"/>
        <v>E:\附赠：Excel模板\精美EXCEL模板\其他1000例</v>
      </c>
      <c r="S2501" s="9">
        <v>43600.3821643519</v>
      </c>
      <c r="T2501" s="9">
        <v>43390.5171990741</v>
      </c>
    </row>
    <row r="2502" spans="14:20">
      <c r="N2502" s="7" t="str">
        <f>HYPERLINK("E:\附赠：Excel模板\精美EXCEL模板\其他1000例\学院学术梯队情况统计表.xls","学院学术梯队情况统计表.xls")</f>
        <v>学院学术梯队情况统计表.xls</v>
      </c>
      <c r="Q2502">
        <v>0.02</v>
      </c>
      <c r="R2502" s="7" t="str">
        <f t="shared" si="52"/>
        <v>E:\附赠：Excel模板\精美EXCEL模板\其他1000例</v>
      </c>
      <c r="S2502" s="9">
        <v>43600.3821643519</v>
      </c>
      <c r="T2502" s="9">
        <v>43390.5171759259</v>
      </c>
    </row>
    <row r="2503" spans="14:20">
      <c r="N2503" s="7" t="str">
        <f>HYPERLINK("E:\附赠：Excel模板\精美EXCEL模板\其他1000例\学院学科带头人统计表.xls","学院学科带头人统计表.xls")</f>
        <v>学院学科带头人统计表.xls</v>
      </c>
      <c r="Q2503">
        <v>0.02</v>
      </c>
      <c r="R2503" s="7" t="str">
        <f t="shared" si="52"/>
        <v>E:\附赠：Excel模板\精美EXCEL模板\其他1000例</v>
      </c>
      <c r="S2503" s="9">
        <v>43600.3821643519</v>
      </c>
      <c r="T2503" s="9">
        <v>43390.5171759259</v>
      </c>
    </row>
    <row r="2504" spans="14:20">
      <c r="N2504" s="7" t="str">
        <f>HYPERLINK("E:\附赠：Excel模板\精美EXCEL模板\其他1000例\学院导师学生名单.xls","学院导师学生名单.xls")</f>
        <v>学院导师学生名单.xls</v>
      </c>
      <c r="Q2504">
        <v>0.01</v>
      </c>
      <c r="R2504" s="7" t="str">
        <f t="shared" si="52"/>
        <v>E:\附赠：Excel模板\精美EXCEL模板\其他1000例</v>
      </c>
      <c r="S2504" s="9">
        <v>43600.3821643519</v>
      </c>
      <c r="T2504" s="9">
        <v>43390.5171990741</v>
      </c>
    </row>
    <row r="2505" spans="14:20">
      <c r="N2505" s="7" t="str">
        <f>HYPERLINK("E:\附赠：Excel模板\精美EXCEL模板\其他1000例\学院干训班学员登记表.xls","学院干训班学员登记表.xls")</f>
        <v>学院干训班学员登记表.xls</v>
      </c>
      <c r="Q2505">
        <v>0.02</v>
      </c>
      <c r="R2505" s="7" t="str">
        <f t="shared" si="52"/>
        <v>E:\附赠：Excel模板\精美EXCEL模板\其他1000例</v>
      </c>
      <c r="S2505" s="9">
        <v>43600.3821643519</v>
      </c>
      <c r="T2505" s="9">
        <v>43390.5171990741</v>
      </c>
    </row>
    <row r="2506" spans="14:20">
      <c r="N2506" s="7" t="str">
        <f>HYPERLINK("E:\附赠：Excel模板\精美EXCEL模板\其他1000例\学院年度财务决算.xls","学院年度财务决算.xls")</f>
        <v>学院年度财务决算.xls</v>
      </c>
      <c r="Q2506">
        <v>0.02</v>
      </c>
      <c r="R2506" s="7" t="str">
        <f t="shared" si="52"/>
        <v>E:\附赠：Excel模板\精美EXCEL模板\其他1000例</v>
      </c>
      <c r="S2506" s="9">
        <v>43600.3821643519</v>
      </c>
      <c r="T2506" s="9">
        <v>43390.5171990741</v>
      </c>
    </row>
    <row r="2507" spans="14:20">
      <c r="N2507" s="7" t="str">
        <f>HYPERLINK("E:\附赠：Excel模板\精美EXCEL模板\其他1000例\学院开展思想道德与文化素质讲座情况一览表.xls","学院开展思想道德与文化素质讲座情况一览表.xls")</f>
        <v>学院开展思想道德与文化素质讲座情况一览表.xls</v>
      </c>
      <c r="Q2507">
        <v>0.02</v>
      </c>
      <c r="R2507" s="7" t="str">
        <f t="shared" si="52"/>
        <v>E:\附赠：Excel模板\精美EXCEL模板\其他1000例</v>
      </c>
      <c r="S2507" s="9">
        <v>43600.3821643519</v>
      </c>
      <c r="T2507" s="9">
        <v>43390.5171990741</v>
      </c>
    </row>
    <row r="2508" spans="14:20">
      <c r="N2508" s="7" t="str">
        <f>HYPERLINK("E:\附赠：Excel模板\精美EXCEL模板\其他1000例\学院教师在职攻读硕士、博士情况统计表.xls","学院教师在职攻读硕士、博士情况统计表.xls")</f>
        <v>学院教师在职攻读硕士、博士情况统计表.xls</v>
      </c>
      <c r="Q2508">
        <v>0.02</v>
      </c>
      <c r="R2508" s="7" t="str">
        <f t="shared" si="52"/>
        <v>E:\附赠：Excel模板\精美EXCEL模板\其他1000例</v>
      </c>
      <c r="S2508" s="9">
        <v>43600.3821643519</v>
      </c>
      <c r="T2508" s="9">
        <v>43390.5171990741</v>
      </c>
    </row>
    <row r="2509" spans="14:20">
      <c r="N2509" s="7" t="str">
        <f>HYPERLINK("E:\附赠：Excel模板\精美EXCEL模板\其他1000例\学院教师年龄结构情况统计表.xls","学院教师年龄结构情况统计表.xls")</f>
        <v>学院教师年龄结构情况统计表.xls</v>
      </c>
      <c r="Q2509">
        <v>0.02</v>
      </c>
      <c r="R2509" s="7" t="str">
        <f t="shared" si="52"/>
        <v>E:\附赠：Excel模板\精美EXCEL模板\其他1000例</v>
      </c>
      <c r="S2509" s="9">
        <v>43600.3821643519</v>
      </c>
      <c r="T2509" s="9">
        <v>43390.5171990741</v>
      </c>
    </row>
    <row r="2510" spans="14:20">
      <c r="N2510" s="7" t="str">
        <f>HYPERLINK("E:\附赠：Excel模板\精美EXCEL模板\其他1000例\学院本科毕业设计（论文）成绩、获奖情况一览表.xls","学院本科毕业设计（论文）成绩、获奖情况一览表.xls")</f>
        <v>学院本科毕业设计（论文）成绩、获奖情况一览表.xls</v>
      </c>
      <c r="Q2510">
        <v>0.02</v>
      </c>
      <c r="R2510" s="7" t="str">
        <f t="shared" si="52"/>
        <v>E:\附赠：Excel模板\精美EXCEL模板\其他1000例</v>
      </c>
      <c r="S2510" s="9">
        <v>43600.3821643519</v>
      </c>
      <c r="T2510" s="9">
        <v>43390.5172222222</v>
      </c>
    </row>
    <row r="2511" spans="14:20">
      <c r="N2511" s="7" t="str">
        <f>HYPERLINK("E:\附赠：Excel模板\精美EXCEL模板\其他1000例\学院本科毕业设计（论文）题目一览表.xls","学院本科毕业设计（论文）题目一览表.xls")</f>
        <v>学院本科毕业设计（论文）题目一览表.xls</v>
      </c>
      <c r="Q2511">
        <v>0.02</v>
      </c>
      <c r="R2511" s="7" t="str">
        <f t="shared" si="52"/>
        <v>E:\附赠：Excel模板\精美EXCEL模板\其他1000例</v>
      </c>
      <c r="S2511" s="9">
        <v>43600.3821643519</v>
      </c>
      <c r="T2511" s="9">
        <v>43390.5172222222</v>
      </c>
    </row>
    <row r="2512" spans="14:20">
      <c r="N2512" s="7" t="str">
        <f>HYPERLINK("E:\附赠：Excel模板\精美EXCEL模板\其他1000例\学院课程报名申请表.xls","学院课程报名申请表.xls")</f>
        <v>学院课程报名申请表.xls</v>
      </c>
      <c r="Q2512">
        <v>0.02</v>
      </c>
      <c r="R2512" s="7" t="str">
        <f t="shared" si="52"/>
        <v>E:\附赠：Excel模板\精美EXCEL模板\其他1000例</v>
      </c>
      <c r="S2512" s="9">
        <v>43600.3821643519</v>
      </c>
      <c r="T2512" s="9">
        <v>43390.5171990741</v>
      </c>
    </row>
    <row r="2513" spans="14:20">
      <c r="N2513" s="7" t="str">
        <f>HYPERLINK("E:\附赠：Excel模板\精美EXCEL模板\其他1000例\学院财务收支简要说明.xls","学院财务收支简要说明.xls")</f>
        <v>学院财务收支简要说明.xls</v>
      </c>
      <c r="Q2513">
        <v>0.02</v>
      </c>
      <c r="R2513" s="7" t="str">
        <f t="shared" si="52"/>
        <v>E:\附赠：Excel模板\精美EXCEL模板\其他1000例</v>
      </c>
      <c r="S2513" s="9">
        <v>43600.3821643519</v>
      </c>
      <c r="T2513" s="9">
        <v>43390.5171990741</v>
      </c>
    </row>
    <row r="2514" spans="14:20">
      <c r="N2514" s="7" t="str">
        <f>HYPERLINK("E:\附赠：Excel模板\精美EXCEL模板\其他1000例\学院院务公开一览表.xls","学院院务公开一览表.xls")</f>
        <v>学院院务公开一览表.xls</v>
      </c>
      <c r="Q2514">
        <v>0.02</v>
      </c>
      <c r="R2514" s="7" t="str">
        <f t="shared" si="52"/>
        <v>E:\附赠：Excel模板\精美EXCEL模板\其他1000例</v>
      </c>
      <c r="S2514" s="9">
        <v>43600.3821643519</v>
      </c>
      <c r="T2514" s="9">
        <v>43390.5171759259</v>
      </c>
    </row>
    <row r="2515" spans="14:20">
      <c r="N2515" s="7" t="str">
        <f>HYPERLINK("E:\附赠：Excel模板\精美EXCEL模板\其他1000例\學校年學生輔導紀錄表.xls","學校年學生輔導紀錄表.xls")</f>
        <v>學校年學生輔導紀錄表.xls</v>
      </c>
      <c r="Q2515">
        <v>0.02</v>
      </c>
      <c r="R2515" s="7" t="str">
        <f t="shared" si="52"/>
        <v>E:\附赠：Excel模板\精美EXCEL模板\其他1000例</v>
      </c>
      <c r="S2515" s="9">
        <v>43600.3821643519</v>
      </c>
      <c r="T2515" s="9">
        <v>43390.5183333333</v>
      </c>
    </row>
    <row r="2516" spans="14:20">
      <c r="N2516" s="7" t="str">
        <f>HYPERLINK("E:\附赠：Excel模板\精美EXCEL模板\其他1000例\學校財務收支.xls","學校財務收支.xls")</f>
        <v>學校財務收支.xls</v>
      </c>
      <c r="Q2516">
        <v>0.02</v>
      </c>
      <c r="R2516" s="7" t="str">
        <f t="shared" si="52"/>
        <v>E:\附赠：Excel模板\精美EXCEL模板\其他1000例</v>
      </c>
      <c r="S2516" s="9">
        <v>43600.3821643519</v>
      </c>
      <c r="T2516" s="9">
        <v>43390.5183333333</v>
      </c>
    </row>
    <row r="2517" spans="14:20">
      <c r="N2517" s="7" t="str">
        <f>HYPERLINK("E:\附赠：Excel模板\精美EXCEL模板\其他1000例\學生家庭通訊錄.xls","學生家庭通訊錄.xls")</f>
        <v>學生家庭通訊錄.xls</v>
      </c>
      <c r="Q2517">
        <v>0.02</v>
      </c>
      <c r="R2517" s="7" t="str">
        <f t="shared" si="52"/>
        <v>E:\附赠：Excel模板\精美EXCEL模板\其他1000例</v>
      </c>
      <c r="S2517" s="9">
        <v>43600.3821643519</v>
      </c>
      <c r="T2517" s="9">
        <v>43390.5183333333</v>
      </c>
    </row>
    <row r="2518" spans="14:20">
      <c r="N2518" s="7" t="str">
        <f>HYPERLINK("E:\附赠：Excel模板\精美EXCEL模板\其他1000例\學生會收支報告表.xls","學生會收支報告表.xls")</f>
        <v>學生會收支報告表.xls</v>
      </c>
      <c r="Q2518">
        <v>0.02</v>
      </c>
      <c r="R2518" s="7" t="str">
        <f t="shared" si="52"/>
        <v>E:\附赠：Excel模板\精美EXCEL模板\其他1000例</v>
      </c>
      <c r="S2518" s="9">
        <v>43600.3821643519</v>
      </c>
      <c r="T2518" s="9">
        <v>43390.5183333333</v>
      </c>
    </row>
    <row r="2519" spans="14:20">
      <c r="N2519" s="7" t="str">
        <f>HYPERLINK("E:\附赠：Excel模板\精美EXCEL模板\其他1000例\學院失業家庭學生補助金申請表.xls","學院失業家庭學生補助金申請表.xls")</f>
        <v>學院失業家庭學生補助金申請表.xls</v>
      </c>
      <c r="Q2519">
        <v>0.02</v>
      </c>
      <c r="R2519" s="7" t="str">
        <f t="shared" si="52"/>
        <v>E:\附赠：Excel模板\精美EXCEL模板\其他1000例</v>
      </c>
      <c r="S2519" s="9">
        <v>43600.3821643519</v>
      </c>
      <c r="T2519" s="9">
        <v>43390.5183333333</v>
      </c>
    </row>
    <row r="2520" spans="14:20">
      <c r="N2520" s="7" t="str">
        <f>HYPERLINK("E:\附赠：Excel模板\精美EXCEL模板\其他1000例\宏观月度库.xls","宏观月度库.xls")</f>
        <v>宏观月度库.xls</v>
      </c>
      <c r="Q2520">
        <v>0.05</v>
      </c>
      <c r="R2520" s="7" t="str">
        <f t="shared" si="52"/>
        <v>E:\附赠：Excel模板\精美EXCEL模板\其他1000例</v>
      </c>
      <c r="S2520" s="9">
        <v>43600.3821643519</v>
      </c>
      <c r="T2520" s="9">
        <v>43390.517962963</v>
      </c>
    </row>
    <row r="2521" spans="14:20">
      <c r="N2521" s="7" t="str">
        <f>HYPERLINK("E:\附赠：Excel模板\精美EXCEL模板\其他1000例\定期存款情况明细表.xls","定期存款情况明细表.xls")</f>
        <v>定期存款情况明细表.xls</v>
      </c>
      <c r="Q2521">
        <v>0.01</v>
      </c>
      <c r="R2521" s="7" t="str">
        <f t="shared" si="52"/>
        <v>E:\附赠：Excel模板\精美EXCEL模板\其他1000例</v>
      </c>
      <c r="S2521" s="9">
        <v>43600.3821643519</v>
      </c>
      <c r="T2521" s="9">
        <v>43390.5181018518</v>
      </c>
    </row>
    <row r="2522" spans="14:20">
      <c r="N2522" s="7" t="str">
        <f>HYPERLINK("E:\附赠：Excel模板\精美EXCEL模板\其他1000例\定点扶贫情况统计表.xls","定点扶贫情况统计表.xls")</f>
        <v>定点扶贫情况统计表.xls</v>
      </c>
      <c r="Q2522">
        <v>0.03</v>
      </c>
      <c r="R2522" s="7" t="str">
        <f t="shared" si="52"/>
        <v>E:\附赠：Excel模板\精美EXCEL模板\其他1000例</v>
      </c>
      <c r="S2522" s="9">
        <v>43600.3821643519</v>
      </c>
      <c r="T2522" s="9">
        <v>43390.5181018518</v>
      </c>
    </row>
    <row r="2523" spans="14:20">
      <c r="N2523" s="7" t="str">
        <f>HYPERLINK("E:\附赠：Excel模板\精美EXCEL模板\其他1000例\实收资本明细表.xls","实收资本明细表.xls")</f>
        <v>实收资本明细表.xls</v>
      </c>
      <c r="Q2523">
        <v>0.02</v>
      </c>
      <c r="R2523" s="7" t="str">
        <f t="shared" si="52"/>
        <v>E:\附赠：Excel模板\精美EXCEL模板\其他1000例</v>
      </c>
      <c r="S2523" s="9">
        <v>43600.3821643519</v>
      </c>
      <c r="T2523" s="9">
        <v>43390.5175231481</v>
      </c>
    </row>
    <row r="2524" spans="14:20">
      <c r="N2524" s="7" t="str">
        <f>HYPERLINK("E:\附赠：Excel模板\精美EXCEL模板\其他1000例\实验室人员结构情况统计表.xls","实验室人员结构情况统计表.xls")</f>
        <v>实验室人员结构情况统计表.xls</v>
      </c>
      <c r="Q2524">
        <v>0.02</v>
      </c>
      <c r="R2524" s="7" t="str">
        <f t="shared" si="52"/>
        <v>E:\附赠：Excel模板\精美EXCEL模板\其他1000例</v>
      </c>
      <c r="S2524" s="9">
        <v>43600.3821643519</v>
      </c>
      <c r="T2524" s="9">
        <v>43390.5175231481</v>
      </c>
    </row>
    <row r="2525" spans="14:20">
      <c r="N2525" s="7" t="str">
        <f>HYPERLINK("E:\附赠：Excel模板\精美EXCEL模板\其他1000例\实验室状况一览表.xls","实验室状况一览表.xls")</f>
        <v>实验室状况一览表.xls</v>
      </c>
      <c r="Q2525">
        <v>0.02</v>
      </c>
      <c r="R2525" s="7" t="str">
        <f t="shared" si="52"/>
        <v>E:\附赠：Excel模板\精美EXCEL模板\其他1000例</v>
      </c>
      <c r="S2525" s="9">
        <v>43600.3821643519</v>
      </c>
      <c r="T2525" s="9">
        <v>43390.5175231481</v>
      </c>
    </row>
    <row r="2526" spans="14:20">
      <c r="N2526" s="7" t="str">
        <f>HYPERLINK("E:\附赠：Excel模板\精美EXCEL模板\其他1000例\宠物年历.xls","宠物年历.xls")</f>
        <v>宠物年历.xls</v>
      </c>
      <c r="Q2526">
        <v>0.53</v>
      </c>
      <c r="R2526" s="7" t="str">
        <f t="shared" si="52"/>
        <v>E:\附赠：Excel模板\精美EXCEL模板\其他1000例</v>
      </c>
      <c r="S2526" s="9">
        <v>43600.3821643519</v>
      </c>
      <c r="T2526" s="9">
        <v>43390.5181944444</v>
      </c>
    </row>
    <row r="2527" spans="14:20">
      <c r="N2527" s="7" t="str">
        <f>HYPERLINK("E:\附赠：Excel模板\精美EXCEL模板\其他1000例\审计署审计干部培训中心××年度培训班教学.xls","审计署审计干部培训中心××年度培训班教学.xls")</f>
        <v>审计署审计干部培训中心××年度培训班教学.xls</v>
      </c>
      <c r="Q2527">
        <v>0.02</v>
      </c>
      <c r="R2527" s="7" t="str">
        <f t="shared" si="52"/>
        <v>E:\附赠：Excel模板\精美EXCEL模板\其他1000例</v>
      </c>
      <c r="S2527" s="9">
        <v>43600.3821643519</v>
      </c>
      <c r="T2527" s="9">
        <v>43390.5175694444</v>
      </c>
    </row>
    <row r="2528" spans="14:20">
      <c r="N2528" s="7" t="str">
        <f>HYPERLINK("E:\附赠：Excel模板\精美EXCEL模板\其他1000例\客户信用额度申表.xls","客户信用额度申表.xls")</f>
        <v>客户信用额度申表.xls</v>
      </c>
      <c r="Q2528">
        <v>0.02</v>
      </c>
      <c r="R2528" s="7" t="str">
        <f t="shared" si="52"/>
        <v>E:\附赠：Excel模板\精美EXCEL模板\其他1000例</v>
      </c>
      <c r="S2528" s="9">
        <v>43600.3821643519</v>
      </c>
      <c r="T2528" s="9">
        <v>43390.5178009259</v>
      </c>
    </row>
    <row r="2529" spans="14:20">
      <c r="N2529" s="7" t="str">
        <f>HYPERLINK("E:\附赠：Excel模板\精美EXCEL模板\其他1000例\客户满意程度调查表.xls","客户满意程度调查表.xls")</f>
        <v>客户满意程度调查表.xls</v>
      </c>
      <c r="Q2529">
        <v>0.02</v>
      </c>
      <c r="R2529" s="7" t="str">
        <f t="shared" si="52"/>
        <v>E:\附赠：Excel模板\精美EXCEL模板\其他1000例</v>
      </c>
      <c r="S2529" s="9">
        <v>43600.3821643519</v>
      </c>
      <c r="T2529" s="9">
        <v>43390.5178009259</v>
      </c>
    </row>
    <row r="2530" spans="14:20">
      <c r="N2530" s="7" t="str">
        <f>HYPERLINK("E:\附赠：Excel模板\精美EXCEL模板\其他1000例\客房经营情况明细表.xls","客房经营情况明细表.xls")</f>
        <v>客房经营情况明细表.xls</v>
      </c>
      <c r="Q2530">
        <v>0.02</v>
      </c>
      <c r="R2530" s="7" t="str">
        <f t="shared" si="52"/>
        <v>E:\附赠：Excel模板\精美EXCEL模板\其他1000例</v>
      </c>
      <c r="S2530" s="9">
        <v>43600.3821643519</v>
      </c>
      <c r="T2530" s="9">
        <v>43390.5178009259</v>
      </c>
    </row>
    <row r="2531" spans="14:20">
      <c r="N2531" s="7" t="str">
        <f>HYPERLINK("E:\附赠：Excel模板\精美EXCEL模板\其他1000例\客运站（班次时刻表）.xls","客运站（班次时刻表）.xls")</f>
        <v>客运站（班次时刻表）.xls</v>
      </c>
      <c r="Q2531">
        <v>0.02</v>
      </c>
      <c r="R2531" s="7" t="str">
        <f t="shared" si="52"/>
        <v>E:\附赠：Excel模板\精美EXCEL模板\其他1000例</v>
      </c>
      <c r="S2531" s="9">
        <v>43600.3821643519</v>
      </c>
      <c r="T2531" s="9">
        <v>43390.5178009259</v>
      </c>
    </row>
    <row r="2532" spans="14:20">
      <c r="N2532" s="7" t="str">
        <f>HYPERLINK("E:\附赠：Excel模板\精美EXCEL模板\其他1000例\家庭居室装饰工程人工费参考价目表.xls","家庭居室装饰工程人工费参考价目表.xls")</f>
        <v>家庭居室装饰工程人工费参考价目表.xls</v>
      </c>
      <c r="Q2532">
        <v>0.03</v>
      </c>
      <c r="R2532" s="7" t="str">
        <f t="shared" si="52"/>
        <v>E:\附赠：Excel模板\精美EXCEL模板\其他1000例</v>
      </c>
      <c r="S2532" s="9">
        <v>43600.3821643519</v>
      </c>
      <c r="T2532" s="9">
        <v>43390.5178935185</v>
      </c>
    </row>
    <row r="2533" spans="14:20">
      <c r="N2533" s="7" t="str">
        <f>HYPERLINK("E:\附赠：Excel模板\精美EXCEL模板\其他1000例\家庭居室装饰装修工程施工合同协议条款.xls","家庭居室装饰装修工程施工合同协议条款.xls")</f>
        <v>家庭居室装饰装修工程施工合同协议条款.xls</v>
      </c>
      <c r="Q2533">
        <v>0.03</v>
      </c>
      <c r="R2533" s="7" t="str">
        <f t="shared" si="52"/>
        <v>E:\附赠：Excel模板\精美EXCEL模板\其他1000例</v>
      </c>
      <c r="S2533" s="9">
        <v>43600.3821643519</v>
      </c>
      <c r="T2533" s="9">
        <v>43390.5178935185</v>
      </c>
    </row>
    <row r="2534" spans="14:20">
      <c r="N2534" s="7" t="str">
        <f>HYPERLINK("E:\附赠：Excel模板\精美EXCEL模板\其他1000例\家庭暴力防治受理通报及保护令统计表.xls","家庭暴力防治受理通报及保护令统计表.xls")</f>
        <v>家庭暴力防治受理通报及保护令统计表.xls</v>
      </c>
      <c r="Q2534">
        <v>0.02</v>
      </c>
      <c r="R2534" s="7" t="str">
        <f t="shared" si="52"/>
        <v>E:\附赠：Excel模板\精美EXCEL模板\其他1000例</v>
      </c>
      <c r="S2534" s="9">
        <v>43600.3821643519</v>
      </c>
      <c r="T2534" s="9">
        <v>43390.5179166667</v>
      </c>
    </row>
    <row r="2535" spans="14:20">
      <c r="N2535" s="7" t="str">
        <f>HYPERLINK("E:\附赠：Excel模板\精美EXCEL模板\其他1000例\家庭经济困难大学新生公示名单.xls","家庭经济困难大学新生公示名单.xls")</f>
        <v>家庭经济困难大学新生公示名单.xls</v>
      </c>
      <c r="Q2535">
        <v>0.04</v>
      </c>
      <c r="R2535" s="7" t="str">
        <f t="shared" si="52"/>
        <v>E:\附赠：Excel模板\精美EXCEL模板\其他1000例</v>
      </c>
      <c r="S2535" s="9">
        <v>43600.3821643519</v>
      </c>
      <c r="T2535" s="9">
        <v>43390.5178935185</v>
      </c>
    </row>
    <row r="2536" spans="14:20">
      <c r="N2536" s="7" t="str">
        <f>HYPERLINK("E:\附赠：Excel模板\精美EXCEL模板\其他1000例\家庭经济困难学生免费申请汇总表.xls","家庭经济困难学生免费申请汇总表.xls")</f>
        <v>家庭经济困难学生免费申请汇总表.xls</v>
      </c>
      <c r="Q2536">
        <v>0.02</v>
      </c>
      <c r="R2536" s="7" t="str">
        <f t="shared" si="52"/>
        <v>E:\附赠：Excel模板\精美EXCEL模板\其他1000例</v>
      </c>
      <c r="S2536" s="9">
        <v>43600.3821643519</v>
      </c>
      <c r="T2536" s="9">
        <v>43390.5178935185</v>
      </c>
    </row>
    <row r="2537" spans="14:20">
      <c r="N2537" s="7" t="str">
        <f>HYPERLINK("E:\附赠：Excel模板\精美EXCEL模板\其他1000例\家庭经济困难学生资助申请表.xls","家庭经济困难学生资助申请表.xls")</f>
        <v>家庭经济困难学生资助申请表.xls</v>
      </c>
      <c r="Q2537">
        <v>0.02</v>
      </c>
      <c r="R2537" s="7" t="str">
        <f t="shared" si="52"/>
        <v>E:\附赠：Excel模板\精美EXCEL模板\其他1000例</v>
      </c>
      <c r="S2537" s="9">
        <v>43600.3821643519</v>
      </c>
      <c r="T2537" s="9">
        <v>43390.5178935185</v>
      </c>
    </row>
    <row r="2538" spans="14:20">
      <c r="N2538" s="7" t="str">
        <f>HYPERLINK("E:\附赠：Excel模板\精美EXCEL模板\其他1000例\家庭装修环境污染情况调查检测.xls","家庭装修环境污染情况调查检测.xls")</f>
        <v>家庭装修环境污染情况调查检测.xls</v>
      </c>
      <c r="Q2538">
        <v>0.07</v>
      </c>
      <c r="R2538" s="7" t="str">
        <f t="shared" si="52"/>
        <v>E:\附赠：Excel模板\精美EXCEL模板\其他1000例</v>
      </c>
      <c r="S2538" s="9">
        <v>43600.3821643519</v>
      </c>
      <c r="T2538" s="9">
        <v>43390.5178935185</v>
      </c>
    </row>
    <row r="2539" spans="14:20">
      <c r="N2539" s="7" t="str">
        <f>HYPERLINK("E:\附赠：Excel模板\精美EXCEL模板\其他1000例\家庭装璜情况明细报告表.xls","家庭装璜情况明细报告表.xls")</f>
        <v>家庭装璜情况明细报告表.xls</v>
      </c>
      <c r="Q2539">
        <v>0.04</v>
      </c>
      <c r="R2539" s="7" t="str">
        <f t="shared" si="52"/>
        <v>E:\附赠：Excel模板\精美EXCEL模板\其他1000例</v>
      </c>
      <c r="S2539" s="9">
        <v>43600.3821643519</v>
      </c>
      <c r="T2539" s="9">
        <v>43390.5178935185</v>
      </c>
    </row>
    <row r="2540" spans="14:20">
      <c r="N2540" s="7" t="str">
        <f>HYPERLINK("E:\附赠：Excel模板\精美EXCEL模板\其他1000例\寝室分配情况表.xls","寝室分配情况表.xls")</f>
        <v>寝室分配情况表.xls</v>
      </c>
      <c r="Q2540">
        <v>0.02</v>
      </c>
      <c r="R2540" s="7" t="str">
        <f t="shared" si="52"/>
        <v>E:\附赠：Excel模板\精美EXCEL模板\其他1000例</v>
      </c>
      <c r="S2540" s="9">
        <v>43600.3821643519</v>
      </c>
      <c r="T2540" s="9">
        <v>43390.5176157407</v>
      </c>
    </row>
    <row r="2541" spans="14:20">
      <c r="N2541" s="7" t="str">
        <f>HYPERLINK("E:\附赠：Excel模板\精美EXCEL模板\其他1000例\对外承包工程项目及银行贷款付息一览表.xls","对外承包工程项目及银行贷款付息一览表.xls")</f>
        <v>对外承包工程项目及银行贷款付息一览表.xls</v>
      </c>
      <c r="Q2541">
        <v>0.02</v>
      </c>
      <c r="R2541" s="7" t="str">
        <f t="shared" si="52"/>
        <v>E:\附赠：Excel模板\精美EXCEL模板\其他1000例</v>
      </c>
      <c r="S2541" s="9">
        <v>43600.3821643519</v>
      </c>
      <c r="T2541" s="9">
        <v>43390.5181018518</v>
      </c>
    </row>
    <row r="2542" spans="14:20">
      <c r="N2542" s="7" t="str">
        <f>HYPERLINK("E:\附赠：Excel模板\精美EXCEL模板\其他1000例\对外承包工程项目贷款贴息初审汇总表.xls","对外承包工程项目贷款贴息初审汇总表.xls")</f>
        <v>对外承包工程项目贷款贴息初审汇总表.xls</v>
      </c>
      <c r="Q2542">
        <v>0.02</v>
      </c>
      <c r="R2542" s="7" t="str">
        <f t="shared" si="52"/>
        <v>E:\附赠：Excel模板\精美EXCEL模板\其他1000例</v>
      </c>
      <c r="S2542" s="9">
        <v>43600.3821643519</v>
      </c>
      <c r="T2542" s="9">
        <v>43390.5180787037</v>
      </c>
    </row>
    <row r="2543" spans="14:20">
      <c r="N2543" s="7" t="str">
        <f>HYPERLINK("E:\附赠：Excel模板\精美EXCEL模板\其他1000例\对外投资调查表.xls","对外投资调查表.xls")</f>
        <v>对外投资调查表.xls</v>
      </c>
      <c r="Q2543">
        <v>0.02</v>
      </c>
      <c r="R2543" s="7" t="str">
        <f t="shared" si="52"/>
        <v>E:\附赠：Excel模板\精美EXCEL模板\其他1000例</v>
      </c>
      <c r="S2543" s="9">
        <v>43600.3821643519</v>
      </c>
      <c r="T2543" s="9">
        <v>43390.5180787037</v>
      </c>
    </row>
    <row r="2544" spans="14:20">
      <c r="N2544" s="7" t="str">
        <f>HYPERLINK("E:\附赠：Excel模板\精美EXCEL模板\其他1000例\对外经济合作企业补充指标表.xls","对外经济合作企业补充指标表.xls")</f>
        <v>对外经济合作企业补充指标表.xls</v>
      </c>
      <c r="Q2544">
        <v>0.02</v>
      </c>
      <c r="R2544" s="7" t="str">
        <f t="shared" si="52"/>
        <v>E:\附赠：Excel模板\精美EXCEL模板\其他1000例</v>
      </c>
      <c r="S2544" s="9">
        <v>43600.3821643519</v>
      </c>
      <c r="T2544" s="9">
        <v>43390.5180787037</v>
      </c>
    </row>
    <row r="2545" spans="14:20">
      <c r="N2545" s="7" t="str">
        <f>HYPERLINK("E:\附赠：Excel模板\精美EXCEL模板\其他1000例\小区IP地址分配表.xls","小区IP地址分配表.xls")</f>
        <v>小区IP地址分配表.xls</v>
      </c>
      <c r="Q2545">
        <v>0.02</v>
      </c>
      <c r="R2545" s="7" t="str">
        <f t="shared" si="52"/>
        <v>E:\附赠：Excel模板\精美EXCEL模板\其他1000例</v>
      </c>
      <c r="S2545" s="9">
        <v>43600.3821643519</v>
      </c>
      <c r="T2545" s="9">
        <v>43390.5173148148</v>
      </c>
    </row>
    <row r="2546" spans="14:20">
      <c r="N2546" s="7" t="str">
        <f>HYPERLINK("E:\附赠：Excel模板\精美EXCEL模板\其他1000例\小型水利体制改革完成情况统计表.xls","小型水利体制改革完成情况统计表.xls")</f>
        <v>小型水利体制改革完成情况统计表.xls</v>
      </c>
      <c r="Q2546">
        <v>0.02</v>
      </c>
      <c r="R2546" s="7" t="str">
        <f t="shared" si="52"/>
        <v>E:\附赠：Excel模板\精美EXCEL模板\其他1000例</v>
      </c>
      <c r="S2546" s="9">
        <v>43600.3821643519</v>
      </c>
      <c r="T2546" s="9">
        <v>43390.5173148148</v>
      </c>
    </row>
    <row r="2547" spans="14:20">
      <c r="N2547" s="7" t="str">
        <f>HYPERLINK("E:\附赠：Excel模板\精美EXCEL模板\其他1000例\局年度录用计划表.xls","局年度录用计划表.xls")</f>
        <v>局年度录用计划表.xls</v>
      </c>
      <c r="Q2547">
        <v>0.02</v>
      </c>
      <c r="R2547" s="7" t="str">
        <f t="shared" si="52"/>
        <v>E:\附赠：Excel模板\精美EXCEL模板\其他1000例</v>
      </c>
      <c r="S2547" s="9">
        <v>43600.3821643519</v>
      </c>
      <c r="T2547" s="9">
        <v>43390.5178240741</v>
      </c>
    </row>
    <row r="2548" spans="14:20">
      <c r="N2548" s="7" t="str">
        <f>HYPERLINK("E:\附赠：Excel模板\精美EXCEL模板\其他1000例\履歷表.xls","履歷表.xls")</f>
        <v>履歷表.xls</v>
      </c>
      <c r="Q2548">
        <v>0.02</v>
      </c>
      <c r="R2548" s="7" t="str">
        <f t="shared" si="52"/>
        <v>E:\附赠：Excel模板\精美EXCEL模板\其他1000例</v>
      </c>
      <c r="S2548" s="9">
        <v>43600.3821643519</v>
      </c>
      <c r="T2548" s="9">
        <v>43390.5177314815</v>
      </c>
    </row>
    <row r="2549" spans="14:20">
      <c r="N2549" s="7" t="str">
        <f>HYPERLINK("E:\附赠：Excel模板\精美EXCEL模板\其他1000例\工业企业技改项目调查表（财务会计情况）.xls","工业企业技改项目调查表（财务会计情况）.xls")</f>
        <v>工业企业技改项目调查表（财务会计情况）.xls</v>
      </c>
      <c r="Q2549">
        <v>0.02</v>
      </c>
      <c r="R2549" s="7" t="str">
        <f t="shared" si="52"/>
        <v>E:\附赠：Excel模板\精美EXCEL模板\其他1000例</v>
      </c>
      <c r="S2549" s="9">
        <v>43600.3821643519</v>
      </c>
      <c r="T2549" s="9">
        <v>43390.5180324074</v>
      </c>
    </row>
    <row r="2550" spans="14:20">
      <c r="N2550" s="7" t="str">
        <f>HYPERLINK("E:\附赠：Excel模板\精美EXCEL模板\其他1000例\工业企业技术改造财政奖励资助资金申请表.xls","工业企业技术改造财政奖励资助资金申请表.xls")</f>
        <v>工业企业技术改造财政奖励资助资金申请表.xls</v>
      </c>
      <c r="Q2550">
        <v>0.02</v>
      </c>
      <c r="R2550" s="7" t="str">
        <f t="shared" si="52"/>
        <v>E:\附赠：Excel模板\精美EXCEL模板\其他1000例</v>
      </c>
      <c r="S2550" s="9">
        <v>43600.3821643519</v>
      </c>
      <c r="T2550" s="9">
        <v>43390.5180324074</v>
      </c>
    </row>
    <row r="2551" spans="14:20">
      <c r="N2551" s="7" t="str">
        <f>HYPERLINK("E:\附赠：Excel模板\精美EXCEL模板\其他1000例\工业企业技术改造财政资助资金申请表.xls","工业企业技术改造财政资助资金申请表.xls")</f>
        <v>工业企业技术改造财政资助资金申请表.xls</v>
      </c>
      <c r="Q2551">
        <v>0.02</v>
      </c>
      <c r="R2551" s="7" t="str">
        <f t="shared" si="52"/>
        <v>E:\附赠：Excel模板\精美EXCEL模板\其他1000例</v>
      </c>
      <c r="S2551" s="9">
        <v>43600.3821643519</v>
      </c>
      <c r="T2551" s="9">
        <v>43390.5180324074</v>
      </c>
    </row>
    <row r="2552" spans="14:20">
      <c r="N2552" s="7" t="str">
        <f>HYPERLINK("E:\附赠：Excel模板\精美EXCEL模板\其他1000例\工作人员基本情况登记表.xls","工作人员基本情况登记表.xls")</f>
        <v>工作人员基本情况登记表.xls</v>
      </c>
      <c r="Q2552">
        <v>0.02</v>
      </c>
      <c r="R2552" s="7" t="str">
        <f t="shared" si="52"/>
        <v>E:\附赠：Excel模板\精美EXCEL模板\其他1000例</v>
      </c>
      <c r="S2552" s="9">
        <v>43600.3821643519</v>
      </c>
      <c r="T2552" s="9">
        <v>43390.5180324074</v>
      </c>
    </row>
    <row r="2553" spans="14:20">
      <c r="N2553" s="7" t="str">
        <f>HYPERLINK("E:\附赠：Excel模板\精美EXCEL模板\其他1000例\工作計劃財務報表(樣本).xls","工作計劃財務報表(樣本).xls")</f>
        <v>工作計劃財務報表(樣本).xls</v>
      </c>
      <c r="Q2553">
        <v>0.03</v>
      </c>
      <c r="R2553" s="7" t="str">
        <f t="shared" si="52"/>
        <v>E:\附赠：Excel模板\精美EXCEL模板\其他1000例</v>
      </c>
      <c r="S2553" s="9">
        <v>43600.3821643519</v>
      </c>
      <c r="T2553" s="9">
        <v>43390.5180324074</v>
      </c>
    </row>
    <row r="2554" spans="14:20">
      <c r="N2554" s="7" t="str">
        <f>HYPERLINK("E:\附赠：Excel模板\精美EXCEL模板\其他1000例\工商司会计报表.xls","工商司会计报表.xls")</f>
        <v>工商司会计报表.xls</v>
      </c>
      <c r="Q2554">
        <v>0.08</v>
      </c>
      <c r="R2554" s="7" t="str">
        <f t="shared" si="52"/>
        <v>E:\附赠：Excel模板\精美EXCEL模板\其他1000例</v>
      </c>
      <c r="S2554" s="9">
        <v>43600.3821643519</v>
      </c>
      <c r="T2554" s="9">
        <v>43390.5180555556</v>
      </c>
    </row>
    <row r="2555" spans="14:20">
      <c r="N2555" s="7" t="str">
        <f>HYPERLINK("E:\附赠：Excel模板\精美EXCEL模板\其他1000例\工商管理双学位专业毕业论文选题.xls","工商管理双学位专业毕业论文选题.xls")</f>
        <v>工商管理双学位专业毕业论文选题.xls</v>
      </c>
      <c r="Q2555">
        <v>0.03</v>
      </c>
      <c r="R2555" s="7" t="str">
        <f t="shared" ref="R2555:R2618" si="53">HYPERLINK("E:\附赠：Excel模板\精美EXCEL模板\其他1000例","E:\附赠：Excel模板\精美EXCEL模板\其他1000例")</f>
        <v>E:\附赠：Excel模板\精美EXCEL模板\其他1000例</v>
      </c>
      <c r="S2555" s="9">
        <v>43600.3821643519</v>
      </c>
      <c r="T2555" s="9">
        <v>43390.5180324074</v>
      </c>
    </row>
    <row r="2556" spans="14:20">
      <c r="N2556" s="7" t="str">
        <f>HYPERLINK("E:\附赠：Excel模板\精美EXCEL模板\其他1000例\工商管理硕士（MBA）课程表.xls","工商管理硕士（MBA）课程表.xls")</f>
        <v>工商管理硕士（MBA）课程表.xls</v>
      </c>
      <c r="Q2556">
        <v>0.06</v>
      </c>
      <c r="R2556" s="7" t="str">
        <f t="shared" si="53"/>
        <v>E:\附赠：Excel模板\精美EXCEL模板\其他1000例</v>
      </c>
      <c r="S2556" s="9">
        <v>43600.3821643519</v>
      </c>
      <c r="T2556" s="9">
        <v>43390.5180324074</v>
      </c>
    </row>
    <row r="2557" spans="14:20">
      <c r="N2557" s="7" t="str">
        <f>HYPERLINK("E:\附赠：Excel模板\精美EXCEL模板\其他1000例\工程立项情况表.xls","工程立项情况表.xls")</f>
        <v>工程立项情况表.xls</v>
      </c>
      <c r="Q2557">
        <v>0.02</v>
      </c>
      <c r="R2557" s="7" t="str">
        <f t="shared" si="53"/>
        <v>E:\附赠：Excel模板\精美EXCEL模板\其他1000例</v>
      </c>
      <c r="S2557" s="9">
        <v>43600.3821643519</v>
      </c>
      <c r="T2557" s="9">
        <v>43390.5180324074</v>
      </c>
    </row>
    <row r="2558" spans="14:20">
      <c r="N2558" s="7" t="str">
        <f>HYPERLINK("E:\附赠：Excel模板\精美EXCEL模板\其他1000例\工艺卡.xls","工艺卡.xls")</f>
        <v>工艺卡.xls</v>
      </c>
      <c r="Q2558">
        <v>0.08</v>
      </c>
      <c r="R2558" s="7" t="str">
        <f t="shared" si="53"/>
        <v>E:\附赠：Excel模板\精美EXCEL模板\其他1000例</v>
      </c>
      <c r="S2558" s="9">
        <v>43600.3821643519</v>
      </c>
      <c r="T2558" s="9">
        <v>43390.5180324074</v>
      </c>
    </row>
    <row r="2559" spans="14:20">
      <c r="N2559" s="7" t="str">
        <f>HYPERLINK("E:\附赠：Excel模板\精美EXCEL模板\其他1000例\工资.xls","工资.xls")</f>
        <v>工资.xls</v>
      </c>
      <c r="Q2559">
        <v>0.02</v>
      </c>
      <c r="R2559" s="7" t="str">
        <f t="shared" si="53"/>
        <v>E:\附赠：Excel模板\精美EXCEL模板\其他1000例</v>
      </c>
      <c r="S2559" s="9">
        <v>43600.3821643519</v>
      </c>
      <c r="T2559" s="9">
        <v>43390.5180324074</v>
      </c>
    </row>
    <row r="2560" spans="14:20">
      <c r="N2560" s="7" t="str">
        <f>HYPERLINK("E:\附赠：Excel模板\精美EXCEL模板\其他1000例\工资晋档.xls","工资晋档.xls")</f>
        <v>工资晋档.xls</v>
      </c>
      <c r="Q2560">
        <v>0.09</v>
      </c>
      <c r="R2560" s="7" t="str">
        <f t="shared" si="53"/>
        <v>E:\附赠：Excel模板\精美EXCEL模板\其他1000例</v>
      </c>
      <c r="S2560" s="9">
        <v>43600.3821643519</v>
      </c>
      <c r="T2560" s="9">
        <v>43390.5180324074</v>
      </c>
    </row>
    <row r="2561" spans="14:20">
      <c r="N2561" s="7" t="str">
        <f>HYPERLINK("E:\附赠：Excel模板\精美EXCEL模板\其他1000例\差旅费预支申请.xls","差旅费预支申请.xls")</f>
        <v>差旅费预支申请.xls</v>
      </c>
      <c r="Q2561">
        <v>0.02</v>
      </c>
      <c r="R2561" s="7" t="str">
        <f t="shared" si="53"/>
        <v>E:\附赠：Excel模板\精美EXCEL模板\其他1000例</v>
      </c>
      <c r="S2561" s="9">
        <v>43600.3821643519</v>
      </c>
      <c r="T2561" s="9">
        <v>43390.5182175926</v>
      </c>
    </row>
    <row r="2562" spans="14:20">
      <c r="N2562" s="7" t="str">
        <f>HYPERLINK("E:\附赠：Excel模板\精美EXCEL模板\其他1000例\已出版本科教材及教学参考书一览表.xls","已出版本科教材及教学参考书一览表.xls")</f>
        <v>已出版本科教材及教学参考书一览表.xls</v>
      </c>
      <c r="Q2562">
        <v>0.02</v>
      </c>
      <c r="R2562" s="7" t="str">
        <f t="shared" si="53"/>
        <v>E:\附赠：Excel模板\精美EXCEL模板\其他1000例</v>
      </c>
      <c r="S2562" s="9">
        <v>43600.3821643519</v>
      </c>
      <c r="T2562" s="9">
        <v>43390.5171527778</v>
      </c>
    </row>
    <row r="2563" spans="14:20">
      <c r="N2563" s="7" t="str">
        <f>HYPERLINK("E:\附赠：Excel模板\精美EXCEL模板\其他1000例\已批项目一览表.xls","已批项目一览表.xls")</f>
        <v>已批项目一览表.xls</v>
      </c>
      <c r="Q2563">
        <v>0.43</v>
      </c>
      <c r="R2563" s="7" t="str">
        <f t="shared" si="53"/>
        <v>E:\附赠：Excel模板\精美EXCEL模板\其他1000例</v>
      </c>
      <c r="S2563" s="9">
        <v>43600.3821643519</v>
      </c>
      <c r="T2563" s="9">
        <v>43390.5171527778</v>
      </c>
    </row>
    <row r="2564" spans="14:20">
      <c r="N2564" s="7" t="str">
        <f>HYPERLINK("E:\附赠：Excel模板\精美EXCEL模板\其他1000例\市(县)中小学校规范管理工作检查指标.xls","市(县)中小学校规范管理工作检查指标.xls")</f>
        <v>市(县)中小学校规范管理工作检查指标.xls</v>
      </c>
      <c r="Q2564">
        <v>0.03</v>
      </c>
      <c r="R2564" s="7" t="str">
        <f t="shared" si="53"/>
        <v>E:\附赠：Excel模板\精美EXCEL模板\其他1000例</v>
      </c>
      <c r="S2564" s="9">
        <v>43600.3821643519</v>
      </c>
      <c r="T2564" s="9">
        <v>43390.5175</v>
      </c>
    </row>
    <row r="2565" spans="14:20">
      <c r="N2565" s="7" t="str">
        <f>HYPERLINK("E:\附赠：Excel模板\精美EXCEL模板\其他1000例\市(县)免费入学申报表.xls","市(县)免费入学申报表.xls")</f>
        <v>市(县)免费入学申报表.xls</v>
      </c>
      <c r="Q2565">
        <v>0.02</v>
      </c>
      <c r="R2565" s="7" t="str">
        <f t="shared" si="53"/>
        <v>E:\附赠：Excel模板\精美EXCEL模板\其他1000例</v>
      </c>
      <c r="S2565" s="9">
        <v>43600.3821643519</v>
      </c>
      <c r="T2565" s="9">
        <v>43390.5175</v>
      </c>
    </row>
    <row r="2566" spans="14:20">
      <c r="N2566" s="7" t="str">
        <f>HYPERLINK("E:\附赠：Excel模板\精美EXCEL模板\其他1000例\市(县)贫困生享受免费教育学生汇总表.xls","市(县)贫困生享受免费教育学生汇总表.xls")</f>
        <v>市(县)贫困生享受免费教育学生汇总表.xls</v>
      </c>
      <c r="Q2566">
        <v>0.02</v>
      </c>
      <c r="R2566" s="7" t="str">
        <f t="shared" si="53"/>
        <v>E:\附赠：Excel模板\精美EXCEL模板\其他1000例</v>
      </c>
      <c r="S2566" s="9">
        <v>43600.3821643519</v>
      </c>
      <c r="T2566" s="9">
        <v>43390.5175</v>
      </c>
    </row>
    <row r="2567" spans="14:20">
      <c r="N2567" s="7" t="str">
        <f>HYPERLINK("E:\附赠：Excel模板\精美EXCEL模板\其他1000例\市公共車船管理處財務狀況.xls","市公共車船管理處財務狀況.xls")</f>
        <v>市公共車船管理處財務狀況.xls</v>
      </c>
      <c r="Q2567">
        <v>0.06</v>
      </c>
      <c r="R2567" s="7" t="str">
        <f t="shared" si="53"/>
        <v>E:\附赠：Excel模板\精美EXCEL模板\其他1000例</v>
      </c>
      <c r="S2567" s="9">
        <v>43600.3821643519</v>
      </c>
      <c r="T2567" s="9">
        <v>43390.5174768519</v>
      </c>
    </row>
    <row r="2568" spans="14:20">
      <c r="N2568" s="7" t="str">
        <f>HYPERLINK("E:\附赠：Excel模板\精美EXCEL模板\其他1000例\市公安局面向应届毕业生招考人民警察报名表.xls","市公安局面向应届毕业生招考人民警察报名表.xls")</f>
        <v>市公安局面向应届毕业生招考人民警察报名表.xls</v>
      </c>
      <c r="Q2568">
        <v>0.02</v>
      </c>
      <c r="R2568" s="7" t="str">
        <f t="shared" si="53"/>
        <v>E:\附赠：Excel模板\精美EXCEL模板\其他1000例</v>
      </c>
      <c r="S2568" s="9">
        <v>43600.3821643519</v>
      </c>
      <c r="T2568" s="9">
        <v>43390.5174768519</v>
      </c>
    </row>
    <row r="2569" spans="14:20">
      <c r="N2569" s="7" t="str">
        <f>HYPERLINK("E:\附赠：Excel模板\精美EXCEL模板\其他1000例\市区获准运营客车号牌.xls","市区获准运营客车号牌.xls")</f>
        <v>市区获准运营客车号牌.xls</v>
      </c>
      <c r="Q2569">
        <v>0.02</v>
      </c>
      <c r="R2569" s="7" t="str">
        <f t="shared" si="53"/>
        <v>E:\附赠：Excel模板\精美EXCEL模板\其他1000例</v>
      </c>
      <c r="S2569" s="9">
        <v>43600.3821643519</v>
      </c>
      <c r="T2569" s="9">
        <v>43390.5174768519</v>
      </c>
    </row>
    <row r="2570" spans="14:20">
      <c r="N2570" s="7" t="str">
        <f>HYPERLINK("E:\附赠：Excel模板\精美EXCEL模板\其他1000例\市国税局目标管理考核内容及标准.xls","市国税局目标管理考核内容及标准.xls")</f>
        <v>市国税局目标管理考核内容及标准.xls</v>
      </c>
      <c r="Q2570">
        <v>0.02</v>
      </c>
      <c r="R2570" s="7" t="str">
        <f t="shared" si="53"/>
        <v>E:\附赠：Excel模板\精美EXCEL模板\其他1000例</v>
      </c>
      <c r="S2570" s="9">
        <v>43600.3821643519</v>
      </c>
      <c r="T2570" s="9">
        <v>43390.5174768519</v>
      </c>
    </row>
    <row r="2571" spans="14:20">
      <c r="N2571" s="7" t="str">
        <f>HYPERLINK("E:\附赠：Excel模板\精美EXCEL模板\其他1000例\市场信息.xls","市场信息.xls")</f>
        <v>市场信息.xls</v>
      </c>
      <c r="Q2571">
        <v>0.01</v>
      </c>
      <c r="R2571" s="7" t="str">
        <f t="shared" si="53"/>
        <v>E:\附赠：Excel模板\精美EXCEL模板\其他1000例</v>
      </c>
      <c r="S2571" s="9">
        <v>43600.3821643519</v>
      </c>
      <c r="T2571" s="9">
        <v>43390.5174768519</v>
      </c>
    </row>
    <row r="2572" spans="14:20">
      <c r="N2572" s="7" t="str">
        <f>HYPERLINK("E:\附赠：Excel模板\精美EXCEL模板\其他1000例\市场推广费用明细表.xls","市场推广费用明细表.xls")</f>
        <v>市场推广费用明细表.xls</v>
      </c>
      <c r="Q2572">
        <v>0.02</v>
      </c>
      <c r="R2572" s="7" t="str">
        <f t="shared" si="53"/>
        <v>E:\附赠：Excel模板\精美EXCEL模板\其他1000例</v>
      </c>
      <c r="S2572" s="9">
        <v>43600.3821643519</v>
      </c>
      <c r="T2572" s="9">
        <v>43390.5174768519</v>
      </c>
    </row>
    <row r="2573" spans="14:20">
      <c r="N2573" s="7" t="str">
        <f>HYPERLINK("E:\附赠：Excel模板\精美EXCEL模板\其他1000例\市基本建设项目申报表.xls","市基本建设项目申报表.xls")</f>
        <v>市基本建设项目申报表.xls</v>
      </c>
      <c r="Q2573">
        <v>0.02</v>
      </c>
      <c r="R2573" s="7" t="str">
        <f t="shared" si="53"/>
        <v>E:\附赠：Excel模板\精美EXCEL模板\其他1000例</v>
      </c>
      <c r="S2573" s="9">
        <v>43600.3821643519</v>
      </c>
      <c r="T2573" s="9">
        <v>43390.5175</v>
      </c>
    </row>
    <row r="2574" spans="14:20">
      <c r="N2574" s="7" t="str">
        <f>HYPERLINK("E:\附赠：Excel模板\精美EXCEL模板\其他1000例\市容环境卫生情况统计表.xls","市容环境卫生情况统计表.xls")</f>
        <v>市容环境卫生情况统计表.xls</v>
      </c>
      <c r="Q2574">
        <v>0.03</v>
      </c>
      <c r="R2574" s="7" t="str">
        <f t="shared" si="53"/>
        <v>E:\附赠：Excel模板\精美EXCEL模板\其他1000例</v>
      </c>
      <c r="S2574" s="9">
        <v>43600.3821643519</v>
      </c>
      <c r="T2574" s="9">
        <v>43390.5174768519</v>
      </c>
    </row>
    <row r="2575" spans="14:20">
      <c r="N2575" s="7" t="str">
        <f>HYPERLINK("E:\附赠：Excel模板\精美EXCEL模板\其他1000例\市工业重点技术创新项目指导性计划.xls","市工业重点技术创新项目指导性计划.xls")</f>
        <v>市工业重点技术创新项目指导性计划.xls</v>
      </c>
      <c r="Q2575">
        <v>0.02</v>
      </c>
      <c r="R2575" s="7" t="str">
        <f t="shared" si="53"/>
        <v>E:\附赠：Excel模板\精美EXCEL模板\其他1000例</v>
      </c>
      <c r="S2575" s="9">
        <v>43600.3821643519</v>
      </c>
      <c r="T2575" s="9">
        <v>43390.5174768519</v>
      </c>
    </row>
    <row r="2576" spans="14:20">
      <c r="N2576" s="7" t="str">
        <f>HYPERLINK("E:\附赠：Excel模板\精美EXCEL模板\其他1000例\市政工程监督公示授牌单位.xls","市政工程监督公示授牌单位.xls")</f>
        <v>市政工程监督公示授牌单位.xls</v>
      </c>
      <c r="Q2576">
        <v>0.03</v>
      </c>
      <c r="R2576" s="7" t="str">
        <f t="shared" si="53"/>
        <v>E:\附赠：Excel模板\精美EXCEL模板\其他1000例</v>
      </c>
      <c r="S2576" s="9">
        <v>43600.3821643519</v>
      </c>
      <c r="T2576" s="9">
        <v>43390.5174768519</v>
      </c>
    </row>
    <row r="2577" spans="14:20">
      <c r="N2577" s="7" t="str">
        <f>HYPERLINK("E:\附赠：Excel模板\精美EXCEL模板\其他1000例\市政府集中采购执行计划审批表.xls","市政府集中采购执行计划审批表.xls")</f>
        <v>市政府集中采购执行计划审批表.xls</v>
      </c>
      <c r="Q2577">
        <v>0.02</v>
      </c>
      <c r="R2577" s="7" t="str">
        <f t="shared" si="53"/>
        <v>E:\附赠：Excel模板\精美EXCEL模板\其他1000例</v>
      </c>
      <c r="S2577" s="9">
        <v>43600.3821643519</v>
      </c>
      <c r="T2577" s="9">
        <v>43390.5174768519</v>
      </c>
    </row>
    <row r="2578" spans="14:20">
      <c r="N2578" s="7" t="str">
        <f>HYPERLINK("E:\附赠：Excel模板\精美EXCEL模板\其他1000例\市政府集中采购计划表.xls","市政府集中采购计划表.xls")</f>
        <v>市政府集中采购计划表.xls</v>
      </c>
      <c r="Q2578">
        <v>0.02</v>
      </c>
      <c r="R2578" s="7" t="str">
        <f t="shared" si="53"/>
        <v>E:\附赠：Excel模板\精美EXCEL模板\其他1000例</v>
      </c>
      <c r="S2578" s="9">
        <v>43600.3821643519</v>
      </c>
      <c r="T2578" s="9">
        <v>43390.5174768519</v>
      </c>
    </row>
    <row r="2579" spans="14:20">
      <c r="N2579" s="7" t="str">
        <f>HYPERLINK("E:\附赠：Excel模板\精美EXCEL模板\其他1000例\市旅游业重点项目一览表.xls","市旅游业重点项目一览表.xls")</f>
        <v>市旅游业重点项目一览表.xls</v>
      </c>
      <c r="Q2579">
        <v>0.03</v>
      </c>
      <c r="R2579" s="7" t="str">
        <f t="shared" si="53"/>
        <v>E:\附赠：Excel模板\精美EXCEL模板\其他1000例</v>
      </c>
      <c r="S2579" s="9">
        <v>43600.3821643519</v>
      </c>
      <c r="T2579" s="9">
        <v>43390.5174768519</v>
      </c>
    </row>
    <row r="2580" spans="14:20">
      <c r="N2580" s="7" t="str">
        <f>HYPERLINK("E:\附赠：Excel模板\精美EXCEL模板\其他1000例\市本级基本建设支出预算表.xls","市本级基本建设支出预算表.xls")</f>
        <v>市本级基本建设支出预算表.xls</v>
      </c>
      <c r="Q2580">
        <v>0.02</v>
      </c>
      <c r="R2580" s="7" t="str">
        <f t="shared" si="53"/>
        <v>E:\附赠：Excel模板\精美EXCEL模板\其他1000例</v>
      </c>
      <c r="S2580" s="9">
        <v>43600.3821643519</v>
      </c>
      <c r="T2580" s="9">
        <v>43390.5174768519</v>
      </c>
    </row>
    <row r="2581" spans="14:20">
      <c r="N2581" s="7" t="str">
        <f>HYPERLINK("E:\附赠：Excel模板\精美EXCEL模板\其他1000例\市机关事业单位车辆保险申请表.xls","市机关事业单位车辆保险申请表.xls")</f>
        <v>市机关事业单位车辆保险申请表.xls</v>
      </c>
      <c r="Q2581">
        <v>0.02</v>
      </c>
      <c r="R2581" s="7" t="str">
        <f t="shared" si="53"/>
        <v>E:\附赠：Excel模板\精美EXCEL模板\其他1000例</v>
      </c>
      <c r="S2581" s="9">
        <v>43600.3821643519</v>
      </c>
      <c r="T2581" s="9">
        <v>43390.5174768519</v>
      </c>
    </row>
    <row r="2582" spans="14:20">
      <c r="N2582" s="7" t="str">
        <f>HYPERLINK("E:\附赠：Excel模板\精美EXCEL模板\其他1000例\市直行政事业单位基本信息表.xls","市直行政事业单位基本信息表.xls")</f>
        <v>市直行政事业单位基本信息表.xls</v>
      </c>
      <c r="Q2582">
        <v>0.02</v>
      </c>
      <c r="R2582" s="7" t="str">
        <f t="shared" si="53"/>
        <v>E:\附赠：Excel模板\精美EXCEL模板\其他1000例</v>
      </c>
      <c r="S2582" s="9">
        <v>43600.3821643519</v>
      </c>
      <c r="T2582" s="9">
        <v>43390.5174537037</v>
      </c>
    </row>
    <row r="2583" spans="14:20">
      <c r="N2583" s="7" t="str">
        <f>HYPERLINK("E:\附赠：Excel模板\精美EXCEL模板\其他1000例\市直财政基金预算收支决算总表.xls","市直财政基金预算收支决算总表.xls")</f>
        <v>市直财政基金预算收支决算总表.xls</v>
      </c>
      <c r="Q2583">
        <v>0.02</v>
      </c>
      <c r="R2583" s="7" t="str">
        <f t="shared" si="53"/>
        <v>E:\附赠：Excel模板\精美EXCEL模板\其他1000例</v>
      </c>
      <c r="S2583" s="9">
        <v>43600.3821643519</v>
      </c>
      <c r="T2583" s="9">
        <v>43390.5174768519</v>
      </c>
    </row>
    <row r="2584" spans="14:20">
      <c r="N2584" s="7" t="str">
        <f>HYPERLINK("E:\附赠：Excel模板\精美EXCEL模板\其他1000例\市级基本建设投资项目预算表.xls","市级基本建设投资项目预算表.xls")</f>
        <v>市级基本建设投资项目预算表.xls</v>
      </c>
      <c r="Q2584">
        <v>0.02</v>
      </c>
      <c r="R2584" s="7" t="str">
        <f t="shared" si="53"/>
        <v>E:\附赠：Excel模板\精美EXCEL模板\其他1000例</v>
      </c>
      <c r="S2584" s="9">
        <v>43600.3821643519</v>
      </c>
      <c r="T2584" s="9">
        <v>43390.5174768519</v>
      </c>
    </row>
    <row r="2585" spans="14:20">
      <c r="N2585" s="7" t="str">
        <f>HYPERLINK("E:\附赠：Excel模板\精美EXCEL模板\其他1000例\市级机关目标管理奖金审批单.xls","市级机关目标管理奖金审批单.xls")</f>
        <v>市级机关目标管理奖金审批单.xls</v>
      </c>
      <c r="Q2585">
        <v>0.02</v>
      </c>
      <c r="R2585" s="7" t="str">
        <f t="shared" si="53"/>
        <v>E:\附赠：Excel模板\精美EXCEL模板\其他1000例</v>
      </c>
      <c r="S2585" s="9">
        <v>43600.3821643519</v>
      </c>
      <c r="T2585" s="9">
        <v>43390.5174768519</v>
      </c>
    </row>
    <row r="2586" spans="14:20">
      <c r="N2586" s="7" t="str">
        <f>HYPERLINK("E:\附赠：Excel模板\精美EXCEL模板\其他1000例\市节水灌溉发展情况统计表.xls","市节水灌溉发展情况统计表.xls")</f>
        <v>市节水灌溉发展情况统计表.xls</v>
      </c>
      <c r="Q2586">
        <v>0.02</v>
      </c>
      <c r="R2586" s="7" t="str">
        <f t="shared" si="53"/>
        <v>E:\附赠：Excel模板\精美EXCEL模板\其他1000例</v>
      </c>
      <c r="S2586" s="9">
        <v>43600.3821643519</v>
      </c>
      <c r="T2586" s="9">
        <v>43390.5175</v>
      </c>
    </row>
    <row r="2587" spans="14:20">
      <c r="N2587" s="7" t="str">
        <f>HYPERLINK("E:\附赠：Excel模板\精美EXCEL模板\其他1000例\平时作业抽查上报名单.xls","平时作业抽查上报名单.xls")</f>
        <v>平时作业抽查上报名单.xls</v>
      </c>
      <c r="Q2587">
        <v>0.02</v>
      </c>
      <c r="R2587" s="7" t="str">
        <f t="shared" si="53"/>
        <v>E:\附赠：Excel模板\精美EXCEL模板\其他1000例</v>
      </c>
      <c r="S2587" s="9">
        <v>43600.3821643519</v>
      </c>
      <c r="T2587" s="9">
        <v>43390.517662037</v>
      </c>
    </row>
    <row r="2588" spans="14:20">
      <c r="N2588" s="7" t="str">
        <f>HYPERLINK("E:\附赠：Excel模板\精美EXCEL模板\其他1000例\平衡计分卡项目总结表.xls","平衡计分卡项目总结表.xls")</f>
        <v>平衡计分卡项目总结表.xls</v>
      </c>
      <c r="Q2588">
        <v>0.02</v>
      </c>
      <c r="R2588" s="7" t="str">
        <f t="shared" si="53"/>
        <v>E:\附赠：Excel模板\精美EXCEL模板\其他1000例</v>
      </c>
      <c r="S2588" s="9">
        <v>43600.3821643519</v>
      </c>
      <c r="T2588" s="9">
        <v>43390.517662037</v>
      </c>
    </row>
    <row r="2589" spans="14:20">
      <c r="N2589" s="7" t="str">
        <f>HYPERLINK("E:\附赠：Excel模板\精美EXCEL模板\其他1000例\平衡计分卡项目指标滞后领先比较.xls","平衡计分卡项目指标滞后领先比较.xls")</f>
        <v>平衡计分卡项目指标滞后领先比较.xls</v>
      </c>
      <c r="Q2589">
        <v>0.02</v>
      </c>
      <c r="R2589" s="7" t="str">
        <f t="shared" si="53"/>
        <v>E:\附赠：Excel模板\精美EXCEL模板\其他1000例</v>
      </c>
      <c r="S2589" s="9">
        <v>43600.3821643519</v>
      </c>
      <c r="T2589" s="9">
        <v>43390.517662037</v>
      </c>
    </row>
    <row r="2590" spans="14:20">
      <c r="N2590" s="7" t="str">
        <f>HYPERLINK("E:\附赠：Excel模板\精美EXCEL模板\其他1000例\平衡计分卡项目绩效指标概要.xls","平衡计分卡项目绩效指标概要.xls")</f>
        <v>平衡计分卡项目绩效指标概要.xls</v>
      </c>
      <c r="Q2590">
        <v>0.02</v>
      </c>
      <c r="R2590" s="7" t="str">
        <f t="shared" si="53"/>
        <v>E:\附赠：Excel模板\精美EXCEL模板\其他1000例</v>
      </c>
      <c r="S2590" s="9">
        <v>43600.3821643519</v>
      </c>
      <c r="T2590" s="9">
        <v>43390.517662037</v>
      </c>
    </row>
    <row r="2591" spans="14:20">
      <c r="N2591" s="7" t="str">
        <f>HYPERLINK("E:\附赠：Excel模板\精美EXCEL模板\其他1000例\年全省部门财支出表.xls","年全省部门财支出表.xls")</f>
        <v>年全省部门财支出表.xls</v>
      </c>
      <c r="Q2591">
        <v>0.02</v>
      </c>
      <c r="R2591" s="7" t="str">
        <f t="shared" si="53"/>
        <v>E:\附赠：Excel模板\精美EXCEL模板\其他1000例</v>
      </c>
      <c r="S2591" s="9">
        <v>43600.3821643519</v>
      </c>
      <c r="T2591" s="9">
        <v>43390.5177083333</v>
      </c>
    </row>
    <row r="2592" spans="14:20">
      <c r="N2592" s="7" t="str">
        <f>HYPERLINK("E:\附赠：Excel模板\精美EXCEL模板\其他1000例\年度国民经济主要指标.xls","年度国民经济主要指标.xls")</f>
        <v>年度国民经济主要指标.xls</v>
      </c>
      <c r="Q2592">
        <v>0.02</v>
      </c>
      <c r="R2592" s="7" t="str">
        <f t="shared" si="53"/>
        <v>E:\附赠：Excel模板\精美EXCEL模板\其他1000例</v>
      </c>
      <c r="S2592" s="9">
        <v>43600.3821643519</v>
      </c>
      <c r="T2592" s="9">
        <v>43390.5177083333</v>
      </c>
    </row>
    <row r="2593" spans="14:20">
      <c r="N2593" s="7" t="str">
        <f>HYPERLINK("E:\附赠：Excel模板\精美EXCEL模板\其他1000例\年度国民经济发展情况.xls","年度国民经济发展情况.xls")</f>
        <v>年度国民经济发展情况.xls</v>
      </c>
      <c r="Q2593">
        <v>0.02</v>
      </c>
      <c r="R2593" s="7" t="str">
        <f t="shared" si="53"/>
        <v>E:\附赠：Excel模板\精美EXCEL模板\其他1000例</v>
      </c>
      <c r="S2593" s="9">
        <v>43600.3821643519</v>
      </c>
      <c r="T2593" s="9">
        <v>43390.5177083333</v>
      </c>
    </row>
    <row r="2594" spans="14:20">
      <c r="N2594" s="7" t="str">
        <f>HYPERLINK("E:\附赠：Excel模板\精美EXCEL模板\其他1000例\年度培训计划及实施统计表.xls","年度培训计划及实施统计表.xls")</f>
        <v>年度培训计划及实施统计表.xls</v>
      </c>
      <c r="Q2594">
        <v>0.02</v>
      </c>
      <c r="R2594" s="7" t="str">
        <f t="shared" si="53"/>
        <v>E:\附赠：Excel模板\精美EXCEL模板\其他1000例</v>
      </c>
      <c r="S2594" s="9">
        <v>43600.3821643519</v>
      </c>
      <c r="T2594" s="9">
        <v>43390.5177083333</v>
      </c>
    </row>
    <row r="2595" spans="14:20">
      <c r="N2595" s="7" t="str">
        <f>HYPERLINK("E:\附赠：Excel模板\精美EXCEL模板\其他1000例\年度水利系统财务表.xls","年度水利系统财务表.xls")</f>
        <v>年度水利系统财务表.xls</v>
      </c>
      <c r="Q2595">
        <v>0.06</v>
      </c>
      <c r="R2595" s="7" t="str">
        <f t="shared" si="53"/>
        <v>E:\附赠：Excel模板\精美EXCEL模板\其他1000例</v>
      </c>
      <c r="S2595" s="9">
        <v>43600.3821643519</v>
      </c>
      <c r="T2595" s="9">
        <v>43390.5177083333</v>
      </c>
    </row>
    <row r="2596" spans="14:20">
      <c r="N2596" s="7" t="str">
        <f>HYPERLINK("E:\附赠：Excel模板\精美EXCEL模板\其他1000例\年度財務收入比例圖.xls","年度財務收入比例圖.xls")</f>
        <v>年度財務收入比例圖.xls</v>
      </c>
      <c r="Q2596">
        <v>0.03</v>
      </c>
      <c r="R2596" s="7" t="str">
        <f t="shared" si="53"/>
        <v>E:\附赠：Excel模板\精美EXCEL模板\其他1000例</v>
      </c>
      <c r="S2596" s="9">
        <v>43600.3821643519</v>
      </c>
      <c r="T2596" s="9">
        <v>43390.5177083333</v>
      </c>
    </row>
    <row r="2597" spans="14:20">
      <c r="N2597" s="7" t="str">
        <f>HYPERLINK("E:\附赠：Excel模板\精美EXCEL模板\其他1000例\年度财务决算预测表.xls","年度财务决算预测表.xls")</f>
        <v>年度财务决算预测表.xls</v>
      </c>
      <c r="Q2597">
        <v>0.02</v>
      </c>
      <c r="R2597" s="7" t="str">
        <f t="shared" si="53"/>
        <v>E:\附赠：Excel模板\精美EXCEL模板\其他1000例</v>
      </c>
      <c r="S2597" s="9">
        <v>43600.3821643519</v>
      </c>
      <c r="T2597" s="9">
        <v>43390.5177083333</v>
      </c>
    </row>
    <row r="2598" spans="14:20">
      <c r="N2598" s="7" t="str">
        <f>HYPERLINK("E:\附赠：Excel模板\精美EXCEL模板\其他1000例\年度财务决算预测表2.xls","年度财务决算预测表2.xls")</f>
        <v>年度财务决算预测表2.xls</v>
      </c>
      <c r="Q2598">
        <v>0.02</v>
      </c>
      <c r="R2598" s="7" t="str">
        <f t="shared" si="53"/>
        <v>E:\附赠：Excel模板\精美EXCEL模板\其他1000例</v>
      </c>
      <c r="S2598" s="9">
        <v>43600.3821643519</v>
      </c>
      <c r="T2598" s="9">
        <v>43390.5177083333</v>
      </c>
    </row>
    <row r="2599" spans="14:20">
      <c r="N2599" s="7" t="str">
        <f>HYPERLINK("E:\附赠：Excel模板\精美EXCEL模板\其他1000例\年度财务收支情况自查表.xls","年度财务收支情况自查表.xls")</f>
        <v>年度财务收支情况自查表.xls</v>
      </c>
      <c r="Q2599">
        <v>0.02</v>
      </c>
      <c r="R2599" s="7" t="str">
        <f t="shared" si="53"/>
        <v>E:\附赠：Excel模板\精美EXCEL模板\其他1000例</v>
      </c>
      <c r="S2599" s="9">
        <v>43600.3821643519</v>
      </c>
      <c r="T2599" s="9">
        <v>43390.5177083333</v>
      </c>
    </row>
    <row r="2600" spans="14:20">
      <c r="N2600" s="7" t="str">
        <f>HYPERLINK("E:\附赠：Excel模板\精美EXCEL模板\其他1000例\年考核合格获省种子检验员证人员名单.xls","年考核合格获省种子检验员证人员名单.xls")</f>
        <v>年考核合格获省种子检验员证人员名单.xls</v>
      </c>
      <c r="Q2600">
        <v>0.04</v>
      </c>
      <c r="R2600" s="7" t="str">
        <f t="shared" si="53"/>
        <v>E:\附赠：Excel模板\精美EXCEL模板\其他1000例</v>
      </c>
      <c r="S2600" s="9">
        <v>43600.3821643519</v>
      </c>
      <c r="T2600" s="9">
        <v>43390.5177083333</v>
      </c>
    </row>
    <row r="2601" spans="14:20">
      <c r="N2601" s="7" t="str">
        <f>HYPERLINK("E:\附赠：Excel模板\精美EXCEL模板\其他1000例\年获国家奖学金学生名单备案表.xls","年获国家奖学金学生名单备案表.xls")</f>
        <v>年获国家奖学金学生名单备案表.xls</v>
      </c>
      <c r="Q2601">
        <v>0.02</v>
      </c>
      <c r="R2601" s="7" t="str">
        <f t="shared" si="53"/>
        <v>E:\附赠：Excel模板\精美EXCEL模板\其他1000例</v>
      </c>
      <c r="S2601" s="9">
        <v>43600.3821643519</v>
      </c>
      <c r="T2601" s="9">
        <v>43390.5177083333</v>
      </c>
    </row>
    <row r="2602" spans="14:20">
      <c r="N2602" s="7" t="str">
        <f>HYPERLINK("E:\附赠：Excel模板\精美EXCEL模板\其他1000例\年财政教育经费投入情况调查表.xls","年财政教育经费投入情况调查表.xls")</f>
        <v>年财政教育经费投入情况调查表.xls</v>
      </c>
      <c r="Q2602">
        <v>0.02</v>
      </c>
      <c r="R2602" s="7" t="str">
        <f t="shared" si="53"/>
        <v>E:\附赠：Excel模板\精美EXCEL模板\其他1000例</v>
      </c>
      <c r="S2602" s="9">
        <v>43600.3821643519</v>
      </c>
      <c r="T2602" s="9">
        <v>43390.5177083333</v>
      </c>
    </row>
    <row r="2603" spans="14:20">
      <c r="N2603" s="7" t="str">
        <f>HYPERLINK("E:\附赠：Excel模板\精美EXCEL模板\其他1000例\库存报表.xls","库存报表.xls")</f>
        <v>库存报表.xls</v>
      </c>
      <c r="Q2603">
        <v>0.02</v>
      </c>
      <c r="R2603" s="7" t="str">
        <f t="shared" si="53"/>
        <v>E:\附赠：Excel模板\精美EXCEL模板\其他1000例</v>
      </c>
      <c r="S2603" s="9">
        <v>43600.3821643519</v>
      </c>
      <c r="T2603" s="9">
        <v>43390.5178009259</v>
      </c>
    </row>
    <row r="2604" spans="14:20">
      <c r="N2604" s="7" t="str">
        <f>HYPERLINK("E:\附赠：Excel模板\精美EXCEL模板\其他1000例\应交财政收益明细表.xls","应交财政收益明细表.xls")</f>
        <v>应交财政收益明细表.xls</v>
      </c>
      <c r="Q2604">
        <v>0.02</v>
      </c>
      <c r="R2604" s="7" t="str">
        <f t="shared" si="53"/>
        <v>E:\附赠：Excel模板\精美EXCEL模板\其他1000例</v>
      </c>
      <c r="S2604" s="9">
        <v>43600.3821643519</v>
      </c>
      <c r="T2604" s="9">
        <v>43390.5171527778</v>
      </c>
    </row>
    <row r="2605" spans="14:20">
      <c r="N2605" s="7" t="str">
        <f>HYPERLINK("E:\附赠：Excel模板\精美EXCEL模板\其他1000例\应收帐款明细及帐龄分析表.xls","应收帐款明细及帐龄分析表.xls")</f>
        <v>应收帐款明细及帐龄分析表.xls</v>
      </c>
      <c r="Q2605">
        <v>0.02</v>
      </c>
      <c r="R2605" s="7" t="str">
        <f t="shared" si="53"/>
        <v>E:\附赠：Excel模板\精美EXCEL模板\其他1000例</v>
      </c>
      <c r="S2605" s="9">
        <v>43600.3821643519</v>
      </c>
      <c r="T2605" s="9">
        <v>43390.5171527778</v>
      </c>
    </row>
    <row r="2606" spans="14:20">
      <c r="N2606" s="7" t="str">
        <f>HYPERLINK("E:\附赠：Excel模板\精美EXCEL模板\其他1000例\应收应付统计表.xls","应收应付统计表.xls")</f>
        <v>应收应付统计表.xls</v>
      </c>
      <c r="Q2606">
        <v>0.02</v>
      </c>
      <c r="R2606" s="7" t="str">
        <f t="shared" si="53"/>
        <v>E:\附赠：Excel模板\精美EXCEL模板\其他1000例</v>
      </c>
      <c r="S2606" s="9">
        <v>43600.3821643519</v>
      </c>
      <c r="T2606" s="9">
        <v>43390.5171527778</v>
      </c>
    </row>
    <row r="2607" spans="14:20">
      <c r="N2607" s="7" t="str">
        <f>HYPERLINK("E:\附赠：Excel模板\精美EXCEL模板\其他1000例\应收款统计.xls","应收款统计.xls")</f>
        <v>应收款统计.xls</v>
      </c>
      <c r="Q2607">
        <v>0.02</v>
      </c>
      <c r="R2607" s="7" t="str">
        <f t="shared" si="53"/>
        <v>E:\附赠：Excel模板\精美EXCEL模板\其他1000例</v>
      </c>
      <c r="S2607" s="9">
        <v>43600.3821643519</v>
      </c>
      <c r="T2607" s="9">
        <v>43390.5171527778</v>
      </c>
    </row>
    <row r="2608" spans="14:20">
      <c r="N2608" s="7" t="str">
        <f>HYPERLINK("E:\附赠：Excel模板\精美EXCEL模板\其他1000例\店内训练课程一览表.xls","店内训练课程一览表.xls")</f>
        <v>店内训练课程一览表.xls</v>
      </c>
      <c r="Q2608">
        <v>0.2</v>
      </c>
      <c r="R2608" s="7" t="str">
        <f t="shared" si="53"/>
        <v>E:\附赠：Excel模板\精美EXCEL模板\其他1000例</v>
      </c>
      <c r="S2608" s="9">
        <v>43600.3821643519</v>
      </c>
      <c r="T2608" s="9">
        <v>43390.5181018518</v>
      </c>
    </row>
    <row r="2609" spans="14:20">
      <c r="N2609" s="7" t="str">
        <f>HYPERLINK("E:\附赠：Excel模板\精美EXCEL模板\其他1000例\度科研成果统计表.xls","度科研成果统计表.xls")</f>
        <v>度科研成果统计表.xls</v>
      </c>
      <c r="Q2609">
        <v>0.01</v>
      </c>
      <c r="R2609" s="7" t="str">
        <f t="shared" si="53"/>
        <v>E:\附赠：Excel模板\精美EXCEL模板\其他1000例</v>
      </c>
      <c r="S2609" s="9">
        <v>43600.3821643519</v>
      </c>
      <c r="T2609" s="9">
        <v>43390.5181018518</v>
      </c>
    </row>
    <row r="2610" spans="14:20">
      <c r="N2610" s="7" t="str">
        <f>HYPERLINK("E:\附赠：Excel模板\精美EXCEL模板\其他1000例\建筑业企业主要财务状况.xls","建筑业企业主要财务状况.xls")</f>
        <v>建筑业企业主要财务状况.xls</v>
      </c>
      <c r="Q2610">
        <v>0.02</v>
      </c>
      <c r="R2610" s="7" t="str">
        <f t="shared" si="53"/>
        <v>E:\附赠：Excel模板\精美EXCEL模板\其他1000例</v>
      </c>
      <c r="S2610" s="9">
        <v>43600.3821643519</v>
      </c>
      <c r="T2610" s="9">
        <v>43390.5178703704</v>
      </c>
    </row>
    <row r="2611" spans="14:20">
      <c r="N2611" s="7" t="str">
        <f>HYPERLINK("E:\附赠：Excel模板\精美EXCEL模板\其他1000例\建设项目基本情况表.xls","建设项目基本情况表.xls")</f>
        <v>建设项目基本情况表.xls</v>
      </c>
      <c r="Q2611">
        <v>0.02</v>
      </c>
      <c r="R2611" s="7" t="str">
        <f t="shared" si="53"/>
        <v>E:\附赠：Excel模板\精美EXCEL模板\其他1000例</v>
      </c>
      <c r="S2611" s="9">
        <v>43600.3821643519</v>
      </c>
      <c r="T2611" s="9">
        <v>43390.5178703704</v>
      </c>
    </row>
    <row r="2612" spans="14:20">
      <c r="N2612" s="7" t="str">
        <f>HYPERLINK("E:\附赠：Excel模板\精美EXCEL模板\其他1000例\建设项目资金拨付申请书.xls","建设项目资金拨付申请书.xls")</f>
        <v>建设项目资金拨付申请书.xls</v>
      </c>
      <c r="Q2612">
        <v>0.02</v>
      </c>
      <c r="R2612" s="7" t="str">
        <f t="shared" si="53"/>
        <v>E:\附赠：Excel模板\精美EXCEL模板\其他1000例</v>
      </c>
      <c r="S2612" s="9">
        <v>43600.3821643519</v>
      </c>
      <c r="T2612" s="9">
        <v>43390.5178703704</v>
      </c>
    </row>
    <row r="2613" spans="14:20">
      <c r="N2613" s="7" t="str">
        <f>HYPERLINK("E:\附赠：Excel模板\精美EXCEL模板\其他1000例\开发高层次人才资金资助申请书.xls","开发高层次人才资金资助申请书.xls")</f>
        <v>开发高层次人才资金资助申请书.xls</v>
      </c>
      <c r="Q2613">
        <v>0.04</v>
      </c>
      <c r="R2613" s="7" t="str">
        <f t="shared" si="53"/>
        <v>E:\附赠：Excel模板\精美EXCEL模板\其他1000例</v>
      </c>
      <c r="S2613" s="9">
        <v>43600.3821643519</v>
      </c>
      <c r="T2613" s="9">
        <v>43390.5178240741</v>
      </c>
    </row>
    <row r="2614" spans="14:20">
      <c r="N2614" s="7" t="str">
        <f>HYPERLINK("E:\附赠：Excel模板\精美EXCEL模板\其他1000例\开拓资金项目资金计划申报评审表.xls","开拓资金项目资金计划申报评审表.xls")</f>
        <v>开拓资金项目资金计划申报评审表.xls</v>
      </c>
      <c r="Q2614">
        <v>0.02</v>
      </c>
      <c r="R2614" s="7" t="str">
        <f t="shared" si="53"/>
        <v>E:\附赠：Excel模板\精美EXCEL模板\其他1000例</v>
      </c>
      <c r="S2614" s="9">
        <v>43600.3821643519</v>
      </c>
      <c r="T2614" s="9">
        <v>43390.5178009259</v>
      </c>
    </row>
    <row r="2615" spans="14:20">
      <c r="N2615" s="7" t="str">
        <f>HYPERLINK("E:\附赠：Excel模板\精美EXCEL模板\其他1000例\开放本科会计学专业课程教材征订表.xls","开放本科会计学专业课程教材征订表.xls")</f>
        <v>开放本科会计学专业课程教材征订表.xls</v>
      </c>
      <c r="Q2615">
        <v>0.02</v>
      </c>
      <c r="R2615" s="7" t="str">
        <f t="shared" si="53"/>
        <v>E:\附赠：Excel模板\精美EXCEL模板\其他1000例</v>
      </c>
      <c r="S2615" s="9">
        <v>43600.3821643519</v>
      </c>
      <c r="T2615" s="9">
        <v>43390.5178009259</v>
      </c>
    </row>
    <row r="2616" spans="14:20">
      <c r="N2616" s="7" t="str">
        <f>HYPERLINK("E:\附赠：Excel模板\精美EXCEL模板\其他1000例\开放本科英语专业课程教材征订表.xls","开放本科英语专业课程教材征订表.xls")</f>
        <v>开放本科英语专业课程教材征订表.xls</v>
      </c>
      <c r="Q2616">
        <v>0.02</v>
      </c>
      <c r="R2616" s="7" t="str">
        <f t="shared" si="53"/>
        <v>E:\附赠：Excel模板\精美EXCEL模板\其他1000例</v>
      </c>
      <c r="S2616" s="9">
        <v>43600.3821643519</v>
      </c>
      <c r="T2616" s="9">
        <v>43390.5178009259</v>
      </c>
    </row>
    <row r="2617" spans="14:20">
      <c r="N2617" s="7" t="str">
        <f>HYPERLINK("E:\附赠：Excel模板\精美EXCEL模板\其他1000例\强制承运人责任保险承保情况统计表.xls","强制承运人责任保险承保情况统计表.xls")</f>
        <v>强制承运人责任保险承保情况统计表.xls</v>
      </c>
      <c r="Q2617">
        <v>0.02</v>
      </c>
      <c r="R2617" s="7" t="str">
        <f t="shared" si="53"/>
        <v>E:\附赠：Excel模板\精美EXCEL模板\其他1000例</v>
      </c>
      <c r="S2617" s="9">
        <v>43600.3821643519</v>
      </c>
      <c r="T2617" s="9">
        <v>43390.5176157407</v>
      </c>
    </row>
    <row r="2618" spans="14:20">
      <c r="N2618" s="7" t="str">
        <f>HYPERLINK("E:\附赠：Excel模板\精美EXCEL模板\其他1000例\往来款项明细表.xls","往来款项明细表.xls")</f>
        <v>往来款项明细表.xls</v>
      </c>
      <c r="Q2618">
        <v>0.02</v>
      </c>
      <c r="R2618" s="7" t="str">
        <f t="shared" si="53"/>
        <v>E:\附赠：Excel模板\精美EXCEL模板\其他1000例</v>
      </c>
      <c r="S2618" s="9">
        <v>43600.3821643519</v>
      </c>
      <c r="T2618" s="9">
        <v>43390.5173842593</v>
      </c>
    </row>
    <row r="2619" spans="14:20">
      <c r="N2619" s="7" t="str">
        <f>HYPERLINK("E:\附赠：Excel模板\精美EXCEL模板\其他1000例\征收计划表.xls","征收计划表.xls")</f>
        <v>征收计划表.xls</v>
      </c>
      <c r="Q2619">
        <v>0.02</v>
      </c>
      <c r="R2619" s="7" t="str">
        <f t="shared" ref="R2619:R2682" si="54">HYPERLINK("E:\附赠：Excel模板\精美EXCEL模板\其他1000例","E:\附赠：Excel模板\精美EXCEL模板\其他1000例")</f>
        <v>E:\附赠：Excel模板\精美EXCEL模板\其他1000例</v>
      </c>
      <c r="S2619" s="9">
        <v>43600.3821643519</v>
      </c>
      <c r="T2619" s="9">
        <v>43390.5171064815</v>
      </c>
    </row>
    <row r="2620" spans="14:20">
      <c r="N2620" s="7" t="str">
        <f>HYPERLINK("E:\附赠：Excel模板\精美EXCEL模板\其他1000例\总决算表.xls","总决算表.xls")</f>
        <v>总决算表.xls</v>
      </c>
      <c r="Q2620">
        <v>0.02</v>
      </c>
      <c r="R2620" s="7" t="str">
        <f t="shared" si="54"/>
        <v>E:\附赠：Excel模板\精美EXCEL模板\其他1000例</v>
      </c>
      <c r="S2620" s="9">
        <v>43600.3821643519</v>
      </c>
      <c r="T2620" s="9">
        <v>43390.5169675926</v>
      </c>
    </row>
    <row r="2621" spans="14:20">
      <c r="N2621" s="7" t="str">
        <f>HYPERLINK("E:\附赠：Excel模板\精美EXCEL模板\其他1000例\总成本费用估算表.xls","总成本费用估算表.xls")</f>
        <v>总成本费用估算表.xls</v>
      </c>
      <c r="Q2621">
        <v>0.01</v>
      </c>
      <c r="R2621" s="7" t="str">
        <f t="shared" si="54"/>
        <v>E:\附赠：Excel模板\精美EXCEL模板\其他1000例</v>
      </c>
      <c r="S2621" s="9">
        <v>43600.3821643519</v>
      </c>
      <c r="T2621" s="9">
        <v>43390.5169675926</v>
      </c>
    </row>
    <row r="2622" spans="14:20">
      <c r="N2622" s="7" t="str">
        <f>HYPERLINK("E:\附赠：Excel模板\精美EXCEL模板\其他1000例\成本费用预算表.xls","成本费用预算表.xls")</f>
        <v>成本费用预算表.xls</v>
      </c>
      <c r="Q2622">
        <v>0.02</v>
      </c>
      <c r="R2622" s="7" t="str">
        <f t="shared" si="54"/>
        <v>E:\附赠：Excel模板\精美EXCEL模板\其他1000例</v>
      </c>
      <c r="S2622" s="9">
        <v>43600.3821643519</v>
      </c>
      <c r="T2622" s="9">
        <v>43390.5181944444</v>
      </c>
    </row>
    <row r="2623" spans="14:20">
      <c r="N2623" s="7" t="str">
        <f>HYPERLINK("E:\附赠：Excel模板\精美EXCEL模板\其他1000例\成果统计表.xls","成果统计表.xls")</f>
        <v>成果统计表.xls</v>
      </c>
      <c r="Q2623">
        <v>0.02</v>
      </c>
      <c r="R2623" s="7" t="str">
        <f t="shared" si="54"/>
        <v>E:\附赠：Excel模板\精美EXCEL模板\其他1000例</v>
      </c>
      <c r="S2623" s="9">
        <v>43600.3821643519</v>
      </c>
      <c r="T2623" s="9">
        <v>43390.5181944444</v>
      </c>
    </row>
    <row r="2624" spans="14:20">
      <c r="N2624" s="7" t="str">
        <f>HYPERLINK("E:\附赠：Excel模板\精美EXCEL模板\其他1000例\成绩单.xls","成绩单.xls")</f>
        <v>成绩单.xls</v>
      </c>
      <c r="Q2624">
        <v>0.02</v>
      </c>
      <c r="R2624" s="7" t="str">
        <f t="shared" si="54"/>
        <v>E:\附赠：Excel模板\精美EXCEL模板\其他1000例</v>
      </c>
      <c r="S2624" s="9">
        <v>43600.3821643519</v>
      </c>
      <c r="T2624" s="9">
        <v>43390.5181944444</v>
      </c>
    </row>
    <row r="2625" spans="14:20">
      <c r="N2625" s="7" t="str">
        <f>HYPERLINK("E:\附赠：Excel模板\精美EXCEL模板\其他1000例\成绩考核方式表.xls","成绩考核方式表.xls")</f>
        <v>成绩考核方式表.xls</v>
      </c>
      <c r="Q2625">
        <v>0.01</v>
      </c>
      <c r="R2625" s="7" t="str">
        <f t="shared" si="54"/>
        <v>E:\附赠：Excel模板\精美EXCEL模板\其他1000例</v>
      </c>
      <c r="S2625" s="9">
        <v>43600.3821643519</v>
      </c>
      <c r="T2625" s="9">
        <v>43390.5181944444</v>
      </c>
    </row>
    <row r="2626" spans="14:20">
      <c r="N2626" s="7" t="str">
        <f>HYPERLINK("E:\附赠：Excel模板\精美EXCEL模板\其他1000例\成绩考核登记表.xls","成绩考核登记表.xls")</f>
        <v>成绩考核登记表.xls</v>
      </c>
      <c r="Q2626">
        <v>0.02</v>
      </c>
      <c r="R2626" s="7" t="str">
        <f t="shared" si="54"/>
        <v>E:\附赠：Excel模板\精美EXCEL模板\其他1000例</v>
      </c>
      <c r="S2626" s="9">
        <v>43600.3821643519</v>
      </c>
      <c r="T2626" s="9">
        <v>43390.5181944444</v>
      </c>
    </row>
    <row r="2627" spans="14:20">
      <c r="N2627" s="7" t="str">
        <f>HYPERLINK("E:\附赠：Excel模板\精美EXCEL模板\其他1000例\成绩表.xls","成绩表.xls")</f>
        <v>成绩表.xls</v>
      </c>
      <c r="Q2627">
        <v>0.08</v>
      </c>
      <c r="R2627" s="7" t="str">
        <f t="shared" si="54"/>
        <v>E:\附赠：Excel模板\精美EXCEL模板\其他1000例</v>
      </c>
      <c r="S2627" s="9">
        <v>43600.3821643519</v>
      </c>
      <c r="T2627" s="9">
        <v>43390.5181944444</v>
      </c>
    </row>
    <row r="2628" spans="14:20">
      <c r="N2628" s="7" t="str">
        <f>HYPERLINK("E:\附赠：Excel模板\精美EXCEL模板\其他1000例\截至××年底财政拨款资金结余情况表.xls","截至××年底财政拨款资金结余情况表.xls")</f>
        <v>截至××年底财政拨款资金结余情况表.xls</v>
      </c>
      <c r="Q2628">
        <v>0.02</v>
      </c>
      <c r="R2628" s="7" t="str">
        <f t="shared" si="54"/>
        <v>E:\附赠：Excel模板\精美EXCEL模板\其他1000例</v>
      </c>
      <c r="S2628" s="9">
        <v>43600.3821643519</v>
      </c>
      <c r="T2628" s="9">
        <v>43390.5178472222</v>
      </c>
    </row>
    <row r="2629" spans="14:20">
      <c r="N2629" s="7" t="str">
        <f>HYPERLINK("E:\附赠：Excel模板\精美EXCEL模板\其他1000例\房产登记.xls","房产登记.xls")</f>
        <v>房产登记.xls</v>
      </c>
      <c r="Q2629">
        <v>0.02</v>
      </c>
      <c r="R2629" s="7" t="str">
        <f t="shared" si="54"/>
        <v>E:\附赠：Excel模板\精美EXCEL模板\其他1000例</v>
      </c>
      <c r="S2629" s="9">
        <v>43600.3821643519</v>
      </c>
      <c r="T2629" s="9">
        <v>43390.5180787037</v>
      </c>
    </row>
    <row r="2630" spans="14:20">
      <c r="N2630" s="7" t="str">
        <f>HYPERLINK("E:\附赠：Excel模板\精美EXCEL模板\其他1000例\房地产中介服务统计基层表.xls","房地产中介服务统计基层表.xls")</f>
        <v>房地产中介服务统计基层表.xls</v>
      </c>
      <c r="Q2630">
        <v>0.02</v>
      </c>
      <c r="R2630" s="7" t="str">
        <f t="shared" si="54"/>
        <v>E:\附赠：Excel模板\精美EXCEL模板\其他1000例</v>
      </c>
      <c r="S2630" s="9">
        <v>43600.3821643519</v>
      </c>
      <c r="T2630" s="9">
        <v>43390.5180787037</v>
      </c>
    </row>
    <row r="2631" spans="14:20">
      <c r="N2631" s="7" t="str">
        <f>HYPERLINK("E:\附赠：Excel模板\精美EXCEL模板\其他1000例\房地产开发企业财务状况.xls","房地产开发企业财务状况.xls")</f>
        <v>房地产开发企业财务状况.xls</v>
      </c>
      <c r="Q2631">
        <v>0.02</v>
      </c>
      <c r="R2631" s="7" t="str">
        <f t="shared" si="54"/>
        <v>E:\附赠：Excel模板\精美EXCEL模板\其他1000例</v>
      </c>
      <c r="S2631" s="9">
        <v>43600.3821643519</v>
      </c>
      <c r="T2631" s="9">
        <v>43390.5180787037</v>
      </c>
    </row>
    <row r="2632" spans="14:20">
      <c r="N2632" s="7" t="str">
        <f>HYPERLINK("E:\附赠：Excel模板\精美EXCEL模板\其他1000例\房屋占用费预算明细表.xls","房屋占用费预算明细表.xls")</f>
        <v>房屋占用费预算明细表.xls</v>
      </c>
      <c r="Q2632">
        <v>0.02</v>
      </c>
      <c r="R2632" s="7" t="str">
        <f t="shared" si="54"/>
        <v>E:\附赠：Excel模板\精美EXCEL模板\其他1000例</v>
      </c>
      <c r="S2632" s="9">
        <v>43600.3821643519</v>
      </c>
      <c r="T2632" s="9">
        <v>43390.5180787037</v>
      </c>
    </row>
    <row r="2633" spans="14:20">
      <c r="N2633" s="7" t="str">
        <f>HYPERLINK("E:\附赠：Excel模板\精美EXCEL模板\其他1000例\房屋建筑物明细表.xls","房屋建筑物明细表.xls")</f>
        <v>房屋建筑物明细表.xls</v>
      </c>
      <c r="Q2633">
        <v>0.02</v>
      </c>
      <c r="R2633" s="7" t="str">
        <f t="shared" si="54"/>
        <v>E:\附赠：Excel模板\精美EXCEL模板\其他1000例</v>
      </c>
      <c r="S2633" s="9">
        <v>43600.3821643519</v>
      </c>
      <c r="T2633" s="9">
        <v>43390.5180787037</v>
      </c>
    </row>
    <row r="2634" spans="14:20">
      <c r="N2634" s="7" t="str">
        <f>HYPERLINK("E:\附赠：Excel模板\精美EXCEL模板\其他1000例\房屋建筑物类固定资产调查表.xls","房屋建筑物类固定资产调查表.xls")</f>
        <v>房屋建筑物类固定资产调查表.xls</v>
      </c>
      <c r="Q2634">
        <v>0.02</v>
      </c>
      <c r="R2634" s="7" t="str">
        <f t="shared" si="54"/>
        <v>E:\附赠：Excel模板\精美EXCEL模板\其他1000例</v>
      </c>
      <c r="S2634" s="9">
        <v>43600.3821643519</v>
      </c>
      <c r="T2634" s="9">
        <v>43390.5180787037</v>
      </c>
    </row>
    <row r="2635" spans="14:20">
      <c r="N2635" s="7" t="str">
        <f>HYPERLINK("E:\附赠：Excel模板\精美EXCEL模板\其他1000例\房屋权属登记情况.xls","房屋权属登记情况.xls")</f>
        <v>房屋权属登记情况.xls</v>
      </c>
      <c r="Q2635">
        <v>0.02</v>
      </c>
      <c r="R2635" s="7" t="str">
        <f t="shared" si="54"/>
        <v>E:\附赠：Excel模板\精美EXCEL模板\其他1000例</v>
      </c>
      <c r="S2635" s="9">
        <v>43600.3821643519</v>
      </c>
      <c r="T2635" s="9">
        <v>43390.5180787037</v>
      </c>
    </row>
    <row r="2636" spans="14:20">
      <c r="N2636" s="7" t="str">
        <f>HYPERLINK("E:\附赠：Excel模板\精美EXCEL模板\其他1000例\房屋类资产情况明细表.xls","房屋类资产情况明细表.xls")</f>
        <v>房屋类资产情况明细表.xls</v>
      </c>
      <c r="Q2636">
        <v>0.02</v>
      </c>
      <c r="R2636" s="7" t="str">
        <f t="shared" si="54"/>
        <v>E:\附赠：Excel模板\精美EXCEL模板\其他1000例</v>
      </c>
      <c r="S2636" s="9">
        <v>43600.3821643519</v>
      </c>
      <c r="T2636" s="9">
        <v>43390.5180787037</v>
      </c>
    </row>
    <row r="2637" spans="14:20">
      <c r="N2637" s="7" t="str">
        <f>HYPERLINK("E:\附赠：Excel模板\精美EXCEL模板\其他1000例\技改贷款财政贴息资金项目申请表.xls","技改贷款财政贴息资金项目申请表.xls")</f>
        <v>技改贷款财政贴息资金项目申请表.xls</v>
      </c>
      <c r="Q2637">
        <v>0.01</v>
      </c>
      <c r="R2637" s="7" t="str">
        <f t="shared" si="54"/>
        <v>E:\附赠：Excel模板\精美EXCEL模板\其他1000例</v>
      </c>
      <c r="S2637" s="9">
        <v>43600.3821643519</v>
      </c>
      <c r="T2637" s="9">
        <v>43390.5179166667</v>
      </c>
    </row>
    <row r="2638" spans="14:20">
      <c r="N2638" s="7" t="str">
        <f>HYPERLINK("E:\附赠：Excel模板\精美EXCEL模板\其他1000例\技改项目完成投资财务清单.xls","技改项目完成投资财务清单.xls")</f>
        <v>技改项目完成投资财务清单.xls</v>
      </c>
      <c r="Q2638">
        <v>0.02</v>
      </c>
      <c r="R2638" s="7" t="str">
        <f t="shared" si="54"/>
        <v>E:\附赠：Excel模板\精美EXCEL模板\其他1000例</v>
      </c>
      <c r="S2638" s="9">
        <v>43600.3821643519</v>
      </c>
      <c r="T2638" s="9">
        <v>43390.5179166667</v>
      </c>
    </row>
    <row r="2639" spans="14:20">
      <c r="N2639" s="7" t="str">
        <f>HYPERLINK("E:\附赠：Excel模板\精美EXCEL模板\其他1000例\技改项目财政挖潜资金申请表.xls","技改项目财政挖潜资金申请表.xls")</f>
        <v>技改项目财政挖潜资金申请表.xls</v>
      </c>
      <c r="Q2639">
        <v>0.02</v>
      </c>
      <c r="R2639" s="7" t="str">
        <f t="shared" si="54"/>
        <v>E:\附赠：Excel模板\精美EXCEL模板\其他1000例</v>
      </c>
      <c r="S2639" s="9">
        <v>43600.3821643519</v>
      </c>
      <c r="T2639" s="9">
        <v>43390.5179166667</v>
      </c>
    </row>
    <row r="2640" spans="14:20">
      <c r="N2640" s="7" t="str">
        <f>HYPERLINK("E:\附赠：Excel模板\精美EXCEL模板\其他1000例\技术骨干工作经历及主要业绩简介.xls","技术骨干工作经历及主要业绩简介.xls")</f>
        <v>技术骨干工作经历及主要业绩简介.xls</v>
      </c>
      <c r="Q2640">
        <v>0.02</v>
      </c>
      <c r="R2640" s="7" t="str">
        <f t="shared" si="54"/>
        <v>E:\附赠：Excel模板\精美EXCEL模板\其他1000例</v>
      </c>
      <c r="S2640" s="9">
        <v>43600.3821643519</v>
      </c>
      <c r="T2640" s="9">
        <v>43390.5179166667</v>
      </c>
    </row>
    <row r="2641" spans="14:20">
      <c r="N2641" s="7" t="str">
        <f>HYPERLINK("E:\附赠：Excel模板\精美EXCEL模板\其他1000例\投资储蓄型保险业务统计表.xls","投资储蓄型保险业务统计表.xls")</f>
        <v>投资储蓄型保险业务统计表.xls</v>
      </c>
      <c r="Q2641">
        <v>0.02</v>
      </c>
      <c r="R2641" s="7" t="str">
        <f t="shared" si="54"/>
        <v>E:\附赠：Excel模板\精美EXCEL模板\其他1000例</v>
      </c>
      <c r="S2641" s="9">
        <v>43600.3821643519</v>
      </c>
      <c r="T2641" s="9">
        <v>43390.5174305556</v>
      </c>
    </row>
    <row r="2642" spans="14:20">
      <c r="N2642" s="7" t="str">
        <f>HYPERLINK("E:\附赠：Excel模板\精美EXCEL模板\其他1000例\投资报表.xls","投资报表.xls")</f>
        <v>投资报表.xls</v>
      </c>
      <c r="Q2642">
        <v>0.02</v>
      </c>
      <c r="R2642" s="7" t="str">
        <f t="shared" si="54"/>
        <v>E:\附赠：Excel模板\精美EXCEL模板\其他1000例</v>
      </c>
      <c r="S2642" s="9">
        <v>43600.3821643519</v>
      </c>
      <c r="T2642" s="9">
        <v>43390.5174305556</v>
      </c>
    </row>
    <row r="2643" spans="14:20">
      <c r="N2643" s="7" t="str">
        <f>HYPERLINK("E:\附赠：Excel模板\精美EXCEL模板\其他1000例\投资收益分析表.xls","投资收益分析表.xls")</f>
        <v>投资收益分析表.xls</v>
      </c>
      <c r="Q2643">
        <v>0.02</v>
      </c>
      <c r="R2643" s="7" t="str">
        <f t="shared" si="54"/>
        <v>E:\附赠：Excel模板\精美EXCEL模板\其他1000例</v>
      </c>
      <c r="S2643" s="9">
        <v>43600.3821643519</v>
      </c>
      <c r="T2643" s="9">
        <v>43390.5174305556</v>
      </c>
    </row>
    <row r="2644" spans="14:20">
      <c r="N2644" s="7" t="str">
        <f>HYPERLINK("E:\附赠：Excel模板\精美EXCEL模板\其他1000例\投资收益明细表.xls","投资收益明细表.xls")</f>
        <v>投资收益明细表.xls</v>
      </c>
      <c r="Q2644">
        <v>0.02</v>
      </c>
      <c r="R2644" s="7" t="str">
        <f t="shared" si="54"/>
        <v>E:\附赠：Excel模板\精美EXCEL模板\其他1000例</v>
      </c>
      <c r="S2644" s="9">
        <v>43600.3821643519</v>
      </c>
      <c r="T2644" s="9">
        <v>43390.5174074074</v>
      </c>
    </row>
    <row r="2645" spans="14:20">
      <c r="N2645" s="7" t="str">
        <f>HYPERLINK("E:\附赠：Excel模板\精美EXCEL模板\其他1000例\投资收益预算表.xls","投资收益预算表.xls")</f>
        <v>投资收益预算表.xls</v>
      </c>
      <c r="Q2645">
        <v>0.02</v>
      </c>
      <c r="R2645" s="7" t="str">
        <f t="shared" si="54"/>
        <v>E:\附赠：Excel模板\精美EXCEL模板\其他1000例</v>
      </c>
      <c r="S2645" s="9">
        <v>43600.3821643519</v>
      </c>
      <c r="T2645" s="9">
        <v>43390.5174305556</v>
      </c>
    </row>
    <row r="2646" spans="14:20">
      <c r="N2646" s="7" t="str">
        <f>HYPERLINK("E:\附赠：Excel模板\精美EXCEL模板\其他1000例\报价单.xls","报价单.xls")</f>
        <v>报价单.xls</v>
      </c>
      <c r="Q2646">
        <v>0.02</v>
      </c>
      <c r="R2646" s="7" t="str">
        <f t="shared" si="54"/>
        <v>E:\附赠：Excel模板\精美EXCEL模板\其他1000例</v>
      </c>
      <c r="S2646" s="9">
        <v>43600.3821643519</v>
      </c>
      <c r="T2646" s="9">
        <v>43390.5183101852</v>
      </c>
    </row>
    <row r="2647" spans="14:20">
      <c r="N2647" s="7" t="str">
        <f>HYPERLINK("E:\附赠：Excel模板\精美EXCEL模板\其他1000例\报税明细表.xls","报税明细表.xls")</f>
        <v>报税明细表.xls</v>
      </c>
      <c r="Q2647">
        <v>0.03</v>
      </c>
      <c r="R2647" s="7" t="str">
        <f t="shared" si="54"/>
        <v>E:\附赠：Excel模板\精美EXCEL模板\其他1000例</v>
      </c>
      <c r="S2647" s="9">
        <v>43600.3821643519</v>
      </c>
      <c r="T2647" s="9">
        <v>43390.5183101852</v>
      </c>
    </row>
    <row r="2648" spans="14:20">
      <c r="N2648" s="7" t="str">
        <f>HYPERLINK("E:\附赠：Excel模板\精美EXCEL模板\其他1000例\拆入(出)资金明细表.xls","拆入(出)资金明细表.xls")</f>
        <v>拆入(出)资金明细表.xls</v>
      </c>
      <c r="Q2648">
        <v>0.02</v>
      </c>
      <c r="R2648" s="7" t="str">
        <f t="shared" si="54"/>
        <v>E:\附赠：Excel模板\精美EXCEL模板\其他1000例</v>
      </c>
      <c r="S2648" s="9">
        <v>43600.3821643519</v>
      </c>
      <c r="T2648" s="9">
        <v>43390.5182175926</v>
      </c>
    </row>
    <row r="2649" spans="14:20">
      <c r="N2649" s="7" t="str">
        <f>HYPERLINK("E:\附赠：Excel模板\精美EXCEL模板\其他1000例\招商引资项目卡片.xls","招商引资项目卡片.xls")</f>
        <v>招商引资项目卡片.xls</v>
      </c>
      <c r="Q2649">
        <v>0.02</v>
      </c>
      <c r="R2649" s="7" t="str">
        <f t="shared" si="54"/>
        <v>E:\附赠：Excel模板\精美EXCEL模板\其他1000例</v>
      </c>
      <c r="S2649" s="9">
        <v>43600.3821643519</v>
      </c>
      <c r="T2649" s="9">
        <v>43390.5171064815</v>
      </c>
    </row>
    <row r="2650" spans="14:20">
      <c r="N2650" s="7" t="str">
        <f>HYPERLINK("E:\附赠：Excel模板\精美EXCEL模板\其他1000例\招录高校毕业生报名登记表.xls","招录高校毕业生报名登记表.xls")</f>
        <v>招录高校毕业生报名登记表.xls</v>
      </c>
      <c r="Q2650">
        <v>0.02</v>
      </c>
      <c r="R2650" s="7" t="str">
        <f t="shared" si="54"/>
        <v>E:\附赠：Excel模板\精美EXCEL模板\其他1000例</v>
      </c>
      <c r="S2650" s="9">
        <v>43600.3821643519</v>
      </c>
      <c r="T2650" s="9">
        <v>43390.5171064815</v>
      </c>
    </row>
    <row r="2651" spans="14:20">
      <c r="N2651" s="7" t="str">
        <f>HYPERLINK("E:\附赠：Excel模板\精美EXCEL模板\其他1000例\招标代理机构基本情况表.xls","招标代理机构基本情况表.xls")</f>
        <v>招标代理机构基本情况表.xls</v>
      </c>
      <c r="Q2651">
        <v>0.02</v>
      </c>
      <c r="R2651" s="7" t="str">
        <f t="shared" si="54"/>
        <v>E:\附赠：Excel模板\精美EXCEL模板\其他1000例</v>
      </c>
      <c r="S2651" s="9">
        <v>43600.3821643519</v>
      </c>
      <c r="T2651" s="9">
        <v>43390.5171064815</v>
      </c>
    </row>
    <row r="2652" spans="14:20">
      <c r="N2652" s="7" t="str">
        <f>HYPERLINK("E:\附赠：Excel模板\精美EXCEL模板\其他1000例\招聘岗位说明表.xls","招聘岗位说明表.xls")</f>
        <v>招聘岗位说明表.xls</v>
      </c>
      <c r="Q2652">
        <v>0.02</v>
      </c>
      <c r="R2652" s="7" t="str">
        <f t="shared" si="54"/>
        <v>E:\附赠：Excel模板\精美EXCEL模板\其他1000例</v>
      </c>
      <c r="S2652" s="9">
        <v>43600.3821643519</v>
      </c>
      <c r="T2652" s="9">
        <v>43390.5171064815</v>
      </c>
    </row>
    <row r="2653" spans="14:20">
      <c r="N2653" s="7" t="str">
        <f>HYPERLINK("E:\附赠：Excel模板\精美EXCEL模板\其他1000例\拟保留开发区情况汇总表.xls","拟保留开发区情况汇总表.xls")</f>
        <v>拟保留开发区情况汇总表.xls</v>
      </c>
      <c r="Q2653">
        <v>0.12</v>
      </c>
      <c r="R2653" s="7" t="str">
        <f t="shared" si="54"/>
        <v>E:\附赠：Excel模板\精美EXCEL模板\其他1000例</v>
      </c>
      <c r="S2653" s="9">
        <v>43600.3821643519</v>
      </c>
      <c r="T2653" s="9">
        <v>43390.5177083333</v>
      </c>
    </row>
    <row r="2654" spans="14:20">
      <c r="N2654" s="7" t="str">
        <f>HYPERLINK("E:\附赠：Excel模板\精美EXCEL模板\其他1000例\拨款拖欠的项目工程款调查汇总表.xls","拨款拖欠的项目工程款调查汇总表.xls")</f>
        <v>拨款拖欠的项目工程款调查汇总表.xls</v>
      </c>
      <c r="Q2654">
        <v>0.02</v>
      </c>
      <c r="R2654" s="7" t="str">
        <f t="shared" si="54"/>
        <v>E:\附赠：Excel模板\精美EXCEL模板\其他1000例</v>
      </c>
      <c r="S2654" s="9">
        <v>43600.3821643519</v>
      </c>
      <c r="T2654" s="9">
        <v>43390.518287037</v>
      </c>
    </row>
    <row r="2655" spans="14:20">
      <c r="N2655" s="7" t="str">
        <f>HYPERLINK("E:\附赠：Excel模板\精美EXCEL模板\其他1000例\按条件取数.xls","按条件取数.xls")</f>
        <v>按条件取数.xls</v>
      </c>
      <c r="Q2655">
        <v>0.05</v>
      </c>
      <c r="R2655" s="7" t="str">
        <f t="shared" si="54"/>
        <v>E:\附赠：Excel模板\精美EXCEL模板\其他1000例</v>
      </c>
      <c r="S2655" s="9">
        <v>43600.3821643519</v>
      </c>
      <c r="T2655" s="9">
        <v>43390.5183333333</v>
      </c>
    </row>
    <row r="2656" spans="14:20">
      <c r="N2656" s="7" t="str">
        <f>HYPERLINK("E:\附赠：Excel模板\精美EXCEL模板\其他1000例\探矿权、采矿权出让情况.xls","探矿权、采矿权出让情况.xls")</f>
        <v>探矿权、采矿权出让情况.xls</v>
      </c>
      <c r="Q2656">
        <v>0.02</v>
      </c>
      <c r="R2656" s="7" t="str">
        <f t="shared" si="54"/>
        <v>E:\附赠：Excel模板\精美EXCEL模板\其他1000例</v>
      </c>
      <c r="S2656" s="9">
        <v>43600.3821643519</v>
      </c>
      <c r="T2656" s="9">
        <v>43390.5174305556</v>
      </c>
    </row>
    <row r="2657" spans="14:20">
      <c r="N2657" s="7" t="str">
        <f>HYPERLINK("E:\附赠：Excel模板\精美EXCEL模板\其他1000例\支付离休人员工资明细表.xls","支付离休人员工资明细表.xls")</f>
        <v>支付离休人员工资明细表.xls</v>
      </c>
      <c r="Q2657">
        <v>0.02</v>
      </c>
      <c r="R2657" s="7" t="str">
        <f t="shared" si="54"/>
        <v>E:\附赠：Excel模板\精美EXCEL模板\其他1000例</v>
      </c>
      <c r="S2657" s="9">
        <v>43600.3821643519</v>
      </c>
      <c r="T2657" s="9">
        <v>43390.5170833333</v>
      </c>
    </row>
    <row r="2658" spans="14:20">
      <c r="N2658" s="7" t="str">
        <f>HYPERLINK("E:\附赠：Excel模板\精美EXCEL模板\其他1000例\支出明细表.xls","支出明细表.xls")</f>
        <v>支出明细表.xls</v>
      </c>
      <c r="Q2658">
        <v>0.02</v>
      </c>
      <c r="R2658" s="7" t="str">
        <f t="shared" si="54"/>
        <v>E:\附赠：Excel模板\精美EXCEL模板\其他1000例</v>
      </c>
      <c r="S2658" s="9">
        <v>43600.3821643519</v>
      </c>
      <c r="T2658" s="9">
        <v>43390.5170833333</v>
      </c>
    </row>
    <row r="2659" spans="14:20">
      <c r="N2659" s="7" t="str">
        <f>HYPERLINK("E:\附赠：Excel模板\精美EXCEL模板\其他1000例\支出项目明细表.xls","支出项目明细表.xls")</f>
        <v>支出项目明细表.xls</v>
      </c>
      <c r="Q2659">
        <v>0.06</v>
      </c>
      <c r="R2659" s="7" t="str">
        <f t="shared" si="54"/>
        <v>E:\附赠：Excel模板\精美EXCEL模板\其他1000例</v>
      </c>
      <c r="S2659" s="9">
        <v>43600.3821643519</v>
      </c>
      <c r="T2659" s="9">
        <v>43390.5170833333</v>
      </c>
    </row>
    <row r="2660" spans="14:20">
      <c r="N2660" s="7" t="str">
        <f>HYPERLINK("E:\附赠：Excel模板\精美EXCEL模板\其他1000例\收付款单.xls","收付款单.xls")</f>
        <v>收付款单.xls</v>
      </c>
      <c r="Q2660">
        <v>0.02</v>
      </c>
      <c r="R2660" s="7" t="str">
        <f t="shared" si="54"/>
        <v>E:\附赠：Excel模板\精美EXCEL模板\其他1000例</v>
      </c>
      <c r="S2660" s="9">
        <v>43600.3821643519</v>
      </c>
      <c r="T2660" s="9">
        <v>43390.5174537037</v>
      </c>
    </row>
    <row r="2661" spans="14:20">
      <c r="N2661" s="7" t="str">
        <f>HYPERLINK("E:\附赠：Excel模板\精美EXCEL模板\其他1000例\收入结构明细表.xls","收入结构明细表.xls")</f>
        <v>收入结构明细表.xls</v>
      </c>
      <c r="Q2661">
        <v>0.01</v>
      </c>
      <c r="R2661" s="7" t="str">
        <f t="shared" si="54"/>
        <v>E:\附赠：Excel模板\精美EXCEL模板\其他1000例</v>
      </c>
      <c r="S2661" s="9">
        <v>43600.3821643519</v>
      </c>
      <c r="T2661" s="9">
        <v>43390.5174537037</v>
      </c>
    </row>
    <row r="2662" spans="14:20">
      <c r="N2662" s="7" t="str">
        <f>HYPERLINK("E:\附赠：Excel模板\精美EXCEL模板\其他1000例\收入项目预算表.xls","收入项目预算表.xls")</f>
        <v>收入项目预算表.xls</v>
      </c>
      <c r="Q2662">
        <v>0.02</v>
      </c>
      <c r="R2662" s="7" t="str">
        <f t="shared" si="54"/>
        <v>E:\附赠：Excel模板\精美EXCEL模板\其他1000例</v>
      </c>
      <c r="S2662" s="9">
        <v>43600.3821643519</v>
      </c>
      <c r="T2662" s="9">
        <v>43390.5174537037</v>
      </c>
    </row>
    <row r="2663" spans="14:20">
      <c r="N2663" s="7" t="str">
        <f>HYPERLINK("E:\附赠：Excel模板\精美EXCEL模板\其他1000例\收支情况表.xls","收支情况表.xls")</f>
        <v>收支情况表.xls</v>
      </c>
      <c r="Q2663">
        <v>0.04</v>
      </c>
      <c r="R2663" s="7" t="str">
        <f t="shared" si="54"/>
        <v>E:\附赠：Excel模板\精美EXCEL模板\其他1000例</v>
      </c>
      <c r="S2663" s="9">
        <v>43600.3821643519</v>
      </c>
      <c r="T2663" s="9">
        <v>43390.5174537037</v>
      </c>
    </row>
    <row r="2664" spans="14:20">
      <c r="N2664" s="7" t="str">
        <f>HYPERLINK("E:\附赠：Excel模板\精美EXCEL模板\其他1000例\收支月报表.xls","收支月报表.xls")</f>
        <v>收支月报表.xls</v>
      </c>
      <c r="Q2664">
        <v>0.02</v>
      </c>
      <c r="R2664" s="7" t="str">
        <f t="shared" si="54"/>
        <v>E:\附赠：Excel模板\精美EXCEL模板\其他1000例</v>
      </c>
      <c r="S2664" s="9">
        <v>43600.3821643519</v>
      </c>
      <c r="T2664" s="9">
        <v>43390.5174537037</v>
      </c>
    </row>
    <row r="2665" spans="14:20">
      <c r="N2665" s="7" t="str">
        <f>HYPERLINK("E:\附赠：Excel模板\精美EXCEL模板\其他1000例\收支概况表.xls","收支概况表.xls")</f>
        <v>收支概况表.xls</v>
      </c>
      <c r="Q2665">
        <v>0.02</v>
      </c>
      <c r="R2665" s="7" t="str">
        <f t="shared" si="54"/>
        <v>E:\附赠：Excel模板\精美EXCEL模板\其他1000例</v>
      </c>
      <c r="S2665" s="9">
        <v>43600.3821643519</v>
      </c>
      <c r="T2665" s="9">
        <v>43390.5174537037</v>
      </c>
    </row>
    <row r="2666" spans="14:20">
      <c r="N2666" s="7" t="str">
        <f>HYPERLINK("E:\附赠：Excel模板\精美EXCEL模板\其他1000例\政府采购商品调拨验收单.xls","政府采购商品调拨验收单.xls")</f>
        <v>政府采购商品调拨验收单.xls</v>
      </c>
      <c r="Q2666">
        <v>0.02</v>
      </c>
      <c r="R2666" s="7" t="str">
        <f t="shared" si="54"/>
        <v>E:\附赠：Excel模板\精美EXCEL模板\其他1000例</v>
      </c>
      <c r="S2666" s="9">
        <v>43600.3821643519</v>
      </c>
      <c r="T2666" s="9">
        <v>43390.5170833333</v>
      </c>
    </row>
    <row r="2667" spans="14:20">
      <c r="N2667" s="7" t="str">
        <f>HYPERLINK("E:\附赠：Excel模板\精美EXCEL模板\其他1000例\政府采购执行计划表.xls","政府采购执行计划表.xls")</f>
        <v>政府采购执行计划表.xls</v>
      </c>
      <c r="Q2667">
        <v>0.02</v>
      </c>
      <c r="R2667" s="7" t="str">
        <f t="shared" si="54"/>
        <v>E:\附赠：Excel模板\精美EXCEL模板\其他1000例</v>
      </c>
      <c r="S2667" s="9">
        <v>43600.3821643519</v>
      </c>
      <c r="T2667" s="9">
        <v>43390.5170833333</v>
      </c>
    </row>
    <row r="2668" spans="14:20">
      <c r="N2668" s="7" t="str">
        <f>HYPERLINK("E:\附赠：Excel模板\精美EXCEL模板\其他1000例\政府采购用款申请书.xls","政府采购用款申请书.xls")</f>
        <v>政府采购用款申请书.xls</v>
      </c>
      <c r="Q2668">
        <v>0.02</v>
      </c>
      <c r="R2668" s="7" t="str">
        <f t="shared" si="54"/>
        <v>E:\附赠：Excel模板\精美EXCEL模板\其他1000例</v>
      </c>
      <c r="S2668" s="9">
        <v>43600.3821643519</v>
      </c>
      <c r="T2668" s="9">
        <v>43390.5170833333</v>
      </c>
    </row>
    <row r="2669" spans="14:20">
      <c r="N2669" s="7" t="str">
        <f>HYPERLINK("E:\附赠：Excel模板\精美EXCEL模板\其他1000例\政府采购申请表.xls","政府采购申请表.xls")</f>
        <v>政府采购申请表.xls</v>
      </c>
      <c r="Q2669">
        <v>0.02</v>
      </c>
      <c r="R2669" s="7" t="str">
        <f t="shared" si="54"/>
        <v>E:\附赠：Excel模板\精美EXCEL模板\其他1000例</v>
      </c>
      <c r="S2669" s="9">
        <v>43600.3821643519</v>
      </c>
      <c r="T2669" s="9">
        <v>43390.5170833333</v>
      </c>
    </row>
    <row r="2670" spans="14:20">
      <c r="N2670" s="7" t="str">
        <f>HYPERLINK("E:\附赠：Excel模板\精美EXCEL模板\其他1000例\政府采购立项表.xls","政府采购立项表.xls")</f>
        <v>政府采购立项表.xls</v>
      </c>
      <c r="Q2670">
        <v>0.02</v>
      </c>
      <c r="R2670" s="7" t="str">
        <f t="shared" si="54"/>
        <v>E:\附赠：Excel模板\精美EXCEL模板\其他1000例</v>
      </c>
      <c r="S2670" s="9">
        <v>43600.3821643519</v>
      </c>
      <c r="T2670" s="9">
        <v>43390.5171064815</v>
      </c>
    </row>
    <row r="2671" spans="14:20">
      <c r="N2671" s="7" t="str">
        <f>HYPERLINK("E:\附赠：Excel模板\精美EXCEL模板\其他1000例\政府采购计划批复表.xls","政府采购计划批复表.xls")</f>
        <v>政府采购计划批复表.xls</v>
      </c>
      <c r="Q2671">
        <v>0.02</v>
      </c>
      <c r="R2671" s="7" t="str">
        <f t="shared" si="54"/>
        <v>E:\附赠：Excel模板\精美EXCEL模板\其他1000例</v>
      </c>
      <c r="S2671" s="9">
        <v>43600.3821643519</v>
      </c>
      <c r="T2671" s="9">
        <v>43390.5171064815</v>
      </c>
    </row>
    <row r="2672" spans="14:20">
      <c r="N2672" s="7" t="str">
        <f>HYPERLINK("E:\附赠：Excel模板\精美EXCEL模板\其他1000例\政府采购评审专家登记表.xls","政府采购评审专家登记表.xls")</f>
        <v>政府采购评审专家登记表.xls</v>
      </c>
      <c r="Q2672">
        <v>0.02</v>
      </c>
      <c r="R2672" s="7" t="str">
        <f t="shared" si="54"/>
        <v>E:\附赠：Excel模板\精美EXCEL模板\其他1000例</v>
      </c>
      <c r="S2672" s="9">
        <v>43600.3821643519</v>
      </c>
      <c r="T2672" s="9">
        <v>43390.5171064815</v>
      </c>
    </row>
    <row r="2673" spans="14:20">
      <c r="N2673" s="7" t="str">
        <f>HYPERLINK("E:\附赠：Excel模板\精美EXCEL模板\其他1000例\政府采购预算表.xls","政府采购预算表.xls")</f>
        <v>政府采购预算表.xls</v>
      </c>
      <c r="Q2673">
        <v>0.02</v>
      </c>
      <c r="R2673" s="7" t="str">
        <f t="shared" si="54"/>
        <v>E:\附赠：Excel模板\精美EXCEL模板\其他1000例</v>
      </c>
      <c r="S2673" s="9">
        <v>43600.3821643519</v>
      </c>
      <c r="T2673" s="9">
        <v>43390.5170833333</v>
      </c>
    </row>
    <row r="2674" spans="14:20">
      <c r="N2674" s="7" t="str">
        <f>HYPERLINK("E:\附赠：Excel模板\精美EXCEL模板\其他1000例\政府预算收入科目.xls","政府预算收入科目.xls")</f>
        <v>政府预算收入科目.xls</v>
      </c>
      <c r="Q2674">
        <v>0.03</v>
      </c>
      <c r="R2674" s="7" t="str">
        <f t="shared" si="54"/>
        <v>E:\附赠：Excel模板\精美EXCEL模板\其他1000例</v>
      </c>
      <c r="S2674" s="9">
        <v>43600.3821643519</v>
      </c>
      <c r="T2674" s="9">
        <v>43390.5170833333</v>
      </c>
    </row>
    <row r="2675" spans="14:20">
      <c r="N2675" s="7" t="str">
        <f>HYPERLINK("E:\附赠：Excel模板\精美EXCEL模板\其他1000例\教学内容设置更改申请单.xls","教学内容设置更改申请单.xls")</f>
        <v>教学内容设置更改申请单.xls</v>
      </c>
      <c r="Q2675">
        <v>0.02</v>
      </c>
      <c r="R2675" s="7" t="str">
        <f t="shared" si="54"/>
        <v>E:\附赠：Excel模板\精美EXCEL模板\其他1000例</v>
      </c>
      <c r="S2675" s="9">
        <v>43600.3821643519</v>
      </c>
      <c r="T2675" s="9">
        <v>43390.5178472222</v>
      </c>
    </row>
    <row r="2676" spans="14:20">
      <c r="N2676" s="7" t="str">
        <f>HYPERLINK("E:\附赠：Excel模板\精美EXCEL模板\其他1000例\教学安排.xls","教学安排.xls")</f>
        <v>教学安排.xls</v>
      </c>
      <c r="Q2676">
        <v>0.07</v>
      </c>
      <c r="R2676" s="7" t="str">
        <f t="shared" si="54"/>
        <v>E:\附赠：Excel模板\精美EXCEL模板\其他1000例</v>
      </c>
      <c r="S2676" s="9">
        <v>43600.3821643519</v>
      </c>
      <c r="T2676" s="9">
        <v>43390.5178703704</v>
      </c>
    </row>
    <row r="2677" spans="14:20">
      <c r="N2677" s="7" t="str">
        <f>HYPERLINK("E:\附赠：Excel模板\精美EXCEL模板\其他1000例\教学服务中心分组名单.xls","教学服务中心分组名单.xls")</f>
        <v>教学服务中心分组名单.xls</v>
      </c>
      <c r="Q2677">
        <v>0.02</v>
      </c>
      <c r="R2677" s="7" t="str">
        <f t="shared" si="54"/>
        <v>E:\附赠：Excel模板\精美EXCEL模板\其他1000例</v>
      </c>
      <c r="S2677" s="9">
        <v>43600.3821643519</v>
      </c>
      <c r="T2677" s="9">
        <v>43390.5178703704</v>
      </c>
    </row>
    <row r="2678" spans="14:20">
      <c r="N2678" s="7" t="str">
        <f>HYPERLINK("E:\附赠：Excel模板\精美EXCEL模板\其他1000例\教学研究与改革课题及成果一览表.xls","教学研究与改革课题及成果一览表.xls")</f>
        <v>教学研究与改革课题及成果一览表.xls</v>
      </c>
      <c r="Q2678">
        <v>0.02</v>
      </c>
      <c r="R2678" s="7" t="str">
        <f t="shared" si="54"/>
        <v>E:\附赠：Excel模板\精美EXCEL模板\其他1000例</v>
      </c>
      <c r="S2678" s="9">
        <v>43600.3821643519</v>
      </c>
      <c r="T2678" s="9">
        <v>43390.5178472222</v>
      </c>
    </row>
    <row r="2679" spans="14:20">
      <c r="N2679" s="7" t="str">
        <f>HYPERLINK("E:\附赠：Excel模板\精美EXCEL模板\其他1000例\教学研究论文一览表.xls","教学研究论文一览表.xls")</f>
        <v>教学研究论文一览表.xls</v>
      </c>
      <c r="Q2679">
        <v>0.02</v>
      </c>
      <c r="R2679" s="7" t="str">
        <f t="shared" si="54"/>
        <v>E:\附赠：Excel模板\精美EXCEL模板\其他1000例</v>
      </c>
      <c r="S2679" s="9">
        <v>43600.3821643519</v>
      </c>
      <c r="T2679" s="9">
        <v>43390.5178472222</v>
      </c>
    </row>
    <row r="2680" spans="14:20">
      <c r="N2680" s="7" t="str">
        <f>HYPERLINK("E:\附赠：Excel模板\精美EXCEL模板\其他1000例\教学管理及其改革的研究与实践课题成果一览表.xls","教学管理及其改革的研究与实践课题成果一览表.xls")</f>
        <v>教学管理及其改革的研究与实践课题成果一览表.xls</v>
      </c>
      <c r="Q2680">
        <v>0.02</v>
      </c>
      <c r="R2680" s="7" t="str">
        <f t="shared" si="54"/>
        <v>E:\附赠：Excel模板\精美EXCEL模板\其他1000例</v>
      </c>
      <c r="S2680" s="9">
        <v>43600.3821643519</v>
      </c>
      <c r="T2680" s="9">
        <v>43390.5178472222</v>
      </c>
    </row>
    <row r="2681" spans="14:20">
      <c r="N2681" s="7" t="str">
        <f>HYPERLINK("E:\附赠：Excel模板\精美EXCEL模板\其他1000例\教学管理用办公现代化设备清单.xls","教学管理用办公现代化设备清单.xls")</f>
        <v>教学管理用办公现代化设备清单.xls</v>
      </c>
      <c r="Q2681">
        <v>0.02</v>
      </c>
      <c r="R2681" s="7" t="str">
        <f t="shared" si="54"/>
        <v>E:\附赠：Excel模板\精美EXCEL模板\其他1000例</v>
      </c>
      <c r="S2681" s="9">
        <v>43600.3821643519</v>
      </c>
      <c r="T2681" s="9">
        <v>43390.5178472222</v>
      </c>
    </row>
    <row r="2682" spans="14:20">
      <c r="N2682" s="7" t="str">
        <f>HYPERLINK("E:\附赠：Excel模板\精美EXCEL模板\其他1000例\教学管理队伍一览表.xls","教学管理队伍一览表.xls")</f>
        <v>教学管理队伍一览表.xls</v>
      </c>
      <c r="Q2682">
        <v>0.02</v>
      </c>
      <c r="R2682" s="7" t="str">
        <f t="shared" si="54"/>
        <v>E:\附赠：Excel模板\精美EXCEL模板\其他1000例</v>
      </c>
      <c r="S2682" s="9">
        <v>43600.3821643519</v>
      </c>
      <c r="T2682" s="9">
        <v>43390.5178472222</v>
      </c>
    </row>
    <row r="2683" spans="14:20">
      <c r="N2683" s="7" t="str">
        <f>HYPERLINK("E:\附赠：Excel模板\精美EXCEL模板\其他1000例\教学管理队伍结构分析表.xls","教学管理队伍结构分析表.xls")</f>
        <v>教学管理队伍结构分析表.xls</v>
      </c>
      <c r="Q2683">
        <v>0.02</v>
      </c>
      <c r="R2683" s="7" t="str">
        <f t="shared" ref="R2683:R2746" si="55">HYPERLINK("E:\附赠：Excel模板\精美EXCEL模板\其他1000例","E:\附赠：Excel模板\精美EXCEL模板\其他1000例")</f>
        <v>E:\附赠：Excel模板\精美EXCEL模板\其他1000例</v>
      </c>
      <c r="S2683" s="9">
        <v>43600.3821643519</v>
      </c>
      <c r="T2683" s="9">
        <v>43390.5178703704</v>
      </c>
    </row>
    <row r="2684" spans="14:20">
      <c r="N2684" s="7" t="str">
        <f>HYPERLINK("E:\附赠：Excel模板\精美EXCEL模板\其他1000例\教学进度表.xls","教学进度表.xls")</f>
        <v>教学进度表.xls</v>
      </c>
      <c r="Q2684">
        <v>0.02</v>
      </c>
      <c r="R2684" s="7" t="str">
        <f t="shared" si="55"/>
        <v>E:\附赠：Excel模板\精美EXCEL模板\其他1000例</v>
      </c>
      <c r="S2684" s="9">
        <v>43600.3821643519</v>
      </c>
      <c r="T2684" s="9">
        <v>43390.5178472222</v>
      </c>
    </row>
    <row r="2685" spans="14:20">
      <c r="N2685" s="7" t="str">
        <f>HYPERLINK("E:\附赠：Excel模板\精美EXCEL模板\其他1000例\教师名册.xls","教师名册.xls")</f>
        <v>教师名册.xls</v>
      </c>
      <c r="Q2685">
        <v>0.02</v>
      </c>
      <c r="R2685" s="7" t="str">
        <f t="shared" si="55"/>
        <v>E:\附赠：Excel模板\精美EXCEL模板\其他1000例</v>
      </c>
      <c r="S2685" s="9">
        <v>43600.3821643519</v>
      </c>
      <c r="T2685" s="9">
        <v>43390.5178703704</v>
      </c>
    </row>
    <row r="2686" spans="14:20">
      <c r="N2686" s="7" t="str">
        <f>HYPERLINK("E:\附赠：Excel模板\精美EXCEL模板\其他1000例\教师承担双语教学情况统计表.xls","教师承担双语教学情况统计表.xls")</f>
        <v>教师承担双语教学情况统计表.xls</v>
      </c>
      <c r="Q2686">
        <v>0.02</v>
      </c>
      <c r="R2686" s="7" t="str">
        <f t="shared" si="55"/>
        <v>E:\附赠：Excel模板\精美EXCEL模板\其他1000例</v>
      </c>
      <c r="S2686" s="9">
        <v>43600.3821643519</v>
      </c>
      <c r="T2686" s="9">
        <v>43390.5178703704</v>
      </c>
    </row>
    <row r="2687" spans="14:20">
      <c r="N2687" s="7" t="str">
        <f>HYPERLINK("E:\附赠：Excel模板\精美EXCEL模板\其他1000例\教师教学、科研成果获省部级以上奖励情况统计表.xls","教师教学、科研成果获省部级以上奖励情况统计表.xls")</f>
        <v>教师教学、科研成果获省部级以上奖励情况统计表.xls</v>
      </c>
      <c r="Q2687">
        <v>0.02</v>
      </c>
      <c r="R2687" s="7" t="str">
        <f t="shared" si="55"/>
        <v>E:\附赠：Excel模板\精美EXCEL模板\其他1000例</v>
      </c>
      <c r="S2687" s="9">
        <v>43600.3821643519</v>
      </c>
      <c r="T2687" s="9">
        <v>43390.5178703704</v>
      </c>
    </row>
    <row r="2688" spans="14:20">
      <c r="N2688" s="7" t="str">
        <f>HYPERLINK("E:\附赠：Excel模板\精美EXCEL模板\其他1000例\教师教学事故情况统计表.xls","教师教学事故情况统计表.xls")</f>
        <v>教师教学事故情况统计表.xls</v>
      </c>
      <c r="Q2688">
        <v>0.02</v>
      </c>
      <c r="R2688" s="7" t="str">
        <f t="shared" si="55"/>
        <v>E:\附赠：Excel模板\精美EXCEL模板\其他1000例</v>
      </c>
      <c r="S2688" s="9">
        <v>43600.3821643519</v>
      </c>
      <c r="T2688" s="9">
        <v>43390.5178703704</v>
      </c>
    </row>
    <row r="2689" spans="14:20">
      <c r="N2689" s="7" t="str">
        <f>HYPERLINK("E:\附赠：Excel模板\精美EXCEL模板\其他1000例\教师获各类教学奖情况统计表.xls","教师获各类教学奖情况统计表.xls")</f>
        <v>教师获各类教学奖情况统计表.xls</v>
      </c>
      <c r="Q2689">
        <v>0.02</v>
      </c>
      <c r="R2689" s="7" t="str">
        <f t="shared" si="55"/>
        <v>E:\附赠：Excel模板\精美EXCEL模板\其他1000例</v>
      </c>
      <c r="S2689" s="9">
        <v>43600.3821643519</v>
      </c>
      <c r="T2689" s="9">
        <v>43390.5178703704</v>
      </c>
    </row>
    <row r="2690" spans="14:20">
      <c r="N2690" s="7" t="str">
        <f>HYPERLINK("E:\附赠：Excel模板\精美EXCEL模板\其他1000例\教科文事业经费收支情况表.xls","教科文事业经费收支情况表.xls")</f>
        <v>教科文事业经费收支情况表.xls</v>
      </c>
      <c r="Q2690">
        <v>0.02</v>
      </c>
      <c r="R2690" s="7" t="str">
        <f t="shared" si="55"/>
        <v>E:\附赠：Excel模板\精美EXCEL模板\其他1000例</v>
      </c>
      <c r="S2690" s="9">
        <v>43600.3821643519</v>
      </c>
      <c r="T2690" s="9">
        <v>43390.5178703704</v>
      </c>
    </row>
    <row r="2691" spans="14:20">
      <c r="N2691" s="7" t="str">
        <f>HYPERLINK("E:\附赠：Excel模板\精美EXCEL模板\其他1000例\数值积分.xls","数值积分.xls")</f>
        <v>数值积分.xls</v>
      </c>
      <c r="Q2691">
        <v>0.02</v>
      </c>
      <c r="R2691" s="7" t="str">
        <f t="shared" si="55"/>
        <v>E:\附赠：Excel模板\精美EXCEL模板\其他1000例</v>
      </c>
      <c r="S2691" s="9">
        <v>43600.3821643519</v>
      </c>
      <c r="T2691" s="9">
        <v>43390.5174305556</v>
      </c>
    </row>
    <row r="2692" spans="14:20">
      <c r="N2692" s="7" t="str">
        <f>HYPERLINK("E:\附赠：Excel模板\精美EXCEL模板\其他1000例\数据结构- 灾后评估信息.xls","数据结构- 灾后评估信息.xls")</f>
        <v>数据结构- 灾后评估信息.xls</v>
      </c>
      <c r="Q2692">
        <v>0.02</v>
      </c>
      <c r="R2692" s="7" t="str">
        <f t="shared" si="55"/>
        <v>E:\附赠：Excel模板\精美EXCEL模板\其他1000例</v>
      </c>
      <c r="S2692" s="9">
        <v>43600.3821643519</v>
      </c>
      <c r="T2692" s="9">
        <v>43390.5174537037</v>
      </c>
    </row>
    <row r="2693" spans="14:20">
      <c r="N2693" s="7" t="str">
        <f>HYPERLINK("E:\附赠：Excel模板\精美EXCEL模板\其他1000例\数据结构- 道路桥梁信息.xls","数据结构- 道路桥梁信息.xls")</f>
        <v>数据结构- 道路桥梁信息.xls</v>
      </c>
      <c r="Q2693">
        <v>0.02</v>
      </c>
      <c r="R2693" s="7" t="str">
        <f t="shared" si="55"/>
        <v>E:\附赠：Excel模板\精美EXCEL模板\其他1000例</v>
      </c>
      <c r="S2693" s="9">
        <v>43600.3821643519</v>
      </c>
      <c r="T2693" s="9">
        <v>43390.5174537037</v>
      </c>
    </row>
    <row r="2694" spans="14:20">
      <c r="N2694" s="7" t="str">
        <f>HYPERLINK("E:\附赠：Excel模板\精美EXCEL模板\其他1000例\数据结构-卫星影像信息.xls","数据结构-卫星影像信息.xls")</f>
        <v>数据结构-卫星影像信息.xls</v>
      </c>
      <c r="Q2694">
        <v>0.02</v>
      </c>
      <c r="R2694" s="7" t="str">
        <f t="shared" si="55"/>
        <v>E:\附赠：Excel模板\精美EXCEL模板\其他1000例</v>
      </c>
      <c r="S2694" s="9">
        <v>43600.3821643519</v>
      </c>
      <c r="T2694" s="9">
        <v>43390.5174537037</v>
      </c>
    </row>
    <row r="2695" spans="14:20">
      <c r="N2695" s="7" t="str">
        <f>HYPERLINK("E:\附赠：Excel模板\精美EXCEL模板\其他1000例\数据结构-地貌与地物信息.xls","数据结构-地貌与地物信息.xls")</f>
        <v>数据结构-地貌与地物信息.xls</v>
      </c>
      <c r="Q2695">
        <v>0.02</v>
      </c>
      <c r="R2695" s="7" t="str">
        <f t="shared" si="55"/>
        <v>E:\附赠：Excel模板\精美EXCEL模板\其他1000例</v>
      </c>
      <c r="S2695" s="9">
        <v>43600.3821643519</v>
      </c>
      <c r="T2695" s="9">
        <v>43390.5174537037</v>
      </c>
    </row>
    <row r="2696" spans="14:20">
      <c r="N2696" s="7" t="str">
        <f>HYPERLINK("E:\附赠：Excel模板\精美EXCEL模板\其他1000例\数据结构-森林资源调查信息.xls","数据结构-森林资源调查信息.xls")</f>
        <v>数据结构-森林资源调查信息.xls</v>
      </c>
      <c r="Q2696">
        <v>0.04</v>
      </c>
      <c r="R2696" s="7" t="str">
        <f t="shared" si="55"/>
        <v>E:\附赠：Excel模板\精美EXCEL模板\其他1000例</v>
      </c>
      <c r="S2696" s="9">
        <v>43600.3821643519</v>
      </c>
      <c r="T2696" s="9">
        <v>43390.5174537037</v>
      </c>
    </row>
    <row r="2697" spans="14:20">
      <c r="N2697" s="7" t="str">
        <f>HYPERLINK("E:\附赠：Excel模板\精美EXCEL模板\其他1000例\数据结构-火灾预警信息.xls","数据结构-火灾预警信息.xls")</f>
        <v>数据结构-火灾预警信息.xls</v>
      </c>
      <c r="Q2697">
        <v>0.02</v>
      </c>
      <c r="R2697" s="7" t="str">
        <f t="shared" si="55"/>
        <v>E:\附赠：Excel模板\精美EXCEL模板\其他1000例</v>
      </c>
      <c r="S2697" s="9">
        <v>43600.3821643519</v>
      </c>
      <c r="T2697" s="9">
        <v>43390.5174537037</v>
      </c>
    </row>
    <row r="2698" spans="14:20">
      <c r="N2698" s="7" t="str">
        <f>HYPERLINK("E:\附赠：Excel模板\精美EXCEL模板\其他1000例\数据结构-社会经济信息.xls","数据结构-社会经济信息.xls")</f>
        <v>数据结构-社会经济信息.xls</v>
      </c>
      <c r="Q2698">
        <v>0.02</v>
      </c>
      <c r="R2698" s="7" t="str">
        <f t="shared" si="55"/>
        <v>E:\附赠：Excel模板\精美EXCEL模板\其他1000例</v>
      </c>
      <c r="S2698" s="9">
        <v>43600.3821643519</v>
      </c>
      <c r="T2698" s="9">
        <v>43390.5174537037</v>
      </c>
    </row>
    <row r="2699" spans="14:20">
      <c r="N2699" s="7" t="str">
        <f>HYPERLINK("E:\附赠：Excel模板\精美EXCEL模板\其他1000例\数据结构-系统用户管理信息.xls","数据结构-系统用户管理信息.xls")</f>
        <v>数据结构-系统用户管理信息.xls</v>
      </c>
      <c r="Q2699">
        <v>0.02</v>
      </c>
      <c r="R2699" s="7" t="str">
        <f t="shared" si="55"/>
        <v>E:\附赠：Excel模板\精美EXCEL模板\其他1000例</v>
      </c>
      <c r="S2699" s="9">
        <v>43600.3821643519</v>
      </c>
      <c r="T2699" s="9">
        <v>43390.5174305556</v>
      </c>
    </row>
    <row r="2700" spans="14:20">
      <c r="N2700" s="7" t="str">
        <f>HYPERLINK("E:\附赠：Excel模板\精美EXCEL模板\其他1000例\数据结构-行政区划信息.xls","数据结构-行政区划信息.xls")</f>
        <v>数据结构-行政区划信息.xls</v>
      </c>
      <c r="Q2700">
        <v>0.02</v>
      </c>
      <c r="R2700" s="7" t="str">
        <f t="shared" si="55"/>
        <v>E:\附赠：Excel模板\精美EXCEL模板\其他1000例</v>
      </c>
      <c r="S2700" s="9">
        <v>43600.3821643519</v>
      </c>
      <c r="T2700" s="9">
        <v>43390.5174305556</v>
      </c>
    </row>
    <row r="2701" spans="14:20">
      <c r="N2701" s="7" t="str">
        <f>HYPERLINK("E:\附赠：Excel模板\精美EXCEL模板\其他1000例\文艺活動成果統計.xls","文艺活動成果統計.xls")</f>
        <v>文艺活動成果統計.xls</v>
      </c>
      <c r="Q2701">
        <v>0.02</v>
      </c>
      <c r="R2701" s="7" t="str">
        <f t="shared" si="55"/>
        <v>E:\附赠：Excel模板\精美EXCEL模板\其他1000例</v>
      </c>
      <c r="S2701" s="9">
        <v>43600.3821643519</v>
      </c>
      <c r="T2701" s="9">
        <v>43390.5174074074</v>
      </c>
    </row>
    <row r="2702" spans="14:20">
      <c r="N2702" s="7" t="str">
        <f>HYPERLINK("E:\附赠：Excel模板\精美EXCEL模板\其他1000例\新型农村合作医疗制度情况表.xls","新型农村合作医疗制度情况表.xls")</f>
        <v>新型农村合作医疗制度情况表.xls</v>
      </c>
      <c r="Q2702">
        <v>0.02</v>
      </c>
      <c r="R2702" s="7" t="str">
        <f t="shared" si="55"/>
        <v>E:\附赠：Excel模板\精美EXCEL模板\其他1000例</v>
      </c>
      <c r="S2702" s="9">
        <v>43600.3821643519</v>
      </c>
      <c r="T2702" s="9">
        <v>43390.5173148148</v>
      </c>
    </row>
    <row r="2703" spans="14:20">
      <c r="N2703" s="7" t="str">
        <f>HYPERLINK("E:\附赠：Excel模板\精美EXCEL模板\其他1000例\新型农村合作医疗制度扩大试点情况表.xls","新型农村合作医疗制度扩大试点情况表.xls")</f>
        <v>新型农村合作医疗制度扩大试点情况表.xls</v>
      </c>
      <c r="Q2703">
        <v>0.02</v>
      </c>
      <c r="R2703" s="7" t="str">
        <f t="shared" si="55"/>
        <v>E:\附赠：Excel模板\精美EXCEL模板\其他1000例</v>
      </c>
      <c r="S2703" s="9">
        <v>43600.3821643519</v>
      </c>
      <c r="T2703" s="9">
        <v>43390.5173148148</v>
      </c>
    </row>
    <row r="2704" spans="14:20">
      <c r="N2704" s="7" t="str">
        <f>HYPERLINK("E:\附赠：Excel模板\精美EXCEL模板\其他1000例\新增旅游产业直接就业人数情况.xls","新增旅游产业直接就业人数情况.xls")</f>
        <v>新增旅游产业直接就业人数情况.xls</v>
      </c>
      <c r="Q2704">
        <v>0.02</v>
      </c>
      <c r="R2704" s="7" t="str">
        <f t="shared" si="55"/>
        <v>E:\附赠：Excel模板\精美EXCEL模板\其他1000例</v>
      </c>
      <c r="S2704" s="9">
        <v>43600.3821643519</v>
      </c>
      <c r="T2704" s="9">
        <v>43390.5173148148</v>
      </c>
    </row>
    <row r="2705" spans="14:20">
      <c r="N2705" s="7" t="str">
        <f>HYPERLINK("E:\附赠：Excel模板\精美EXCEL模板\其他1000例\新增生产能力主要统计指标年报.xls","新增生产能力主要统计指标年报.xls")</f>
        <v>新增生产能力主要统计指标年报.xls</v>
      </c>
      <c r="Q2705">
        <v>0.02</v>
      </c>
      <c r="R2705" s="7" t="str">
        <f t="shared" si="55"/>
        <v>E:\附赠：Excel模板\精美EXCEL模板\其他1000例</v>
      </c>
      <c r="S2705" s="9">
        <v>43600.3821643519</v>
      </c>
      <c r="T2705" s="9">
        <v>43390.5172916667</v>
      </c>
    </row>
    <row r="2706" spans="14:20">
      <c r="N2706" s="7" t="str">
        <f>HYPERLINK("E:\附赠：Excel模板\精美EXCEL模板\其他1000例\新進人員起薪表.xls","新進人員起薪表.xls")</f>
        <v>新進人員起薪表.xls</v>
      </c>
      <c r="Q2706">
        <v>0.08</v>
      </c>
      <c r="R2706" s="7" t="str">
        <f t="shared" si="55"/>
        <v>E:\附赠：Excel模板\精美EXCEL模板\其他1000例</v>
      </c>
      <c r="S2706" s="9">
        <v>43600.3821643519</v>
      </c>
      <c r="T2706" s="9">
        <v>43390.5172916667</v>
      </c>
    </row>
    <row r="2707" spans="14:20">
      <c r="N2707" s="7" t="str">
        <f>HYPERLINK("E:\附赠：Excel模板\精美EXCEL模板\其他1000例\施工企业补充指标表.xls","施工企业补充指标表.xls")</f>
        <v>施工企业补充指标表.xls</v>
      </c>
      <c r="Q2707">
        <v>0.02</v>
      </c>
      <c r="R2707" s="7" t="str">
        <f t="shared" si="55"/>
        <v>E:\附赠：Excel模板\精美EXCEL模板\其他1000例</v>
      </c>
      <c r="S2707" s="9">
        <v>43600.3821643519</v>
      </c>
      <c r="T2707" s="9">
        <v>43390.5175231481</v>
      </c>
    </row>
    <row r="2708" spans="14:20">
      <c r="N2708" s="7" t="str">
        <f>HYPERLINK("E:\附赠：Excel模板\精美EXCEL模板\其他1000例\旅游业统计表.xls","旅游业统计表.xls")</f>
        <v>旅游业统计表.xls</v>
      </c>
      <c r="Q2708">
        <v>0.02</v>
      </c>
      <c r="R2708" s="7" t="str">
        <f t="shared" si="55"/>
        <v>E:\附赠：Excel模板\精美EXCEL模板\其他1000例</v>
      </c>
      <c r="S2708" s="9">
        <v>43600.3821643519</v>
      </c>
      <c r="T2708" s="9">
        <v>43390.5177314815</v>
      </c>
    </row>
    <row r="2709" spans="14:20">
      <c r="N2709" s="7" t="str">
        <f>HYPERLINK("E:\附赠：Excel模板\精美EXCEL模板\其他1000例\旅游企业经营情况指标基层月报表.xls","旅游企业经营情况指标基层月报表.xls")</f>
        <v>旅游企业经营情况指标基层月报表.xls</v>
      </c>
      <c r="Q2709">
        <v>0.02</v>
      </c>
      <c r="R2709" s="7" t="str">
        <f t="shared" si="55"/>
        <v>E:\附赠：Excel模板\精美EXCEL模板\其他1000例</v>
      </c>
      <c r="S2709" s="9">
        <v>43600.3821643519</v>
      </c>
      <c r="T2709" s="9">
        <v>43390.5177314815</v>
      </c>
    </row>
    <row r="2710" spans="14:20">
      <c r="N2710" s="7" t="str">
        <f>HYPERLINK("E:\附赠：Excel模板\精美EXCEL模板\其他1000例\旅游企业补充指标表.xls","旅游企业补充指标表.xls")</f>
        <v>旅游企业补充指标表.xls</v>
      </c>
      <c r="Q2710">
        <v>0.02</v>
      </c>
      <c r="R2710" s="7" t="str">
        <f t="shared" si="55"/>
        <v>E:\附赠：Excel模板\精美EXCEL模板\其他1000例</v>
      </c>
      <c r="S2710" s="9">
        <v>43600.3821643519</v>
      </c>
      <c r="T2710" s="9">
        <v>43390.5177314815</v>
      </c>
    </row>
    <row r="2711" spans="14:20">
      <c r="N2711" s="7" t="str">
        <f>HYPERLINK("E:\附赠：Excel模板\精美EXCEL模板\其他1000例\旅游住宿旅游设施接待情况.xls","旅游住宿旅游设施接待情况.xls")</f>
        <v>旅游住宿旅游设施接待情况.xls</v>
      </c>
      <c r="Q2711">
        <v>0.02</v>
      </c>
      <c r="R2711" s="7" t="str">
        <f t="shared" si="55"/>
        <v>E:\附赠：Excel模板\精美EXCEL模板\其他1000例</v>
      </c>
      <c r="S2711" s="9">
        <v>43600.3821643519</v>
      </c>
      <c r="T2711" s="9">
        <v>43390.5177314815</v>
      </c>
    </row>
    <row r="2712" spans="14:20">
      <c r="N2712" s="7" t="str">
        <f>HYPERLINK("E:\附赠：Excel模板\精美EXCEL模板\其他1000例\旅游区(点)环境质量测评表.xls","旅游区(点)环境质量测评表.xls")</f>
        <v>旅游区(点)环境质量测评表.xls</v>
      </c>
      <c r="Q2712">
        <v>0.02</v>
      </c>
      <c r="R2712" s="7" t="str">
        <f t="shared" si="55"/>
        <v>E:\附赠：Excel模板\精美EXCEL模板\其他1000例</v>
      </c>
      <c r="S2712" s="9">
        <v>43600.3821643519</v>
      </c>
      <c r="T2712" s="9">
        <v>43390.5177314815</v>
      </c>
    </row>
    <row r="2713" spans="14:20">
      <c r="N2713" s="7" t="str">
        <f>HYPERLINK("E:\附赠：Excel模板\精美EXCEL模板\其他1000例\旅游区游客调查表.xls","旅游区游客调查表.xls")</f>
        <v>旅游区游客调查表.xls</v>
      </c>
      <c r="Q2713">
        <v>0.1</v>
      </c>
      <c r="R2713" s="7" t="str">
        <f t="shared" si="55"/>
        <v>E:\附赠：Excel模板\精美EXCEL模板\其他1000例</v>
      </c>
      <c r="S2713" s="9">
        <v>43600.3821643519</v>
      </c>
      <c r="T2713" s="9">
        <v>43390.5177314815</v>
      </c>
    </row>
    <row r="2714" spans="14:20">
      <c r="N2714" s="7" t="str">
        <f>HYPERLINK("E:\附赠：Excel模板\精美EXCEL模板\其他1000例\旅游区（点）经营情况基层表.xls","旅游区（点）经营情况基层表.xls")</f>
        <v>旅游区（点）经营情况基层表.xls</v>
      </c>
      <c r="Q2714">
        <v>0.02</v>
      </c>
      <c r="R2714" s="7" t="str">
        <f t="shared" si="55"/>
        <v>E:\附赠：Excel模板\精美EXCEL模板\其他1000例</v>
      </c>
      <c r="S2714" s="9">
        <v>43600.3821643519</v>
      </c>
      <c r="T2714" s="9">
        <v>43390.5177314815</v>
      </c>
    </row>
    <row r="2715" spans="14:20">
      <c r="N2715" s="7" t="str">
        <f>HYPERLINK("E:\附赠：Excel模板\精美EXCEL模板\其他1000例\旅游单位基本情况.xls","旅游单位基本情况.xls")</f>
        <v>旅游单位基本情况.xls</v>
      </c>
      <c r="Q2715">
        <v>0.02</v>
      </c>
      <c r="R2715" s="7" t="str">
        <f t="shared" si="55"/>
        <v>E:\附赠：Excel模板\精美EXCEL模板\其他1000例</v>
      </c>
      <c r="S2715" s="9">
        <v>43600.3821643519</v>
      </c>
      <c r="T2715" s="9">
        <v>43390.5177546296</v>
      </c>
    </row>
    <row r="2716" spans="14:20">
      <c r="N2716" s="7" t="str">
        <f>HYPERLINK("E:\附赠：Excel模板\精美EXCEL模板\其他1000例\旅游客运中心有限公司资金预算计划表.xls","旅游客运中心有限公司资金预算计划表.xls")</f>
        <v>旅游客运中心有限公司资金预算计划表.xls</v>
      </c>
      <c r="Q2716">
        <v>0.02</v>
      </c>
      <c r="R2716" s="7" t="str">
        <f t="shared" si="55"/>
        <v>E:\附赠：Excel模板\精美EXCEL模板\其他1000例</v>
      </c>
      <c r="S2716" s="9">
        <v>43600.3821643519</v>
      </c>
      <c r="T2716" s="9">
        <v>43390.5177314815</v>
      </c>
    </row>
    <row r="2717" spans="14:20">
      <c r="N2717" s="7" t="str">
        <f>HYPERLINK("E:\附赠：Excel模板\精美EXCEL模板\其他1000例\旅游报名详细清单.xls","旅游报名详细清单.xls")</f>
        <v>旅游报名详细清单.xls</v>
      </c>
      <c r="Q2717">
        <v>0.02</v>
      </c>
      <c r="R2717" s="7" t="str">
        <f t="shared" si="55"/>
        <v>E:\附赠：Excel模板\精美EXCEL模板\其他1000例</v>
      </c>
      <c r="S2717" s="9">
        <v>43600.3821643519</v>
      </c>
      <c r="T2717" s="9">
        <v>43390.5177546296</v>
      </c>
    </row>
    <row r="2718" spans="14:20">
      <c r="N2718" s="7" t="str">
        <f>HYPERLINK("E:\附赠：Excel模板\精美EXCEL模板\其他1000例\旅游接待户通讯录.xls","旅游接待户通讯录.xls")</f>
        <v>旅游接待户通讯录.xls</v>
      </c>
      <c r="Q2718">
        <v>0.02</v>
      </c>
      <c r="R2718" s="7" t="str">
        <f t="shared" si="55"/>
        <v>E:\附赠：Excel模板\精美EXCEL模板\其他1000例</v>
      </c>
      <c r="S2718" s="9">
        <v>43600.3821643519</v>
      </c>
      <c r="T2718" s="9">
        <v>43390.5177314815</v>
      </c>
    </row>
    <row r="2719" spans="14:20">
      <c r="N2719" s="7" t="str">
        <f>HYPERLINK("E:\附赠：Excel模板\精美EXCEL模板\其他1000例\旅游服务网络问卷调查.xls","旅游服务网络问卷调查.xls")</f>
        <v>旅游服务网络问卷调查.xls</v>
      </c>
      <c r="Q2719">
        <v>0.02</v>
      </c>
      <c r="R2719" s="7" t="str">
        <f t="shared" si="55"/>
        <v>E:\附赠：Excel模板\精美EXCEL模板\其他1000例</v>
      </c>
      <c r="S2719" s="9">
        <v>43600.3821643519</v>
      </c>
      <c r="T2719" s="9">
        <v>43390.5177546296</v>
      </c>
    </row>
    <row r="2720" spans="14:20">
      <c r="N2720" s="7" t="str">
        <f>HYPERLINK("E:\附赠：Excel模板\精美EXCEL模板\其他1000例\旅游活动出行确认表.xls","旅游活动出行确认表.xls")</f>
        <v>旅游活动出行确认表.xls</v>
      </c>
      <c r="Q2720">
        <v>0.02</v>
      </c>
      <c r="R2720" s="7" t="str">
        <f t="shared" si="55"/>
        <v>E:\附赠：Excel模板\精美EXCEL模板\其他1000例</v>
      </c>
      <c r="S2720" s="9">
        <v>43600.3821643519</v>
      </c>
      <c r="T2720" s="9">
        <v>43390.5177546296</v>
      </c>
    </row>
    <row r="2721" spans="14:20">
      <c r="N2721" s="7" t="str">
        <f>HYPERLINK("E:\附赠：Excel模板\精美EXCEL模板\其他1000例\旅游精华日程表.xls","旅游精华日程表.xls")</f>
        <v>旅游精华日程表.xls</v>
      </c>
      <c r="Q2721">
        <v>0.02</v>
      </c>
      <c r="R2721" s="7" t="str">
        <f t="shared" si="55"/>
        <v>E:\附赠：Excel模板\精美EXCEL模板\其他1000例</v>
      </c>
      <c r="S2721" s="9">
        <v>43600.3821643519</v>
      </c>
      <c r="T2721" s="9">
        <v>43390.5177314815</v>
      </c>
    </row>
    <row r="2722" spans="14:20">
      <c r="N2722" s="7" t="str">
        <f>HYPERLINK("E:\附赠：Excel模板\精美EXCEL模板\其他1000例\旅游超市预订系统申请表.xls","旅游超市预订系统申请表.xls")</f>
        <v>旅游超市预订系统申请表.xls</v>
      </c>
      <c r="Q2722">
        <v>0.02</v>
      </c>
      <c r="R2722" s="7" t="str">
        <f t="shared" si="55"/>
        <v>E:\附赠：Excel模板\精美EXCEL模板\其他1000例</v>
      </c>
      <c r="S2722" s="9">
        <v>43600.3821643519</v>
      </c>
      <c r="T2722" s="9">
        <v>43390.5177546296</v>
      </c>
    </row>
    <row r="2723" spans="14:20">
      <c r="N2723" s="7" t="str">
        <f>HYPERLINK("E:\附赠：Excel模板\精美EXCEL模板\其他1000例\旅行社业务年检通告.xls","旅行社业务年检通告.xls")</f>
        <v>旅行社业务年检通告.xls</v>
      </c>
      <c r="Q2723">
        <v>0.02</v>
      </c>
      <c r="R2723" s="7" t="str">
        <f t="shared" si="55"/>
        <v>E:\附赠：Excel模板\精美EXCEL模板\其他1000例</v>
      </c>
      <c r="S2723" s="9">
        <v>43600.3821643519</v>
      </c>
      <c r="T2723" s="9">
        <v>43390.5177546296</v>
      </c>
    </row>
    <row r="2724" spans="14:20">
      <c r="N2724" s="7" t="str">
        <f>HYPERLINK("E:\附赠：Excel模板\精美EXCEL模板\其他1000例\旅行社基本情况.xls","旅行社基本情况.xls")</f>
        <v>旅行社基本情况.xls</v>
      </c>
      <c r="Q2724">
        <v>0.02</v>
      </c>
      <c r="R2724" s="7" t="str">
        <f t="shared" si="55"/>
        <v>E:\附赠：Excel模板\精美EXCEL模板\其他1000例</v>
      </c>
      <c r="S2724" s="9">
        <v>43600.3821643519</v>
      </c>
      <c r="T2724" s="9">
        <v>43390.5177546296</v>
      </c>
    </row>
    <row r="2725" spans="14:20">
      <c r="N2725" s="7" t="str">
        <f>HYPERLINK("E:\附赠：Excel模板\精美EXCEL模板\其他1000例\旅行社外联和接待情况.xls","旅行社外联和接待情况.xls")</f>
        <v>旅行社外联和接待情况.xls</v>
      </c>
      <c r="Q2725">
        <v>0.02</v>
      </c>
      <c r="R2725" s="7" t="str">
        <f t="shared" si="55"/>
        <v>E:\附赠：Excel模板\精美EXCEL模板\其他1000例</v>
      </c>
      <c r="S2725" s="9">
        <v>43600.3821643519</v>
      </c>
      <c r="T2725" s="9">
        <v>43390.5178009259</v>
      </c>
    </row>
    <row r="2726" spans="14:20">
      <c r="N2726" s="7" t="str">
        <f>HYPERLINK("E:\附赠：Excel模板\精美EXCEL模板\其他1000例\旅行社接待国内旅游者情况基层报表.xls","旅行社接待国内旅游者情况基层报表.xls")</f>
        <v>旅行社接待国内旅游者情况基层报表.xls</v>
      </c>
      <c r="Q2726">
        <v>0.02</v>
      </c>
      <c r="R2726" s="7" t="str">
        <f t="shared" si="55"/>
        <v>E:\附赠：Excel模板\精美EXCEL模板\其他1000例</v>
      </c>
      <c r="S2726" s="9">
        <v>43600.3821643519</v>
      </c>
      <c r="T2726" s="9">
        <v>43390.5177777778</v>
      </c>
    </row>
    <row r="2727" spans="14:20">
      <c r="N2727" s="7" t="str">
        <f>HYPERLINK("E:\附赠：Excel模板\精美EXCEL模板\其他1000例\旅行社组团出境旅游情况基层报表.xls","旅行社组团出境旅游情况基层报表.xls")</f>
        <v>旅行社组团出境旅游情况基层报表.xls</v>
      </c>
      <c r="Q2727">
        <v>0.02</v>
      </c>
      <c r="R2727" s="7" t="str">
        <f t="shared" si="55"/>
        <v>E:\附赠：Excel模板\精美EXCEL模板\其他1000例</v>
      </c>
      <c r="S2727" s="9">
        <v>43600.3821643519</v>
      </c>
      <c r="T2727" s="9">
        <v>43390.5177546296</v>
      </c>
    </row>
    <row r="2728" spans="14:20">
      <c r="N2728" s="7" t="str">
        <f>HYPERLINK("E:\附赠：Excel模板\精美EXCEL模板\其他1000例\旅行社经营情况.xls","旅行社经营情况.xls")</f>
        <v>旅行社经营情况.xls</v>
      </c>
      <c r="Q2728">
        <v>0.02</v>
      </c>
      <c r="R2728" s="7" t="str">
        <f t="shared" si="55"/>
        <v>E:\附赠：Excel模板\精美EXCEL模板\其他1000例</v>
      </c>
      <c r="S2728" s="9">
        <v>43600.3821643519</v>
      </c>
      <c r="T2728" s="9">
        <v>43390.5177546296</v>
      </c>
    </row>
    <row r="2729" spans="14:20">
      <c r="N2729" s="7" t="str">
        <f>HYPERLINK("E:\附赠：Excel模板\精美EXCEL模板\其他1000例\旅行社预订上、下午统计分析表.xls","旅行社预订上、下午统计分析表.xls")</f>
        <v>旅行社预订上、下午统计分析表.xls</v>
      </c>
      <c r="Q2729">
        <v>0.03</v>
      </c>
      <c r="R2729" s="7" t="str">
        <f t="shared" si="55"/>
        <v>E:\附赠：Excel模板\精美EXCEL模板\其他1000例</v>
      </c>
      <c r="S2729" s="9">
        <v>43600.3821643519</v>
      </c>
      <c r="T2729" s="9">
        <v>43390.5177546296</v>
      </c>
    </row>
    <row r="2730" spans="14:20">
      <c r="N2730" s="7" t="str">
        <f>HYPERLINK("E:\附赠：Excel模板\精美EXCEL模板\其他1000例\旅行行程价目表.xls","旅行行程价目表.xls")</f>
        <v>旅行行程价目表.xls</v>
      </c>
      <c r="Q2730">
        <v>0.02</v>
      </c>
      <c r="R2730" s="7" t="str">
        <f t="shared" si="55"/>
        <v>E:\附赠：Excel模板\精美EXCEL模板\其他1000例</v>
      </c>
      <c r="S2730" s="9">
        <v>43600.3821643519</v>
      </c>
      <c r="T2730" s="9">
        <v>43390.5177546296</v>
      </c>
    </row>
    <row r="2731" spans="14:20">
      <c r="N2731" s="7" t="str">
        <f>HYPERLINK("E:\附赠：Excel模板\精美EXCEL模板\其他1000例\无公害农产品基地创建县基本情况表.xls","无公害农产品基地创建县基本情况表.xls")</f>
        <v>无公害农产品基地创建县基本情况表.xls</v>
      </c>
      <c r="Q2731">
        <v>0.02</v>
      </c>
      <c r="R2731" s="7" t="str">
        <f t="shared" si="55"/>
        <v>E:\附赠：Excel模板\精美EXCEL模板\其他1000例</v>
      </c>
      <c r="S2731" s="9">
        <v>43600.3821643519</v>
      </c>
      <c r="T2731" s="9">
        <v>43390.5173842593</v>
      </c>
    </row>
    <row r="2732" spans="14:20">
      <c r="N2732" s="7" t="str">
        <f>HYPERLINK("E:\附赠：Excel模板\精美EXCEL模板\其他1000例\无形资产、长期待摊费用明细表.xls","无形资产、长期待摊费用明细表.xls")</f>
        <v>无形资产、长期待摊费用明细表.xls</v>
      </c>
      <c r="Q2732">
        <v>0.02</v>
      </c>
      <c r="R2732" s="7" t="str">
        <f t="shared" si="55"/>
        <v>E:\附赠：Excel模板\精美EXCEL模板\其他1000例</v>
      </c>
      <c r="S2732" s="9">
        <v>43600.3821643519</v>
      </c>
      <c r="T2732" s="9">
        <v>43390.5173842593</v>
      </c>
    </row>
    <row r="2733" spans="14:20">
      <c r="N2733" s="7" t="str">
        <f>HYPERLINK("E:\附赠：Excel模板\精美EXCEL模板\其他1000例\旧版票据购领、使用和缴销情况表.xls","旧版票据购领、使用和缴销情况表.xls")</f>
        <v>旧版票据购领、使用和缴销情况表.xls</v>
      </c>
      <c r="Q2733">
        <v>0.02</v>
      </c>
      <c r="R2733" s="7" t="str">
        <f t="shared" si="55"/>
        <v>E:\附赠：Excel模板\精美EXCEL模板\其他1000例</v>
      </c>
      <c r="S2733" s="9">
        <v>43600.3821643519</v>
      </c>
      <c r="T2733" s="9">
        <v>43390.5178240741</v>
      </c>
    </row>
    <row r="2734" spans="14:20">
      <c r="N2734" s="7" t="str">
        <f>HYPERLINK("E:\附赠：Excel模板\精美EXCEL模板\其他1000例\晋升职称人员增加工资发放表.xls","晋升职称人员增加工资发放表.xls")</f>
        <v>晋升职称人员增加工资发放表.xls</v>
      </c>
      <c r="Q2734">
        <v>0.25</v>
      </c>
      <c r="R2734" s="7" t="str">
        <f t="shared" si="55"/>
        <v>E:\附赠：Excel模板\精美EXCEL模板\其他1000例</v>
      </c>
      <c r="S2734" s="9">
        <v>43600.3821643519</v>
      </c>
      <c r="T2734" s="9">
        <v>43390.5178240741</v>
      </c>
    </row>
    <row r="2735" spans="14:20">
      <c r="N2735" s="7" t="str">
        <f>HYPERLINK("E:\附赠：Excel模板\精美EXCEL模板\其他1000例\普通（限价）商品住房现房其它套型中选准购对象名单.xls","普通（限价）商品住房现房其它套型中选准购对象名单.xls")</f>
        <v>普通（限价）商品住房现房其它套型中选准购对象名单.xls</v>
      </c>
      <c r="Q2735">
        <v>0.05</v>
      </c>
      <c r="R2735" s="7" t="str">
        <f t="shared" si="55"/>
        <v>E:\附赠：Excel模板\精美EXCEL模板\其他1000例</v>
      </c>
      <c r="S2735" s="9">
        <v>43600.3821643519</v>
      </c>
      <c r="T2735" s="9">
        <v>43390.517662037</v>
      </c>
    </row>
    <row r="2736" spans="14:20">
      <c r="N2736" s="7" t="str">
        <f>HYPERLINK("E:\附赠：Excel模板\精美EXCEL模板\其他1000例\景点火车票价表.xls","景点火车票价表.xls")</f>
        <v>景点火车票价表.xls</v>
      </c>
      <c r="Q2736">
        <v>0.02</v>
      </c>
      <c r="R2736" s="7" t="str">
        <f t="shared" si="55"/>
        <v>E:\附赠：Excel模板\精美EXCEL模板\其他1000例</v>
      </c>
      <c r="S2736" s="9">
        <v>43600.3821643519</v>
      </c>
      <c r="T2736" s="9">
        <v>43390.5178240741</v>
      </c>
    </row>
    <row r="2737" spans="14:20">
      <c r="N2737" s="7" t="str">
        <f>HYPERLINK("E:\附赠：Excel模板\精美EXCEL模板\其他1000例\有关教学计划和人才培养模式研究的课题及成果.xls","有关教学计划和人才培养模式研究的课题及成果.xls")</f>
        <v>有关教学计划和人才培养模式研究的课题及成果.xls</v>
      </c>
      <c r="Q2737">
        <v>0.02</v>
      </c>
      <c r="R2737" s="7" t="str">
        <f t="shared" si="55"/>
        <v>E:\附赠：Excel模板\精美EXCEL模板\其他1000例</v>
      </c>
      <c r="S2737" s="9">
        <v>43600.3821643519</v>
      </c>
      <c r="T2737" s="9">
        <v>43390.5171296296</v>
      </c>
    </row>
    <row r="2738" spans="14:20">
      <c r="N2738" s="7" t="str">
        <f>HYPERLINK("E:\附赠：Excel模板\精美EXCEL模板\其他1000例\有限公司招聘要求表.xls","有限公司招聘要求表.xls")</f>
        <v>有限公司招聘要求表.xls</v>
      </c>
      <c r="Q2738">
        <v>0.02</v>
      </c>
      <c r="R2738" s="7" t="str">
        <f t="shared" si="55"/>
        <v>E:\附赠：Excel模板\精美EXCEL模板\其他1000例</v>
      </c>
      <c r="S2738" s="9">
        <v>43600.3821643519</v>
      </c>
      <c r="T2738" s="9">
        <v>43390.5171296296</v>
      </c>
    </row>
    <row r="2739" spans="14:20">
      <c r="N2739" s="7" t="str">
        <f>HYPERLINK("E:\附赠：Excel模板\精美EXCEL模板\其他1000例\有限公司见习单位见习岗位汇总.xls","有限公司见习单位见习岗位汇总.xls")</f>
        <v>有限公司见习单位见习岗位汇总.xls</v>
      </c>
      <c r="Q2739">
        <v>0.03</v>
      </c>
      <c r="R2739" s="7" t="str">
        <f t="shared" si="55"/>
        <v>E:\附赠：Excel模板\精美EXCEL模板\其他1000例</v>
      </c>
      <c r="S2739" s="9">
        <v>43600.3821643519</v>
      </c>
      <c r="T2739" s="9">
        <v>43390.5171296296</v>
      </c>
    </row>
    <row r="2740" spans="14:20">
      <c r="N2740" s="7" t="str">
        <f>HYPERLINK("E:\附赠：Excel模板\精美EXCEL模板\其他1000例\期间费用分析表.xls","期间费用分析表.xls")</f>
        <v>期间费用分析表.xls</v>
      </c>
      <c r="Q2740">
        <v>0.02</v>
      </c>
      <c r="R2740" s="7" t="str">
        <f t="shared" si="55"/>
        <v>E:\附赠：Excel模板\精美EXCEL模板\其他1000例</v>
      </c>
      <c r="S2740" s="9">
        <v>43600.3821643519</v>
      </c>
      <c r="T2740" s="9">
        <v>43390.517662037</v>
      </c>
    </row>
    <row r="2741" spans="14:20">
      <c r="N2741" s="7" t="str">
        <f>HYPERLINK("E:\附赠：Excel模板\精美EXCEL模板\其他1000例\期间费用实绩预算对照表.xls","期间费用实绩预算对照表.xls")</f>
        <v>期间费用实绩预算对照表.xls</v>
      </c>
      <c r="Q2741">
        <v>0.02</v>
      </c>
      <c r="R2741" s="7" t="str">
        <f t="shared" si="55"/>
        <v>E:\附赠：Excel模板\精美EXCEL模板\其他1000例</v>
      </c>
      <c r="S2741" s="9">
        <v>43600.3821643519</v>
      </c>
      <c r="T2741" s="9">
        <v>43390.517662037</v>
      </c>
    </row>
    <row r="2742" spans="14:20">
      <c r="N2742" s="7" t="str">
        <f>HYPERLINK("E:\附赠：Excel模板\精美EXCEL模板\其他1000例\未聘人员分流安置情况调查表.xls","未聘人员分流安置情况调查表.xls")</f>
        <v>未聘人员分流安置情况调查表.xls</v>
      </c>
      <c r="Q2742">
        <v>0.02</v>
      </c>
      <c r="R2742" s="7" t="str">
        <f t="shared" si="55"/>
        <v>E:\附赠：Excel模板\精美EXCEL模板\其他1000例</v>
      </c>
      <c r="S2742" s="9">
        <v>43600.3821643519</v>
      </c>
      <c r="T2742" s="9">
        <v>43390.5173842593</v>
      </c>
    </row>
    <row r="2743" spans="14:20">
      <c r="N2743" s="7" t="str">
        <f>HYPERLINK("E:\附赠：Excel模板\精美EXCEL模板\其他1000例\本科专业设置一览表.xls","本科专业设置一览表.xls")</f>
        <v>本科专业设置一览表.xls</v>
      </c>
      <c r="Q2743">
        <v>0.02</v>
      </c>
      <c r="R2743" s="7" t="str">
        <f t="shared" si="55"/>
        <v>E:\附赠：Excel模板\精美EXCEL模板\其他1000例</v>
      </c>
      <c r="S2743" s="9">
        <v>43600.3821643519</v>
      </c>
      <c r="T2743" s="9">
        <v>43390.5183101852</v>
      </c>
    </row>
    <row r="2744" spans="14:20">
      <c r="N2744" s="7" t="str">
        <f>HYPERLINK("E:\附赠：Excel模板\精美EXCEL模板\其他1000例\本科毕业实习地点意向调查表.xls","本科毕业实习地点意向调查表.xls")</f>
        <v>本科毕业实习地点意向调查表.xls</v>
      </c>
      <c r="Q2744">
        <v>0.13</v>
      </c>
      <c r="R2744" s="7" t="str">
        <f t="shared" si="55"/>
        <v>E:\附赠：Excel模板\精美EXCEL模板\其他1000例</v>
      </c>
      <c r="S2744" s="9">
        <v>43600.3821643519</v>
      </c>
      <c r="T2744" s="9">
        <v>43390.5183101852</v>
      </c>
    </row>
    <row r="2745" spans="14:20">
      <c r="N2745" s="7" t="str">
        <f>HYPERLINK("E:\附赠：Excel模板\精美EXCEL模板\其他1000例\机关、事业单位离退休人员待遇情况统计表.xls","机关、事业单位离退休人员待遇情况统计表.xls")</f>
        <v>机关、事业单位离退休人员待遇情况统计表.xls</v>
      </c>
      <c r="Q2745">
        <v>0.02</v>
      </c>
      <c r="R2745" s="7" t="str">
        <f t="shared" si="55"/>
        <v>E:\附赠：Excel模板\精美EXCEL模板\其他1000例</v>
      </c>
      <c r="S2745" s="9">
        <v>43600.3821643519</v>
      </c>
      <c r="T2745" s="9">
        <v>43390.5179398148</v>
      </c>
    </row>
    <row r="2746" spans="14:20">
      <c r="N2746" s="7" t="str">
        <f>HYPERLINK("E:\附赠：Excel模板\精美EXCEL模板\其他1000例\机关事业单位在岗职工人数变动情况.xls","机关事业单位在岗职工人数变动情况.xls")</f>
        <v>机关事业单位在岗职工人数变动情况.xls</v>
      </c>
      <c r="Q2746">
        <v>0.02</v>
      </c>
      <c r="R2746" s="7" t="str">
        <f t="shared" si="55"/>
        <v>E:\附赠：Excel模板\精美EXCEL模板\其他1000例</v>
      </c>
      <c r="S2746" s="9">
        <v>43600.3821643519</v>
      </c>
      <c r="T2746" s="9">
        <v>43390.5179166667</v>
      </c>
    </row>
    <row r="2747" spans="14:20">
      <c r="N2747" s="7" t="str">
        <f>HYPERLINK("E:\附赠：Excel模板\精美EXCEL模板\其他1000例\机关事业单位工作人员增发岗位津贴花名册.xls","机关事业单位工作人员增发岗位津贴花名册.xls")</f>
        <v>机关事业单位工作人员增发岗位津贴花名册.xls</v>
      </c>
      <c r="Q2747">
        <v>0.02</v>
      </c>
      <c r="R2747" s="7" t="str">
        <f t="shared" ref="R2747:R2810" si="56">HYPERLINK("E:\附赠：Excel模板\精美EXCEL模板\其他1000例","E:\附赠：Excel模板\精美EXCEL模板\其他1000例")</f>
        <v>E:\附赠：Excel模板\精美EXCEL模板\其他1000例</v>
      </c>
      <c r="S2747" s="9">
        <v>43600.3821643519</v>
      </c>
      <c r="T2747" s="9">
        <v>43390.5179398148</v>
      </c>
    </row>
    <row r="2748" spans="14:20">
      <c r="N2748" s="7" t="str">
        <f>HYPERLINK("E:\附赠：Excel模板\精美EXCEL模板\其他1000例\机关事业单位职工人数和劳动报酬情况.xls","机关事业单位职工人数和劳动报酬情况.xls")</f>
        <v>机关事业单位职工人数和劳动报酬情况.xls</v>
      </c>
      <c r="Q2748">
        <v>0.02</v>
      </c>
      <c r="R2748" s="7" t="str">
        <f t="shared" si="56"/>
        <v>E:\附赠：Excel模板\精美EXCEL模板\其他1000例</v>
      </c>
      <c r="S2748" s="9">
        <v>43600.3821643519</v>
      </c>
      <c r="T2748" s="9">
        <v>43390.5179166667</v>
      </c>
    </row>
    <row r="2749" spans="14:20">
      <c r="N2749" s="7" t="str">
        <f>HYPERLINK("E:\附赠：Excel模板\精美EXCEL模板\其他1000例\机关事业单位职工人数和工资情况.xls","机关事业单位职工人数和工资情况.xls")</f>
        <v>机关事业单位职工人数和工资情况.xls</v>
      </c>
      <c r="Q2749">
        <v>0.02</v>
      </c>
      <c r="R2749" s="7" t="str">
        <f t="shared" si="56"/>
        <v>E:\附赠：Excel模板\精美EXCEL模板\其他1000例</v>
      </c>
      <c r="S2749" s="9">
        <v>43600.3821643519</v>
      </c>
      <c r="T2749" s="9">
        <v>43390.5179166667</v>
      </c>
    </row>
    <row r="2750" spans="14:20">
      <c r="N2750" s="7" t="str">
        <f>HYPERLINK("E:\附赠：Excel模板\精美EXCEL模板\其他1000例\机关从业人员学历情况.xls","机关从业人员学历情况.xls")</f>
        <v>机关从业人员学历情况.xls</v>
      </c>
      <c r="Q2750">
        <v>0.02</v>
      </c>
      <c r="R2750" s="7" t="str">
        <f t="shared" si="56"/>
        <v>E:\附赠：Excel模板\精美EXCEL模板\其他1000例</v>
      </c>
      <c r="S2750" s="9">
        <v>43600.3821643519</v>
      </c>
      <c r="T2750" s="9">
        <v>43390.5179398148</v>
      </c>
    </row>
    <row r="2751" spans="14:20">
      <c r="N2751" s="7" t="str">
        <f>HYPERLINK("E:\附赠：Excel模板\精美EXCEL模板\其他1000例\机关党政人才交流情况.xls","机关党政人才交流情况.xls")</f>
        <v>机关党政人才交流情况.xls</v>
      </c>
      <c r="Q2751">
        <v>0.02</v>
      </c>
      <c r="R2751" s="7" t="str">
        <f t="shared" si="56"/>
        <v>E:\附赠：Excel模板\精美EXCEL模板\其他1000例</v>
      </c>
      <c r="S2751" s="9">
        <v>43600.3821643519</v>
      </c>
      <c r="T2751" s="9">
        <v>43390.5179398148</v>
      </c>
    </row>
    <row r="2752" spans="14:20">
      <c r="N2752" s="7" t="str">
        <f>HYPERLINK("E:\附赠：Excel模板\精美EXCEL模板\其他1000例\机关党政人才免职、降职、辞职和受奖惩情况.xls","机关党政人才免职、降职、辞职和受奖惩情况.xls")</f>
        <v>机关党政人才免职、降职、辞职和受奖惩情况.xls</v>
      </c>
      <c r="Q2752">
        <v>0.02</v>
      </c>
      <c r="R2752" s="7" t="str">
        <f t="shared" si="56"/>
        <v>E:\附赠：Excel模板\精美EXCEL模板\其他1000例</v>
      </c>
      <c r="S2752" s="9">
        <v>43600.3821643519</v>
      </c>
      <c r="T2752" s="9">
        <v>43390.5179398148</v>
      </c>
    </row>
    <row r="2753" spans="14:20">
      <c r="N2753" s="7" t="str">
        <f>HYPERLINK("E:\附赠：Excel模板\精美EXCEL模板\其他1000例\机关党政人才变化情况.xls","机关党政人才变化情况.xls")</f>
        <v>机关党政人才变化情况.xls</v>
      </c>
      <c r="Q2753">
        <v>0.02</v>
      </c>
      <c r="R2753" s="7" t="str">
        <f t="shared" si="56"/>
        <v>E:\附赠：Excel模板\精美EXCEL模板\其他1000例</v>
      </c>
      <c r="S2753" s="9">
        <v>43600.3821643519</v>
      </c>
      <c r="T2753" s="9">
        <v>43390.5179398148</v>
      </c>
    </row>
    <row r="2754" spans="14:20">
      <c r="N2754" s="7" t="str">
        <f>HYPERLINK("E:\附赠：Excel模板\精美EXCEL模板\其他1000例\机关党政人才培训情况.xls","机关党政人才培训情况.xls")</f>
        <v>机关党政人才培训情况.xls</v>
      </c>
      <c r="Q2754">
        <v>0.02</v>
      </c>
      <c r="R2754" s="7" t="str">
        <f t="shared" si="56"/>
        <v>E:\附赠：Excel模板\精美EXCEL模板\其他1000例</v>
      </c>
      <c r="S2754" s="9">
        <v>43600.3821643519</v>
      </c>
      <c r="T2754" s="9">
        <v>43390.5179398148</v>
      </c>
    </row>
    <row r="2755" spans="14:20">
      <c r="N2755" s="7" t="str">
        <f>HYPERLINK("E:\附赠：Excel模板\精美EXCEL模板\其他1000例\机关党政人才晋升职务和公开选拔、竞争上岗情况.xls","机关党政人才晋升职务和公开选拔、竞争上岗情况.xls")</f>
        <v>机关党政人才晋升职务和公开选拔、竞争上岗情况.xls</v>
      </c>
      <c r="Q2755">
        <v>0.02</v>
      </c>
      <c r="R2755" s="7" t="str">
        <f t="shared" si="56"/>
        <v>E:\附赠：Excel模板\精美EXCEL模板\其他1000例</v>
      </c>
      <c r="S2755" s="9">
        <v>43600.3821643519</v>
      </c>
      <c r="T2755" s="9">
        <v>43390.5179398148</v>
      </c>
    </row>
    <row r="2756" spans="14:20">
      <c r="N2756" s="7" t="str">
        <f>HYPERLINK("E:\附赠：Excel模板\精美EXCEL模板\其他1000例\机关单位工作人员工龄情况.xls","机关单位工作人员工龄情况.xls")</f>
        <v>机关单位工作人员工龄情况.xls</v>
      </c>
      <c r="Q2756">
        <v>0.02</v>
      </c>
      <c r="R2756" s="7" t="str">
        <f t="shared" si="56"/>
        <v>E:\附赠：Excel模板\精美EXCEL模板\其他1000例</v>
      </c>
      <c r="S2756" s="9">
        <v>43600.3821643519</v>
      </c>
      <c r="T2756" s="9">
        <v>43390.5179398148</v>
      </c>
    </row>
    <row r="2757" spans="14:20">
      <c r="N2757" s="7" t="str">
        <f>HYPERLINK("E:\附赠：Excel模板\精美EXCEL模板\其他1000例\机关售房款用于住房补贴支出决算基础数据表.xls","机关售房款用于住房补贴支出决算基础数据表.xls")</f>
        <v>机关售房款用于住房补贴支出决算基础数据表.xls</v>
      </c>
      <c r="Q2757">
        <v>0.02</v>
      </c>
      <c r="R2757" s="7" t="str">
        <f t="shared" si="56"/>
        <v>E:\附赠：Excel模板\精美EXCEL模板\其他1000例</v>
      </c>
      <c r="S2757" s="9">
        <v>43600.3821643519</v>
      </c>
      <c r="T2757" s="9">
        <v>43390.5179166667</v>
      </c>
    </row>
    <row r="2758" spans="14:20">
      <c r="N2758" s="7" t="str">
        <f>HYPERLINK("E:\附赠：Excel模板\精美EXCEL模板\其他1000例\机关干部职务工资档次情况.xls","机关干部职务工资档次情况.xls")</f>
        <v>机关干部职务工资档次情况.xls</v>
      </c>
      <c r="Q2758">
        <v>0.02</v>
      </c>
      <c r="R2758" s="7" t="str">
        <f t="shared" si="56"/>
        <v>E:\附赠：Excel模板\精美EXCEL模板\其他1000例</v>
      </c>
      <c r="S2758" s="9">
        <v>43600.3821643519</v>
      </c>
      <c r="T2758" s="9">
        <v>43390.5179398148</v>
      </c>
    </row>
    <row r="2759" spans="14:20">
      <c r="N2759" s="7" t="str">
        <f>HYPERLINK("E:\附赠：Excel模板\精美EXCEL模板\其他1000例\机关年度公务员录用计划表.xls","机关年度公务员录用计划表.xls")</f>
        <v>机关年度公务员录用计划表.xls</v>
      </c>
      <c r="Q2759">
        <v>0.02</v>
      </c>
      <c r="R2759" s="7" t="str">
        <f t="shared" si="56"/>
        <v>E:\附赠：Excel模板\精美EXCEL模板\其他1000例</v>
      </c>
      <c r="S2759" s="9">
        <v>43600.3821643519</v>
      </c>
      <c r="T2759" s="9">
        <v>43390.5179398148</v>
      </c>
    </row>
    <row r="2760" spans="14:20">
      <c r="N2760" s="7" t="str">
        <f>HYPERLINK("E:\附赠：Excel模板\精美EXCEL模板\其他1000例\机关或单位工作人员一次性补贴标准认定表.xls","机关或单位工作人员一次性补贴标准认定表.xls")</f>
        <v>机关或单位工作人员一次性补贴标准认定表.xls</v>
      </c>
      <c r="Q2760">
        <v>0.02</v>
      </c>
      <c r="R2760" s="7" t="str">
        <f t="shared" si="56"/>
        <v>E:\附赠：Excel模板\精美EXCEL模板\其他1000例</v>
      </c>
      <c r="S2760" s="9">
        <v>43600.3821643519</v>
      </c>
      <c r="T2760" s="9">
        <v>43390.5179398148</v>
      </c>
    </row>
    <row r="2761" spans="14:20">
      <c r="N2761" s="7" t="str">
        <f>HYPERLINK("E:\附赠：Excel模板\精美EXCEL模板\其他1000例\机构代表报备表.xls","机构代表报备表.xls")</f>
        <v>机构代表报备表.xls</v>
      </c>
      <c r="Q2761">
        <v>0.02</v>
      </c>
      <c r="R2761" s="7" t="str">
        <f t="shared" si="56"/>
        <v>E:\附赠：Excel模板\精美EXCEL模板\其他1000例</v>
      </c>
      <c r="S2761" s="9">
        <v>43600.3821643519</v>
      </c>
      <c r="T2761" s="9">
        <v>43390.5179398148</v>
      </c>
    </row>
    <row r="2762" spans="14:20">
      <c r="N2762" s="7" t="str">
        <f>HYPERLINK("E:\附赠：Excel模板\精美EXCEL模板\其他1000例\村庄建设工程进展情况统计表.xls","村庄建设工程进展情况统计表.xls")</f>
        <v>村庄建设工程进展情况统计表.xls</v>
      </c>
      <c r="Q2762">
        <v>0.03</v>
      </c>
      <c r="R2762" s="7" t="str">
        <f t="shared" si="56"/>
        <v>E:\附赠：Excel模板\精美EXCEL模板\其他1000例</v>
      </c>
      <c r="S2762" s="9">
        <v>43600.3821643519</v>
      </c>
      <c r="T2762" s="9">
        <v>43390.5181712963</v>
      </c>
    </row>
    <row r="2763" spans="14:20">
      <c r="N2763" s="7" t="str">
        <f>HYPERLINK("E:\附赠：Excel模板\精美EXCEL模板\其他1000例\校内津贴明细表.xls","校内津贴明细表.xls")</f>
        <v>校内津贴明细表.xls</v>
      </c>
      <c r="Q2763">
        <v>0.1</v>
      </c>
      <c r="R2763" s="7" t="str">
        <f t="shared" si="56"/>
        <v>E:\附赠：Excel模板\精美EXCEL模板\其他1000例</v>
      </c>
      <c r="S2763" s="9">
        <v>43600.3821643519</v>
      </c>
      <c r="T2763" s="9">
        <v>43390.5173148148</v>
      </c>
    </row>
    <row r="2764" spans="14:20">
      <c r="N2764" s="7" t="str">
        <f>HYPERLINK("E:\附赠：Excel模板\精美EXCEL模板\其他1000例\校外实习基地情况一览表.xls","校外实习基地情况一览表.xls")</f>
        <v>校外实习基地情况一览表.xls</v>
      </c>
      <c r="Q2764">
        <v>0.02</v>
      </c>
      <c r="R2764" s="7" t="str">
        <f t="shared" si="56"/>
        <v>E:\附赠：Excel模板\精美EXCEL模板\其他1000例</v>
      </c>
      <c r="S2764" s="9">
        <v>43600.3821643519</v>
      </c>
      <c r="T2764" s="9">
        <v>43390.5173148148</v>
      </c>
    </row>
    <row r="2765" spans="14:20">
      <c r="N2765" s="7" t="str">
        <f>HYPERLINK("E:\附赠：Excel模板\精美EXCEL模板\其他1000例\校级以上教学成果奖一览表.xls","校级以上教学成果奖一览表.xls")</f>
        <v>校级以上教学成果奖一览表.xls</v>
      </c>
      <c r="Q2765">
        <v>0.02</v>
      </c>
      <c r="R2765" s="7" t="str">
        <f t="shared" si="56"/>
        <v>E:\附赠：Excel模板\精美EXCEL模板\其他1000例</v>
      </c>
      <c r="S2765" s="9">
        <v>43600.3821643519</v>
      </c>
      <c r="T2765" s="9">
        <v>43390.5173148148</v>
      </c>
    </row>
    <row r="2766" spans="14:20">
      <c r="N2766" s="7" t="str">
        <f>HYPERLINK("E:\附赠：Excel模板\精美EXCEL模板\其他1000例\校院學生就學協助方案執行情形統計表.xls","校院學生就學協助方案執行情形統計表.xls")</f>
        <v>校院學生就學協助方案執行情形統計表.xls</v>
      </c>
      <c r="Q2766">
        <v>0.02</v>
      </c>
      <c r="R2766" s="7" t="str">
        <f t="shared" si="56"/>
        <v>E:\附赠：Excel模板\精美EXCEL模板\其他1000例</v>
      </c>
      <c r="S2766" s="9">
        <v>43600.3821643519</v>
      </c>
      <c r="T2766" s="9">
        <v>43390.5173148148</v>
      </c>
    </row>
    <row r="2767" spans="14:20">
      <c r="N2767" s="7" t="str">
        <f>HYPERLINK("E:\附赠：Excel模板\精美EXCEL模板\其他1000例\森林经营方案情况调查表.xls","森林经营方案情况调查表.xls")</f>
        <v>森林经营方案情况调查表.xls</v>
      </c>
      <c r="Q2767">
        <v>0.02</v>
      </c>
      <c r="R2767" s="7" t="str">
        <f t="shared" si="56"/>
        <v>E:\附赠：Excel模板\精美EXCEL模板\其他1000例</v>
      </c>
      <c r="S2767" s="9">
        <v>43600.3821643519</v>
      </c>
      <c r="T2767" s="9">
        <v>43390.5175694444</v>
      </c>
    </row>
    <row r="2768" spans="14:20">
      <c r="N2768" s="7" t="str">
        <f>HYPERLINK("E:\附赠：Excel模板\精美EXCEL模板\其他1000例\每一家庭每月平均收支.xls","每一家庭每月平均收支.xls")</f>
        <v>每一家庭每月平均收支.xls</v>
      </c>
      <c r="Q2768">
        <v>0.05</v>
      </c>
      <c r="R2768" s="7" t="str">
        <f t="shared" si="56"/>
        <v>E:\附赠：Excel模板\精美EXCEL模板\其他1000例</v>
      </c>
      <c r="S2768" s="9">
        <v>43600.3821643519</v>
      </c>
      <c r="T2768" s="9">
        <v>43390.5177314815</v>
      </c>
    </row>
    <row r="2769" spans="14:20">
      <c r="N2769" s="7" t="str">
        <f>HYPERLINK("E:\附赠：Excel模板\精美EXCEL模板\其他1000例\每月经济卡片.xls","每月经济卡片.xls")</f>
        <v>每月经济卡片.xls</v>
      </c>
      <c r="Q2769">
        <v>0.03</v>
      </c>
      <c r="R2769" s="7" t="str">
        <f t="shared" si="56"/>
        <v>E:\附赠：Excel模板\精美EXCEL模板\其他1000例</v>
      </c>
      <c r="S2769" s="9">
        <v>43600.3821643519</v>
      </c>
      <c r="T2769" s="9">
        <v>43390.5177314815</v>
      </c>
    </row>
    <row r="2770" spans="14:20">
      <c r="N2770" s="7" t="str">
        <f>HYPERLINK("E:\附赠：Excel模板\精美EXCEL模板\其他1000例\比率分析表.xls","比率分析表.xls")</f>
        <v>比率分析表.xls</v>
      </c>
      <c r="Q2770">
        <v>0.02</v>
      </c>
      <c r="R2770" s="7" t="str">
        <f t="shared" si="56"/>
        <v>E:\附赠：Excel模板\精美EXCEL模板\其他1000例</v>
      </c>
      <c r="S2770" s="9">
        <v>43600.3821643519</v>
      </c>
      <c r="T2770" s="9">
        <v>43390.5183101852</v>
      </c>
    </row>
    <row r="2771" spans="14:20">
      <c r="N2771" s="7" t="str">
        <f>HYPERLINK("E:\附赠：Excel模板\精美EXCEL模板\其他1000例\毕业、招生、在校各类学生人数统计表.xls","毕业、招生、在校各类学生人数统计表.xls")</f>
        <v>毕业、招生、在校各类学生人数统计表.xls</v>
      </c>
      <c r="Q2771">
        <v>0.02</v>
      </c>
      <c r="R2771" s="7" t="str">
        <f t="shared" si="56"/>
        <v>E:\附赠：Excel模板\精美EXCEL模板\其他1000例</v>
      </c>
      <c r="S2771" s="9">
        <v>43600.3821643519</v>
      </c>
      <c r="T2771" s="9">
        <v>43390.5183101852</v>
      </c>
    </row>
    <row r="2772" spans="14:20">
      <c r="N2772" s="7" t="str">
        <f>HYPERLINK("E:\附赠：Excel模板\精美EXCEL模板\其他1000例\毕业生寒假供需洽谈会.xls","毕业生寒假供需洽谈会.xls")</f>
        <v>毕业生寒假供需洽谈会.xls</v>
      </c>
      <c r="Q2772">
        <v>0.03</v>
      </c>
      <c r="R2772" s="7" t="str">
        <f t="shared" si="56"/>
        <v>E:\附赠：Excel模板\精美EXCEL模板\其他1000例</v>
      </c>
      <c r="S2772" s="9">
        <v>43600.3821643519</v>
      </c>
      <c r="T2772" s="9">
        <v>43390.518287037</v>
      </c>
    </row>
    <row r="2773" spans="14:20">
      <c r="N2773" s="7" t="str">
        <f>HYPERLINK("E:\附赠：Excel模板\精美EXCEL模板\其他1000例\毕业生成绩表.xls","毕业生成绩表.xls")</f>
        <v>毕业生成绩表.xls</v>
      </c>
      <c r="Q2773">
        <v>0.02</v>
      </c>
      <c r="R2773" s="7" t="str">
        <f t="shared" si="56"/>
        <v>E:\附赠：Excel模板\精美EXCEL模板\其他1000例</v>
      </c>
      <c r="S2773" s="9">
        <v>43600.3821643519</v>
      </c>
      <c r="T2773" s="9">
        <v>43390.518287037</v>
      </c>
    </row>
    <row r="2774" spans="14:20">
      <c r="N2774" s="7" t="str">
        <f>HYPERLINK("E:\附赠：Excel模板\精美EXCEL模板\其他1000例\毕业生见习训练经费使用审批表.xls","毕业生见习训练经费使用审批表.xls")</f>
        <v>毕业生见习训练经费使用审批表.xls</v>
      </c>
      <c r="Q2774">
        <v>0.02</v>
      </c>
      <c r="R2774" s="7" t="str">
        <f t="shared" si="56"/>
        <v>E:\附赠：Excel模板\精美EXCEL模板\其他1000例</v>
      </c>
      <c r="S2774" s="9">
        <v>43600.3821643519</v>
      </c>
      <c r="T2774" s="9">
        <v>43390.518287037</v>
      </c>
    </row>
    <row r="2775" spans="14:20">
      <c r="N2775" s="7" t="str">
        <f>HYPERLINK("E:\附赠：Excel模板\精美EXCEL模板\其他1000例\毕业生需求情况汇总表.xls","毕业生需求情况汇总表.xls")</f>
        <v>毕业生需求情况汇总表.xls</v>
      </c>
      <c r="Q2775">
        <v>0.02</v>
      </c>
      <c r="R2775" s="7" t="str">
        <f t="shared" si="56"/>
        <v>E:\附赠：Excel模板\精美EXCEL模板\其他1000例</v>
      </c>
      <c r="S2775" s="9">
        <v>43600.3821643519</v>
      </c>
      <c r="T2775" s="9">
        <v>43390.518287037</v>
      </c>
    </row>
    <row r="2776" spans="14:20">
      <c r="N2776" s="7" t="str">
        <f>HYPERLINK("E:\附赠：Excel模板\精美EXCEL模板\其他1000例\毕业论文报名表.xls","毕业论文报名表.xls")</f>
        <v>毕业论文报名表.xls</v>
      </c>
      <c r="Q2776">
        <v>0.03</v>
      </c>
      <c r="R2776" s="7" t="str">
        <f t="shared" si="56"/>
        <v>E:\附赠：Excel模板\精美EXCEL模板\其他1000例</v>
      </c>
      <c r="S2776" s="9">
        <v>43600.3821643519</v>
      </c>
      <c r="T2776" s="9">
        <v>43390.518287037</v>
      </c>
    </row>
    <row r="2777" spans="14:20">
      <c r="N2777" s="7" t="str">
        <f>HYPERLINK("E:\附赠：Excel模板\精美EXCEL模板\其他1000例\毕业论文指导教师联系表.xls","毕业论文指导教师联系表.xls")</f>
        <v>毕业论文指导教师联系表.xls</v>
      </c>
      <c r="Q2777">
        <v>0.02</v>
      </c>
      <c r="R2777" s="7" t="str">
        <f t="shared" si="56"/>
        <v>E:\附赠：Excel模板\精美EXCEL模板\其他1000例</v>
      </c>
      <c r="S2777" s="9">
        <v>43600.3821643519</v>
      </c>
      <c r="T2777" s="9">
        <v>43390.518287037</v>
      </c>
    </row>
    <row r="2778" spans="14:20">
      <c r="N2778" s="7" t="str">
        <f>HYPERLINK("E:\附赠：Excel模板\精美EXCEL模板\其他1000例\毕业论文表格.xls","毕业论文表格.xls")</f>
        <v>毕业论文表格.xls</v>
      </c>
      <c r="Q2778">
        <v>0.03</v>
      </c>
      <c r="R2778" s="7" t="str">
        <f t="shared" si="56"/>
        <v>E:\附赠：Excel模板\精美EXCEL模板\其他1000例</v>
      </c>
      <c r="S2778" s="9">
        <v>43600.3821643519</v>
      </c>
      <c r="T2778" s="9">
        <v>43390.518287037</v>
      </c>
    </row>
    <row r="2779" spans="14:20">
      <c r="N2779" s="7" t="str">
        <f>HYPERLINK("E:\附赠：Excel模板\精美EXCEL模板\其他1000例\毕业设计(论文)答辩一览表.xls","毕业设计(论文)答辩一览表.xls")</f>
        <v>毕业设计(论文)答辩一览表.xls</v>
      </c>
      <c r="Q2779">
        <v>0.02</v>
      </c>
      <c r="R2779" s="7" t="str">
        <f t="shared" si="56"/>
        <v>E:\附赠：Excel模板\精美EXCEL模板\其他1000例</v>
      </c>
      <c r="S2779" s="9">
        <v>43600.3821643519</v>
      </c>
      <c r="T2779" s="9">
        <v>43390.518287037</v>
      </c>
    </row>
    <row r="2780" spans="14:20">
      <c r="N2780" s="7" t="str">
        <f>HYPERLINK("E:\附赠：Excel模板\精美EXCEL模板\其他1000例\毕业设计表格.xls","毕业设计表格.xls")</f>
        <v>毕业设计表格.xls</v>
      </c>
      <c r="Q2780">
        <v>0.03</v>
      </c>
      <c r="R2780" s="7" t="str">
        <f t="shared" si="56"/>
        <v>E:\附赠：Excel模板\精美EXCEL模板\其他1000例</v>
      </c>
      <c r="S2780" s="9">
        <v>43600.3821643519</v>
      </c>
      <c r="T2780" s="9">
        <v>43390.518287037</v>
      </c>
    </row>
    <row r="2781" spans="14:20">
      <c r="N2781" s="7" t="str">
        <f>HYPERLINK("E:\附赠：Excel模板\精美EXCEL模板\其他1000例\水利建设和体制改革年度考核评分表.xls","水利建设和体制改革年度考核评分表.xls")</f>
        <v>水利建设和体制改革年度考核评分表.xls</v>
      </c>
      <c r="Q2781">
        <v>0.02</v>
      </c>
      <c r="R2781" s="7" t="str">
        <f t="shared" si="56"/>
        <v>E:\附赠：Excel模板\精美EXCEL模板\其他1000例</v>
      </c>
      <c r="S2781" s="9">
        <v>43600.3821643519</v>
      </c>
      <c r="T2781" s="9">
        <v>43390.5174305556</v>
      </c>
    </row>
    <row r="2782" spans="14:20">
      <c r="N2782" s="7" t="str">
        <f>HYPERLINK("E:\附赠：Excel模板\精美EXCEL模板\其他1000例\洗衣机行业分地区基本市场状况.xls","洗衣机行业分地区基本市场状况.xls")</f>
        <v>洗衣机行业分地区基本市场状况.xls</v>
      </c>
      <c r="Q2782">
        <v>0.05</v>
      </c>
      <c r="R2782" s="7" t="str">
        <f t="shared" si="56"/>
        <v>E:\附赠：Excel模板\精美EXCEL模板\其他1000例</v>
      </c>
      <c r="S2782" s="9">
        <v>43600.3821643519</v>
      </c>
      <c r="T2782" s="9">
        <v>43390.5173842593</v>
      </c>
    </row>
    <row r="2783" spans="14:20">
      <c r="N2783" s="7" t="str">
        <f>HYPERLINK("E:\附赠：Excel模板\精美EXCEL模板\其他1000例\洗衣经营情况明细表.xls","洗衣经营情况明细表.xls")</f>
        <v>洗衣经营情况明细表.xls</v>
      </c>
      <c r="Q2783">
        <v>0.02</v>
      </c>
      <c r="R2783" s="7" t="str">
        <f t="shared" si="56"/>
        <v>E:\附赠：Excel模板\精美EXCEL模板\其他1000例</v>
      </c>
      <c r="S2783" s="9">
        <v>43600.3821643519</v>
      </c>
      <c r="T2783" s="9">
        <v>43390.5173611111</v>
      </c>
    </row>
    <row r="2784" spans="14:20">
      <c r="N2784" s="7" t="str">
        <f>HYPERLINK("E:\附赠：Excel模板\精美EXCEL模板\其他1000例\派驻乡镇机构调查表.xls","派驻乡镇机构调查表.xls")</f>
        <v>派驻乡镇机构调查表.xls</v>
      </c>
      <c r="Q2784">
        <v>0.02</v>
      </c>
      <c r="R2784" s="7" t="str">
        <f t="shared" si="56"/>
        <v>E:\附赠：Excel模板\精美EXCEL模板\其他1000例</v>
      </c>
      <c r="S2784" s="9">
        <v>43600.3821643519</v>
      </c>
      <c r="T2784" s="9">
        <v>43390.5176851852</v>
      </c>
    </row>
    <row r="2785" spans="14:20">
      <c r="N2785" s="7" t="str">
        <f>HYPERLINK("E:\附赠：Excel模板\精美EXCEL模板\其他1000例\流域重点水文工程项目表.xls","流域重点水文工程项目表.xls")</f>
        <v>流域重点水文工程项目表.xls</v>
      </c>
      <c r="Q2785">
        <v>0.02</v>
      </c>
      <c r="R2785" s="7" t="str">
        <f t="shared" si="56"/>
        <v>E:\附赠：Excel模板\精美EXCEL模板\其他1000例</v>
      </c>
      <c r="S2785" s="9">
        <v>43600.3821643519</v>
      </c>
      <c r="T2785" s="9">
        <v>43390.5177546296</v>
      </c>
    </row>
    <row r="2786" spans="14:20">
      <c r="N2786" s="7" t="str">
        <f>HYPERLINK("E:\附赠：Excel模板\精美EXCEL模板\其他1000例\煤矿安全技术措施改造项目计划完成情况表.xls","煤矿安全技术措施改造项目计划完成情况表.xls")</f>
        <v>煤矿安全技术措施改造项目计划完成情况表.xls</v>
      </c>
      <c r="Q2786">
        <v>0.02</v>
      </c>
      <c r="R2786" s="7" t="str">
        <f t="shared" si="56"/>
        <v>E:\附赠：Excel模板\精美EXCEL模板\其他1000例</v>
      </c>
      <c r="S2786" s="9">
        <v>43600.3821643519</v>
      </c>
      <c r="T2786" s="9">
        <v>43390.5177314815</v>
      </c>
    </row>
    <row r="2787" spans="14:20">
      <c r="N2787" s="7" t="str">
        <f>HYPERLINK("E:\附赠：Excel模板\精美EXCEL模板\其他1000例\物业管理公共服务等级标准评定表.xls","物业管理公共服务等级标准评定表.xls")</f>
        <v>物业管理公共服务等级标准评定表.xls</v>
      </c>
      <c r="Q2787">
        <v>0.04</v>
      </c>
      <c r="R2787" s="7" t="str">
        <f t="shared" si="56"/>
        <v>E:\附赠：Excel模板\精美EXCEL模板\其他1000例</v>
      </c>
      <c r="S2787" s="9">
        <v>43600.3821643519</v>
      </c>
      <c r="T2787" s="9">
        <v>43390.5173842593</v>
      </c>
    </row>
    <row r="2788" spans="14:20">
      <c r="N2788" s="7" t="str">
        <f>HYPERLINK("E:\附赠：Excel模板\精美EXCEL模板\其他1000例\状态条.xls","状态条.xls")</f>
        <v>状态条.xls</v>
      </c>
      <c r="Q2788">
        <v>0.02</v>
      </c>
      <c r="R2788" s="7" t="str">
        <f t="shared" si="56"/>
        <v>E:\附赠：Excel模板\精美EXCEL模板\其他1000例</v>
      </c>
      <c r="S2788" s="9">
        <v>43600.3821643519</v>
      </c>
      <c r="T2788" s="9">
        <v>43390.5170138889</v>
      </c>
    </row>
    <row r="2789" spans="14:20">
      <c r="N2789" s="7" t="str">
        <f>HYPERLINK("E:\附赠：Excel模板\精美EXCEL模板\其他1000例\独立核算道路运输企业财务状况.xls","独立核算道路运输企业财务状况.xls")</f>
        <v>独立核算道路运输企业财务状况.xls</v>
      </c>
      <c r="Q2789">
        <v>0.02</v>
      </c>
      <c r="R2789" s="7" t="str">
        <f t="shared" si="56"/>
        <v>E:\附赠：Excel模板\精美EXCEL模板\其他1000例</v>
      </c>
      <c r="S2789" s="9">
        <v>43600.3821643519</v>
      </c>
      <c r="T2789" s="9">
        <v>43390.5181018518</v>
      </c>
    </row>
    <row r="2790" spans="14:20">
      <c r="N2790" s="7" t="str">
        <f>HYPERLINK("E:\附赠：Excel模板\精美EXCEL模板\其他1000例\环保机构、人员编制、经费基本情况调查表.xls","环保机构、人员编制、经费基本情况调查表.xls")</f>
        <v>环保机构、人员编制、经费基本情况调查表.xls</v>
      </c>
      <c r="Q2790">
        <v>0.02</v>
      </c>
      <c r="R2790" s="7" t="str">
        <f t="shared" si="56"/>
        <v>E:\附赠：Excel模板\精美EXCEL模板\其他1000例</v>
      </c>
      <c r="S2790" s="9">
        <v>43600.3821643519</v>
      </c>
      <c r="T2790" s="9">
        <v>43390.517962963</v>
      </c>
    </row>
    <row r="2791" spans="14:20">
      <c r="N2791" s="7" t="str">
        <f>HYPERLINK("E:\附赠：Excel模板\精美EXCEL模板\其他1000例\环境目标调查表.xls","环境目标调查表.xls")</f>
        <v>环境目标调查表.xls</v>
      </c>
      <c r="Q2791">
        <v>0.01</v>
      </c>
      <c r="R2791" s="7" t="str">
        <f t="shared" si="56"/>
        <v>E:\附赠：Excel模板\精美EXCEL模板\其他1000例</v>
      </c>
      <c r="S2791" s="9">
        <v>43600.3821643519</v>
      </c>
      <c r="T2791" s="9">
        <v>43390.517962963</v>
      </c>
    </row>
    <row r="2792" spans="14:20">
      <c r="N2792" s="7" t="str">
        <f>HYPERLINK("E:\附赠：Excel模板\精美EXCEL模板\其他1000例\环境相关指标调查表.xls","环境相关指标调查表.xls")</f>
        <v>环境相关指标调查表.xls</v>
      </c>
      <c r="Q2792">
        <v>0.02</v>
      </c>
      <c r="R2792" s="7" t="str">
        <f t="shared" si="56"/>
        <v>E:\附赠：Excel模板\精美EXCEL模板\其他1000例</v>
      </c>
      <c r="S2792" s="9">
        <v>43600.3821643519</v>
      </c>
      <c r="T2792" s="9">
        <v>43390.517962963</v>
      </c>
    </row>
    <row r="2793" spans="14:20">
      <c r="N2793" s="7" t="str">
        <f>HYPERLINK("E:\附赠：Excel模板\精美EXCEL模板\其他1000例\现有工作用房情况调查表.xls","现有工作用房情况调查表.xls")</f>
        <v>现有工作用房情况调查表.xls</v>
      </c>
      <c r="Q2793">
        <v>0.02</v>
      </c>
      <c r="R2793" s="7" t="str">
        <f t="shared" si="56"/>
        <v>E:\附赠：Excel模板\精美EXCEL模板\其他1000例</v>
      </c>
      <c r="S2793" s="9">
        <v>43600.3821643519</v>
      </c>
      <c r="T2793" s="9">
        <v>43390.5173611111</v>
      </c>
    </row>
    <row r="2794" spans="14:20">
      <c r="N2794" s="7" t="str">
        <f>HYPERLINK("E:\附赠：Excel模板\精美EXCEL模板\其他1000例\现有设备情况调查表.xls","现有设备情况调查表.xls")</f>
        <v>现有设备情况调查表.xls</v>
      </c>
      <c r="Q2794">
        <v>0.02</v>
      </c>
      <c r="R2794" s="7" t="str">
        <f t="shared" si="56"/>
        <v>E:\附赠：Excel模板\精美EXCEL模板\其他1000例</v>
      </c>
      <c r="S2794" s="9">
        <v>43600.3821643519</v>
      </c>
      <c r="T2794" s="9">
        <v>43390.5173611111</v>
      </c>
    </row>
    <row r="2795" spans="14:20">
      <c r="N2795" s="7" t="str">
        <f>HYPERLINK("E:\附赠：Excel模板\精美EXCEL模板\其他1000例\现金流量表.xls","现金流量表.xls")</f>
        <v>现金流量表.xls</v>
      </c>
      <c r="Q2795">
        <v>0.02</v>
      </c>
      <c r="R2795" s="7" t="str">
        <f t="shared" si="56"/>
        <v>E:\附赠：Excel模板\精美EXCEL模板\其他1000例</v>
      </c>
      <c r="S2795" s="9">
        <v>43600.3821643519</v>
      </c>
      <c r="T2795" s="9">
        <v>43390.5173611111</v>
      </c>
    </row>
    <row r="2796" spans="14:20">
      <c r="N2796" s="7" t="str">
        <f>HYPERLINK("E:\附赠：Excel模板\精美EXCEL模板\其他1000例\现金流量表2.xls","现金流量表2.xls")</f>
        <v>现金流量表2.xls</v>
      </c>
      <c r="Q2796">
        <v>0.02</v>
      </c>
      <c r="R2796" s="7" t="str">
        <f t="shared" si="56"/>
        <v>E:\附赠：Excel模板\精美EXCEL模板\其他1000例</v>
      </c>
      <c r="S2796" s="9">
        <v>43600.3821643519</v>
      </c>
      <c r="T2796" s="9">
        <v>43390.5173611111</v>
      </c>
    </row>
    <row r="2797" spans="14:20">
      <c r="N2797" s="7" t="str">
        <f>HYPERLINK("E:\附赠：Excel模板\精美EXCEL模板\其他1000例\现金流量表3.xls","现金流量表3.xls")</f>
        <v>现金流量表3.xls</v>
      </c>
      <c r="Q2797">
        <v>0.02</v>
      </c>
      <c r="R2797" s="7" t="str">
        <f t="shared" si="56"/>
        <v>E:\附赠：Excel模板\精美EXCEL模板\其他1000例</v>
      </c>
      <c r="S2797" s="9">
        <v>43600.3821643519</v>
      </c>
      <c r="T2797" s="9">
        <v>43390.5173611111</v>
      </c>
    </row>
    <row r="2798" spans="14:20">
      <c r="N2798" s="7" t="str">
        <f>HYPERLINK("E:\附赠：Excel模板\精美EXCEL模板\其他1000例\现金流量表模板.xls","现金流量表模板.xls")</f>
        <v>现金流量表模板.xls</v>
      </c>
      <c r="Q2798">
        <v>0.02</v>
      </c>
      <c r="R2798" s="7" t="str">
        <f t="shared" si="56"/>
        <v>E:\附赠：Excel模板\精美EXCEL模板\其他1000例</v>
      </c>
      <c r="S2798" s="9">
        <v>43600.3821643519</v>
      </c>
      <c r="T2798" s="9">
        <v>43390.5173611111</v>
      </c>
    </row>
    <row r="2799" spans="14:20">
      <c r="N2799" s="7" t="str">
        <f>HYPERLINK("E:\附赠：Excel模板\精美EXCEL模板\其他1000例\现金流量预算表.xls","现金流量预算表.xls")</f>
        <v>现金流量预算表.xls</v>
      </c>
      <c r="Q2799">
        <v>0.02</v>
      </c>
      <c r="R2799" s="7" t="str">
        <f t="shared" si="56"/>
        <v>E:\附赠：Excel模板\精美EXCEL模板\其他1000例</v>
      </c>
      <c r="S2799" s="9">
        <v>43600.3821643519</v>
      </c>
      <c r="T2799" s="9">
        <v>43390.5173611111</v>
      </c>
    </row>
    <row r="2800" spans="14:20">
      <c r="N2800" s="7" t="str">
        <f>HYPERLINK("E:\附赠：Excel模板\精美EXCEL模板\其他1000例\班级操行评定表.xls","班级操行评定表.xls")</f>
        <v>班级操行评定表.xls</v>
      </c>
      <c r="Q2800">
        <v>0.02</v>
      </c>
      <c r="R2800" s="7" t="str">
        <f t="shared" si="56"/>
        <v>E:\附赠：Excel模板\精美EXCEL模板\其他1000例</v>
      </c>
      <c r="S2800" s="9">
        <v>43600.3821643519</v>
      </c>
      <c r="T2800" s="9">
        <v>43390.5183333333</v>
      </c>
    </row>
    <row r="2801" spans="14:20">
      <c r="N2801" s="7" t="str">
        <f>HYPERLINK("E:\附赠：Excel模板\精美EXCEL模板\其他1000例\班级统计表.xls","班级统计表.xls")</f>
        <v>班级统计表.xls</v>
      </c>
      <c r="Q2801">
        <v>0.02</v>
      </c>
      <c r="R2801" s="7" t="str">
        <f t="shared" si="56"/>
        <v>E:\附赠：Excel模板\精美EXCEL模板\其他1000例</v>
      </c>
      <c r="S2801" s="9">
        <v>43600.3821643519</v>
      </c>
      <c r="T2801" s="9">
        <v>43390.5183101852</v>
      </c>
    </row>
    <row r="2802" spans="14:20">
      <c r="N2802" s="7" t="str">
        <f>HYPERLINK("E:\附赠：Excel模板\精美EXCEL模板\其他1000例\班级考核汇总表.xls","班级考核汇总表.xls")</f>
        <v>班级考核汇总表.xls</v>
      </c>
      <c r="Q2802">
        <v>0.02</v>
      </c>
      <c r="R2802" s="7" t="str">
        <f t="shared" si="56"/>
        <v>E:\附赠：Excel模板\精美EXCEL模板\其他1000例</v>
      </c>
      <c r="S2802" s="9">
        <v>43600.3821643519</v>
      </c>
      <c r="T2802" s="9">
        <v>43390.5183333333</v>
      </c>
    </row>
    <row r="2803" spans="14:20">
      <c r="N2803" s="7" t="str">
        <f>HYPERLINK("E:\附赠：Excel模板\精美EXCEL模板\其他1000例\球会收支情况.xls","球会收支情况.xls")</f>
        <v>球会收支情况.xls</v>
      </c>
      <c r="Q2803">
        <v>0.02</v>
      </c>
      <c r="R2803" s="7" t="str">
        <f t="shared" si="56"/>
        <v>E:\附赠：Excel模板\精美EXCEL模板\其他1000例</v>
      </c>
      <c r="S2803" s="9">
        <v>43600.3821643519</v>
      </c>
      <c r="T2803" s="9">
        <v>43390.5176157407</v>
      </c>
    </row>
    <row r="2804" spans="14:20">
      <c r="N2804" s="7" t="str">
        <f>HYPERLINK("E:\附赠：Excel模板\精美EXCEL模板\其他1000例\生产报表.xls","生产报表.xls")</f>
        <v>生产报表.xls</v>
      </c>
      <c r="Q2804">
        <v>0.02</v>
      </c>
      <c r="R2804" s="7" t="str">
        <f t="shared" si="56"/>
        <v>E:\附赠：Excel模板\精美EXCEL模板\其他1000例</v>
      </c>
      <c r="S2804" s="9">
        <v>43600.3821643519</v>
      </c>
      <c r="T2804" s="9">
        <v>43390.5175462963</v>
      </c>
    </row>
    <row r="2805" spans="14:20">
      <c r="N2805" s="7" t="str">
        <f>HYPERLINK("E:\附赠：Excel模板\精美EXCEL模板\其他1000例\生态公益林内开展旅游和其它经营活动审批申请表.xls","生态公益林内开展旅游和其它经营活动审批申请表.xls")</f>
        <v>生态公益林内开展旅游和其它经营活动审批申请表.xls</v>
      </c>
      <c r="Q2805">
        <v>0.02</v>
      </c>
      <c r="R2805" s="7" t="str">
        <f t="shared" si="56"/>
        <v>E:\附赠：Excel模板\精美EXCEL模板\其他1000例</v>
      </c>
      <c r="S2805" s="9">
        <v>43600.3821643519</v>
      </c>
      <c r="T2805" s="9">
        <v>43390.5175462963</v>
      </c>
    </row>
    <row r="2806" spans="14:20">
      <c r="N2806" s="7" t="str">
        <f>HYPERLINK("E:\附赠：Excel模板\精美EXCEL模板\其他1000例\用于教学的仪器设备一览表.xls","用于教学的仪器设备一览表.xls")</f>
        <v>用于教学的仪器设备一览表.xls</v>
      </c>
      <c r="Q2806">
        <v>0.02</v>
      </c>
      <c r="R2806" s="7" t="str">
        <f t="shared" si="56"/>
        <v>E:\附赠：Excel模板\精美EXCEL模板\其他1000例</v>
      </c>
      <c r="S2806" s="9">
        <v>43600.3821643519</v>
      </c>
      <c r="T2806" s="9">
        <v>43390.5171296296</v>
      </c>
    </row>
    <row r="2807" spans="14:20">
      <c r="N2807" s="7" t="str">
        <f>HYPERLINK("E:\附赠：Excel模板\精美EXCEL模板\其他1000例\用公款为个人购买商业保险清退情况统计表.xls","用公款为个人购买商业保险清退情况统计表.xls")</f>
        <v>用公款为个人购买商业保险清退情况统计表.xls</v>
      </c>
      <c r="Q2807">
        <v>0.02</v>
      </c>
      <c r="R2807" s="7" t="str">
        <f t="shared" si="56"/>
        <v>E:\附赠：Excel模板\精美EXCEL模板\其他1000例</v>
      </c>
      <c r="S2807" s="9">
        <v>43600.3821643519</v>
      </c>
      <c r="T2807" s="9">
        <v>43390.5171296296</v>
      </c>
    </row>
    <row r="2808" spans="14:20">
      <c r="N2808" s="7" t="str">
        <f>HYPERLINK("E:\附赠：Excel模板\精美EXCEL模板\其他1000例\申请新型农村合作医疗制度补助资金表.xls","申请新型农村合作医疗制度补助资金表.xls")</f>
        <v>申请新型农村合作医疗制度补助资金表.xls</v>
      </c>
      <c r="Q2808">
        <v>0.02</v>
      </c>
      <c r="R2808" s="7" t="str">
        <f t="shared" si="56"/>
        <v>E:\附赠：Excel模板\精美EXCEL模板\其他1000例</v>
      </c>
      <c r="S2808" s="9">
        <v>43600.3821643519</v>
      </c>
      <c r="T2808" s="9">
        <v>43390.5175462963</v>
      </c>
    </row>
    <row r="2809" spans="14:20">
      <c r="N2809" s="7" t="str">
        <f>HYPERLINK("E:\附赠：Excel模板\精美EXCEL模板\其他1000例\电力集团公司继续教育培训计划.xls","电力集团公司继续教育培训计划.xls")</f>
        <v>电力集团公司继续教育培训计划.xls</v>
      </c>
      <c r="Q2809">
        <v>0.04</v>
      </c>
      <c r="R2809" s="7" t="str">
        <f t="shared" si="56"/>
        <v>E:\附赠：Excel模板\精美EXCEL模板\其他1000例</v>
      </c>
      <c r="S2809" s="9">
        <v>43600.3821643519</v>
      </c>
      <c r="T2809" s="9">
        <v>43390.5181018518</v>
      </c>
    </row>
    <row r="2810" spans="14:20">
      <c r="N2810" s="7" t="str">
        <f>HYPERLINK("E:\附赠：Excel模板\精美EXCEL模板\其他1000例\电子表格资源列表.txt","电子表格资源列表.txt")</f>
        <v>电子表格资源列表.txt</v>
      </c>
      <c r="Q2810">
        <v>0.03</v>
      </c>
      <c r="R2810" s="7" t="str">
        <f t="shared" si="56"/>
        <v>E:\附赠：Excel模板\精美EXCEL模板\其他1000例</v>
      </c>
      <c r="S2810" s="9">
        <v>43600.3821643519</v>
      </c>
      <c r="T2810" s="9">
        <v>43390.5181481481</v>
      </c>
    </row>
    <row r="2811" spans="14:20">
      <c r="N2811" s="7" t="str">
        <f>HYPERLINK("E:\附赠：Excel模板\精美EXCEL模板\其他1000例\电话经营情况明细表.xls","电话经营情况明细表.xls")</f>
        <v>电话经营情况明细表.xls</v>
      </c>
      <c r="Q2811">
        <v>0.02</v>
      </c>
      <c r="R2811" s="7" t="str">
        <f t="shared" ref="R2811:R2874" si="57">HYPERLINK("E:\附赠：Excel模板\精美EXCEL模板\其他1000例","E:\附赠：Excel模板\精美EXCEL模板\其他1000例")</f>
        <v>E:\附赠：Excel模板\精美EXCEL模板\其他1000例</v>
      </c>
      <c r="S2811" s="9">
        <v>43600.3821643519</v>
      </c>
      <c r="T2811" s="9">
        <v>43390.5181018518</v>
      </c>
    </row>
    <row r="2812" spans="14:20">
      <c r="N2812" s="7" t="str">
        <f>HYPERLINK("E:\附赠：Excel模板\精美EXCEL模板\其他1000例\疾病预防控制中心工作人员基本情况.xls","疾病预防控制中心工作人员基本情况.xls")</f>
        <v>疾病预防控制中心工作人员基本情况.xls</v>
      </c>
      <c r="Q2812">
        <v>0.02</v>
      </c>
      <c r="R2812" s="7" t="str">
        <f t="shared" si="57"/>
        <v>E:\附赠：Excel模板\精美EXCEL模板\其他1000例</v>
      </c>
      <c r="S2812" s="9">
        <v>43600.3821643519</v>
      </c>
      <c r="T2812" s="9">
        <v>43390.5179166667</v>
      </c>
    </row>
    <row r="2813" spans="14:20">
      <c r="N2813" s="7" t="str">
        <f>HYPERLINK("E:\附赠：Excel模板\精美EXCEL模板\其他1000例\监测能力基本情况表.xls","监测能力基本情况表.xls")</f>
        <v>监测能力基本情况表.xls</v>
      </c>
      <c r="Q2813">
        <v>0.02</v>
      </c>
      <c r="R2813" s="7" t="str">
        <f t="shared" si="57"/>
        <v>E:\附赠：Excel模板\精美EXCEL模板\其他1000例</v>
      </c>
      <c r="S2813" s="9">
        <v>43600.3821643519</v>
      </c>
      <c r="T2813" s="9">
        <v>43390.5178935185</v>
      </c>
    </row>
    <row r="2814" spans="14:20">
      <c r="N2814" s="7" t="str">
        <f>HYPERLINK("E:\附赠：Excel模板\精美EXCEL模板\其他1000例\监测项目情况表.xls","监测项目情况表.xls")</f>
        <v>监测项目情况表.xls</v>
      </c>
      <c r="Q2814">
        <v>0.02</v>
      </c>
      <c r="R2814" s="7" t="str">
        <f t="shared" si="57"/>
        <v>E:\附赠：Excel模板\精美EXCEL模板\其他1000例</v>
      </c>
      <c r="S2814" s="9">
        <v>43600.3821643519</v>
      </c>
      <c r="T2814" s="9">
        <v>43390.5178935185</v>
      </c>
    </row>
    <row r="2815" spans="14:20">
      <c r="N2815" s="7" t="str">
        <f>HYPERLINK("E:\附赠：Excel模板\精美EXCEL模板\其他1000例\直接管理人员费用预算明细表.xls","直接管理人员费用预算明细表.xls")</f>
        <v>直接管理人员费用预算明细表.xls</v>
      </c>
      <c r="Q2815">
        <v>0.02</v>
      </c>
      <c r="R2815" s="7" t="str">
        <f t="shared" si="57"/>
        <v>E:\附赠：Excel模板\精美EXCEL模板\其他1000例</v>
      </c>
      <c r="S2815" s="9">
        <v>43600.3821643519</v>
      </c>
      <c r="T2815" s="9">
        <v>43390.5170601852</v>
      </c>
    </row>
    <row r="2816" spans="14:20">
      <c r="N2816" s="7" t="str">
        <f>HYPERLINK("E:\附赠：Excel模板\精美EXCEL模板\其他1000例\省 森林资源档案及GIS情况调查表.xls","省 森林资源档案及GIS情况调查表.xls")</f>
        <v>省 森林资源档案及GIS情况调查表.xls</v>
      </c>
      <c r="Q2816">
        <v>0.02</v>
      </c>
      <c r="R2816" s="7" t="str">
        <f t="shared" si="57"/>
        <v>E:\附赠：Excel模板\精美EXCEL模板\其他1000例</v>
      </c>
      <c r="S2816" s="9">
        <v>43600.3821643519</v>
      </c>
      <c r="T2816" s="9">
        <v>43390.5175462963</v>
      </c>
    </row>
    <row r="2817" spans="14:20">
      <c r="N2817" s="7" t="str">
        <f>HYPERLINK("E:\附赠：Excel模板\精美EXCEL模板\其他1000例\省“十一五”计划重大建设项目表.xls","省“十一五”计划重大建设项目表.xls")</f>
        <v>省“十一五”计划重大建设项目表.xls</v>
      </c>
      <c r="Q2817">
        <v>0.02</v>
      </c>
      <c r="R2817" s="7" t="str">
        <f t="shared" si="57"/>
        <v>E:\附赠：Excel模板\精美EXCEL模板\其他1000例</v>
      </c>
      <c r="S2817" s="9">
        <v>43600.3821643519</v>
      </c>
      <c r="T2817" s="9">
        <v>43390.5175462963</v>
      </c>
    </row>
    <row r="2818" spans="14:20">
      <c r="N2818" s="7" t="str">
        <f>HYPERLINK("E:\附赠：Excel模板\精美EXCEL模板\其他1000例\省“十一五”计划预备重大项目表.xls","省“十一五”计划预备重大项目表.xls")</f>
        <v>省“十一五”计划预备重大项目表.xls</v>
      </c>
      <c r="Q2818">
        <v>0.02</v>
      </c>
      <c r="R2818" s="7" t="str">
        <f t="shared" si="57"/>
        <v>E:\附赠：Excel模板\精美EXCEL模板\其他1000例</v>
      </c>
      <c r="S2818" s="9">
        <v>43600.3821643519</v>
      </c>
      <c r="T2818" s="9">
        <v>43390.5175462963</v>
      </c>
    </row>
    <row r="2819" spans="14:20">
      <c r="N2819" s="7" t="str">
        <f>HYPERLINK("E:\附赠：Excel模板\精美EXCEL模板\其他1000例\省二类调查基本情况调查表.xls","省二类调查基本情况调查表.xls")</f>
        <v>省二类调查基本情况调查表.xls</v>
      </c>
      <c r="Q2819">
        <v>0.02</v>
      </c>
      <c r="R2819" s="7" t="str">
        <f t="shared" si="57"/>
        <v>E:\附赠：Excel模板\精美EXCEL模板\其他1000例</v>
      </c>
      <c r="S2819" s="9">
        <v>43600.3821643519</v>
      </c>
      <c r="T2819" s="9">
        <v>43390.5175462963</v>
      </c>
    </row>
    <row r="2820" spans="14:20">
      <c r="N2820" s="7" t="str">
        <f>HYPERLINK("E:\附赠：Excel模板\精美EXCEL模板\其他1000例\省二类调查技术方法及遥感技术应用情况调查表.xls","省二类调查技术方法及遥感技术应用情况调查表.xls")</f>
        <v>省二类调查技术方法及遥感技术应用情况调查表.xls</v>
      </c>
      <c r="Q2820">
        <v>0.02</v>
      </c>
      <c r="R2820" s="7" t="str">
        <f t="shared" si="57"/>
        <v>E:\附赠：Excel模板\精美EXCEL模板\其他1000例</v>
      </c>
      <c r="S2820" s="9">
        <v>43600.3821643519</v>
      </c>
      <c r="T2820" s="9">
        <v>43390.5175462963</v>
      </c>
    </row>
    <row r="2821" spans="14:20">
      <c r="N2821" s="7" t="str">
        <f>HYPERLINK("E:\附赠：Excel模板\精美EXCEL模板\其他1000例\省二类调查投入及来源渠道调查表.xls","省二类调查投入及来源渠道调查表.xls")</f>
        <v>省二类调查投入及来源渠道调查表.xls</v>
      </c>
      <c r="Q2821">
        <v>0.02</v>
      </c>
      <c r="R2821" s="7" t="str">
        <f t="shared" si="57"/>
        <v>E:\附赠：Excel模板\精美EXCEL模板\其他1000例</v>
      </c>
      <c r="S2821" s="9">
        <v>43600.3821643519</v>
      </c>
      <c r="T2821" s="9">
        <v>43390.5175462963</v>
      </c>
    </row>
    <row r="2822" spans="14:20">
      <c r="N2822" s="7" t="str">
        <f>HYPERLINK("E:\附赠：Excel模板\精美EXCEL模板\其他1000例\省地矿行政管理表.xls","省地矿行政管理表.xls")</f>
        <v>省地矿行政管理表.xls</v>
      </c>
      <c r="Q2822">
        <v>0.02</v>
      </c>
      <c r="R2822" s="7" t="str">
        <f t="shared" si="57"/>
        <v>E:\附赠：Excel模板\精美EXCEL模板\其他1000例</v>
      </c>
      <c r="S2822" s="9">
        <v>43600.3821643519</v>
      </c>
      <c r="T2822" s="9">
        <v>43390.5175462963</v>
      </c>
    </row>
    <row r="2823" spans="14:20">
      <c r="N2823" s="7" t="str">
        <f>HYPERLINK("E:\附赠：Excel模板\精美EXCEL模板\其他1000例\省本级分月政府采购项目清单.xls","省本级分月政府采购项目清单.xls")</f>
        <v>省本级分月政府采购项目清单.xls</v>
      </c>
      <c r="Q2823">
        <v>0.02</v>
      </c>
      <c r="R2823" s="7" t="str">
        <f t="shared" si="57"/>
        <v>E:\附赠：Excel模板\精美EXCEL模板\其他1000例</v>
      </c>
      <c r="S2823" s="9">
        <v>43600.3821643519</v>
      </c>
      <c r="T2823" s="9">
        <v>43390.5175462963</v>
      </c>
    </row>
    <row r="2824" spans="14:20">
      <c r="N2824" s="7" t="str">
        <f>HYPERLINK("E:\附赠：Excel模板\精美EXCEL模板\其他1000例\省林业生态旅游区（点）开发建设情况汇总表.xls","省林业生态旅游区（点）开发建设情况汇总表.xls")</f>
        <v>省林业生态旅游区（点）开发建设情况汇总表.xls</v>
      </c>
      <c r="Q2824">
        <v>0.02</v>
      </c>
      <c r="R2824" s="7" t="str">
        <f t="shared" si="57"/>
        <v>E:\附赠：Excel模板\精美EXCEL模板\其他1000例</v>
      </c>
      <c r="S2824" s="9">
        <v>43600.3821643519</v>
      </c>
      <c r="T2824" s="9">
        <v>43390.5175231481</v>
      </c>
    </row>
    <row r="2825" spans="14:20">
      <c r="N2825" s="7" t="str">
        <f>HYPERLINK("E:\附赠：Excel模板\精美EXCEL模板\其他1000例\省直预算单位银行账户年检登记表.xls","省直预算单位银行账户年检登记表.xls")</f>
        <v>省直预算单位银行账户年检登记表.xls</v>
      </c>
      <c r="Q2825">
        <v>0.02</v>
      </c>
      <c r="R2825" s="7" t="str">
        <f t="shared" si="57"/>
        <v>E:\附赠：Excel模板\精美EXCEL模板\其他1000例</v>
      </c>
      <c r="S2825" s="9">
        <v>43600.3821643519</v>
      </c>
      <c r="T2825" s="9">
        <v>43390.5175231481</v>
      </c>
    </row>
    <row r="2826" spans="14:20">
      <c r="N2826" s="7" t="str">
        <f>HYPERLINK("E:\附赠：Excel模板\精美EXCEL模板\其他1000例\省级机关工作人员增减工资审批表.xls","省级机关工作人员增减工资审批表.xls")</f>
        <v>省级机关工作人员增减工资审批表.xls</v>
      </c>
      <c r="Q2826">
        <v>0.02</v>
      </c>
      <c r="R2826" s="7" t="str">
        <f t="shared" si="57"/>
        <v>E:\附赠：Excel模板\精美EXCEL模板\其他1000例</v>
      </c>
      <c r="S2826" s="9">
        <v>43600.3821643519</v>
      </c>
      <c r="T2826" s="9">
        <v>43390.5175462963</v>
      </c>
    </row>
    <row r="2827" spans="14:20">
      <c r="N2827" s="7" t="str">
        <f>HYPERLINK("E:\附赠：Excel模板\精美EXCEL模板\其他1000例\省级机关机构编制审核表.xls","省级机关机构编制审核表.xls")</f>
        <v>省级机关机构编制审核表.xls</v>
      </c>
      <c r="Q2827">
        <v>0.02</v>
      </c>
      <c r="R2827" s="7" t="str">
        <f t="shared" si="57"/>
        <v>E:\附赠：Excel模板\精美EXCEL模板\其他1000例</v>
      </c>
      <c r="S2827" s="9">
        <v>43600.3821643519</v>
      </c>
      <c r="T2827" s="9">
        <v>43390.5175231481</v>
      </c>
    </row>
    <row r="2828" spans="14:20">
      <c r="N2828" s="7" t="str">
        <f>HYPERLINK("E:\附赠：Excel模板\精美EXCEL模板\其他1000例\省级财政专项资金管理及拨付使用情况自查表.xls","省级财政专项资金管理及拨付使用情况自查表.xls")</f>
        <v>省级财政专项资金管理及拨付使用情况自查表.xls</v>
      </c>
      <c r="Q2828">
        <v>0.02</v>
      </c>
      <c r="R2828" s="7" t="str">
        <f t="shared" si="57"/>
        <v>E:\附赠：Excel模板\精美EXCEL模板\其他1000例</v>
      </c>
      <c r="S2828" s="9">
        <v>43600.3821643519</v>
      </c>
      <c r="T2828" s="9">
        <v>43390.5175462963</v>
      </c>
    </row>
    <row r="2829" spans="14:20">
      <c r="N2829" s="7" t="str">
        <f>HYPERLINK("E:\附赠：Excel模板\精美EXCEL模板\其他1000例\省级部门集中采购计划申请表.xls","省级部门集中采购计划申请表.xls")</f>
        <v>省级部门集中采购计划申请表.xls</v>
      </c>
      <c r="Q2829">
        <v>0.02</v>
      </c>
      <c r="R2829" s="7" t="str">
        <f t="shared" si="57"/>
        <v>E:\附赠：Excel模板\精美EXCEL模板\其他1000例</v>
      </c>
      <c r="S2829" s="9">
        <v>43600.3821643519</v>
      </c>
      <c r="T2829" s="9">
        <v>43390.5175462963</v>
      </c>
    </row>
    <row r="2830" spans="14:20">
      <c r="N2830" s="7" t="str">
        <f>HYPERLINK("E:\附赠：Excel模板\精美EXCEL模板\其他1000例\省邮政物流配送服务有限公司招聘岗位.xls","省邮政物流配送服务有限公司招聘岗位.xls")</f>
        <v>省邮政物流配送服务有限公司招聘岗位.xls</v>
      </c>
      <c r="Q2830">
        <v>0.02</v>
      </c>
      <c r="R2830" s="7" t="str">
        <f t="shared" si="57"/>
        <v>E:\附赠：Excel模板\精美EXCEL模板\其他1000例</v>
      </c>
      <c r="S2830" s="9">
        <v>43600.3821643519</v>
      </c>
      <c r="T2830" s="9">
        <v>43390.5175231481</v>
      </c>
    </row>
    <row r="2831" spans="14:20">
      <c r="N2831" s="7" t="str">
        <f>HYPERLINK("E:\附赠：Excel模板\精美EXCEL模板\其他1000例\知识产权宣传培训统计表.xls","知识产权宣传培训统计表.xls")</f>
        <v>知识产权宣传培训统计表.xls</v>
      </c>
      <c r="Q2831">
        <v>0.01</v>
      </c>
      <c r="R2831" s="7" t="str">
        <f t="shared" si="57"/>
        <v>E:\附赠：Excel模板\精美EXCEL模板\其他1000例</v>
      </c>
      <c r="S2831" s="9">
        <v>43600.3821643519</v>
      </c>
      <c r="T2831" s="9">
        <v>43390.5170833333</v>
      </c>
    </row>
    <row r="2832" spans="14:20">
      <c r="N2832" s="7" t="str">
        <f>HYPERLINK("E:\附赠：Excel模板\精美EXCEL模板\其他1000例\短期借款、长期借款明细表.xls","短期借款、长期借款明细表.xls")</f>
        <v>短期借款、长期借款明细表.xls</v>
      </c>
      <c r="Q2832">
        <v>0.02</v>
      </c>
      <c r="R2832" s="7" t="str">
        <f t="shared" si="57"/>
        <v>E:\附赠：Excel模板\精美EXCEL模板\其他1000例</v>
      </c>
      <c r="S2832" s="9">
        <v>43600.3821643519</v>
      </c>
      <c r="T2832" s="9">
        <v>43390.5181018518</v>
      </c>
    </row>
    <row r="2833" spans="14:20">
      <c r="N2833" s="7" t="str">
        <f>HYPERLINK("E:\附赠：Excel模板\精美EXCEL模板\其他1000例\短期投资明细表.xls","短期投资明细表.xls")</f>
        <v>短期投资明细表.xls</v>
      </c>
      <c r="Q2833">
        <v>0.02</v>
      </c>
      <c r="R2833" s="7" t="str">
        <f t="shared" si="57"/>
        <v>E:\附赠：Excel模板\精美EXCEL模板\其他1000例</v>
      </c>
      <c r="S2833" s="9">
        <v>43600.3821643519</v>
      </c>
      <c r="T2833" s="9">
        <v>43390.5181018518</v>
      </c>
    </row>
    <row r="2834" spans="14:20">
      <c r="N2834" s="7" t="str">
        <f>HYPERLINK("E:\附赠：Excel模板\精美EXCEL模板\其他1000例\矿产资源勘查登记项目情况表.xls","矿产资源勘查登记项目情况表.xls")</f>
        <v>矿产资源勘查登记项目情况表.xls</v>
      </c>
      <c r="Q2834">
        <v>0.03</v>
      </c>
      <c r="R2834" s="7" t="str">
        <f t="shared" si="57"/>
        <v>E:\附赠：Excel模板\精美EXCEL模板\其他1000例</v>
      </c>
      <c r="S2834" s="9">
        <v>43600.3821643519</v>
      </c>
      <c r="T2834" s="9">
        <v>43390.5177777778</v>
      </c>
    </row>
    <row r="2835" spans="14:20">
      <c r="N2835" s="7" t="str">
        <f>HYPERLINK("E:\附赠：Excel模板\精美EXCEL模板\其他1000例\研究生离校手续卡(备忘).xls","研究生离校手续卡(备忘).xls")</f>
        <v>研究生离校手续卡(备忘).xls</v>
      </c>
      <c r="Q2835">
        <v>0.02</v>
      </c>
      <c r="R2835" s="7" t="str">
        <f t="shared" si="57"/>
        <v>E:\附赠：Excel模板\精美EXCEL模板\其他1000例</v>
      </c>
      <c r="S2835" s="9">
        <v>43600.3821643519</v>
      </c>
      <c r="T2835" s="9">
        <v>43390.5171759259</v>
      </c>
    </row>
    <row r="2836" spans="14:20">
      <c r="N2836" s="7" t="str">
        <f>HYPERLINK("E:\附赠：Excel模板\精美EXCEL模板\其他1000例\研究生答辩安排.xls","研究生答辩安排.xls")</f>
        <v>研究生答辩安排.xls</v>
      </c>
      <c r="Q2836">
        <v>0.02</v>
      </c>
      <c r="R2836" s="7" t="str">
        <f t="shared" si="57"/>
        <v>E:\附赠：Excel模板\精美EXCEL模板\其他1000例</v>
      </c>
      <c r="S2836" s="9">
        <v>43600.3821643519</v>
      </c>
      <c r="T2836" s="9">
        <v>43390.5171759259</v>
      </c>
    </row>
    <row r="2837" spans="14:20">
      <c r="N2837" s="7" t="str">
        <f>HYPERLINK("E:\附赠：Excel模板\精美EXCEL模板\其他1000例\碩士在職進修專班課程結構規劃表.xls","碩士在職進修專班課程結構規劃表.xls")</f>
        <v>碩士在職進修專班課程結構規劃表.xls</v>
      </c>
      <c r="Q2837">
        <v>0.02</v>
      </c>
      <c r="R2837" s="7" t="str">
        <f t="shared" si="57"/>
        <v>E:\附赠：Excel模板\精美EXCEL模板\其他1000例</v>
      </c>
      <c r="S2837" s="9">
        <v>43600.3821643519</v>
      </c>
      <c r="T2837" s="9">
        <v>43390.5181712963</v>
      </c>
    </row>
    <row r="2838" spans="14:20">
      <c r="N2838" s="7" t="str">
        <f>HYPERLINK("E:\附赠：Excel模板\精美EXCEL模板\其他1000例\社会事业重点储备项目.xls","社会事业重点储备项目.xls")</f>
        <v>社会事业重点储备项目.xls</v>
      </c>
      <c r="Q2838">
        <v>0.01</v>
      </c>
      <c r="R2838" s="7" t="str">
        <f t="shared" si="57"/>
        <v>E:\附赠：Excel模板\精美EXCEL模板\其他1000例</v>
      </c>
      <c r="S2838" s="9">
        <v>43600.3821643519</v>
      </c>
      <c r="T2838" s="9">
        <v>43390.5175694444</v>
      </c>
    </row>
    <row r="2839" spans="14:20">
      <c r="N2839" s="7" t="str">
        <f>HYPERLINK("E:\附赠：Excel模板\精美EXCEL模板\其他1000例\社会保险工作量测算.xls","社会保险工作量测算.xls")</f>
        <v>社会保险工作量测算.xls</v>
      </c>
      <c r="Q2839">
        <v>0.02</v>
      </c>
      <c r="R2839" s="7" t="str">
        <f t="shared" si="57"/>
        <v>E:\附赠：Excel模板\精美EXCEL模板\其他1000例</v>
      </c>
      <c r="S2839" s="9">
        <v>43600.3821643519</v>
      </c>
      <c r="T2839" s="9">
        <v>43390.5175694444</v>
      </c>
    </row>
    <row r="2840" spans="14:20">
      <c r="N2840" s="7" t="str">
        <f>HYPERLINK("E:\附赠：Excel模板\精美EXCEL模板\其他1000例\社会保险金异地转入银行到帐明细表.xls","社会保险金异地转入银行到帐明细表.xls")</f>
        <v>社会保险金异地转入银行到帐明细表.xls</v>
      </c>
      <c r="Q2840">
        <v>0.03</v>
      </c>
      <c r="R2840" s="7" t="str">
        <f t="shared" si="57"/>
        <v>E:\附赠：Excel模板\精美EXCEL模板\其他1000例</v>
      </c>
      <c r="S2840" s="9">
        <v>43600.3821643519</v>
      </c>
      <c r="T2840" s="9">
        <v>43390.5175694444</v>
      </c>
    </row>
    <row r="2841" spans="14:20">
      <c r="N2841" s="7" t="str">
        <f>HYPERLINK("E:\附赠：Excel模板\精美EXCEL模板\其他1000例\社会发展基本情况统计表.xls","社会发展基本情况统计表.xls")</f>
        <v>社会发展基本情况统计表.xls</v>
      </c>
      <c r="Q2841">
        <v>0.04</v>
      </c>
      <c r="R2841" s="7" t="str">
        <f t="shared" si="57"/>
        <v>E:\附赠：Excel模板\精美EXCEL模板\其他1000例</v>
      </c>
      <c r="S2841" s="9">
        <v>43600.3821643519</v>
      </c>
      <c r="T2841" s="9">
        <v>43390.5175694444</v>
      </c>
    </row>
    <row r="2842" spans="14:20">
      <c r="N2842" s="7" t="str">
        <f>HYPERLINK("E:\附赠：Excel模板\精美EXCEL模板\其他1000例\社会团体分支、代表机构负责人基本情况表.xls","社会团体分支、代表机构负责人基本情况表.xls")</f>
        <v>社会团体分支、代表机构负责人基本情况表.xls</v>
      </c>
      <c r="Q2842">
        <v>0.02</v>
      </c>
      <c r="R2842" s="7" t="str">
        <f t="shared" si="57"/>
        <v>E:\附赠：Excel模板\精美EXCEL模板\其他1000例</v>
      </c>
      <c r="S2842" s="9">
        <v>43600.3821643519</v>
      </c>
      <c r="T2842" s="9">
        <v>43390.5175694444</v>
      </c>
    </row>
    <row r="2843" spans="14:20">
      <c r="N2843" s="7" t="str">
        <f>HYPERLINK("E:\附赠：Excel模板\精美EXCEL模板\其他1000例\社会团体年度检查报告书.xls","社会团体年度检查报告书.xls")</f>
        <v>社会团体年度检查报告书.xls</v>
      </c>
      <c r="Q2843">
        <v>0.02</v>
      </c>
      <c r="R2843" s="7" t="str">
        <f t="shared" si="57"/>
        <v>E:\附赠：Excel模板\精美EXCEL模板\其他1000例</v>
      </c>
      <c r="S2843" s="9">
        <v>43600.3821643519</v>
      </c>
      <c r="T2843" s="9">
        <v>43390.5175694444</v>
      </c>
    </row>
    <row r="2844" spans="14:20">
      <c r="N2844" s="7" t="str">
        <f>HYPERLINK("E:\附赠：Excel模板\精美EXCEL模板\其他1000例\社保户管理范围调整表.xls","社保户管理范围调整表.xls")</f>
        <v>社保户管理范围调整表.xls</v>
      </c>
      <c r="Q2844">
        <v>0.04</v>
      </c>
      <c r="R2844" s="7" t="str">
        <f t="shared" si="57"/>
        <v>E:\附赠：Excel模板\精美EXCEL模板\其他1000例</v>
      </c>
      <c r="S2844" s="9">
        <v>43600.3821643519</v>
      </c>
      <c r="T2844" s="9">
        <v>43390.5175694444</v>
      </c>
    </row>
    <row r="2845" spans="14:20">
      <c r="N2845" s="7" t="str">
        <f>HYPERLINK("E:\附赠：Excel模板\精美EXCEL模板\其他1000例\社区健康服务中心情况汇总表.xls","社区健康服务中心情况汇总表.xls")</f>
        <v>社区健康服务中心情况汇总表.xls</v>
      </c>
      <c r="Q2845">
        <v>0.02</v>
      </c>
      <c r="R2845" s="7" t="str">
        <f t="shared" si="57"/>
        <v>E:\附赠：Excel模板\精美EXCEL模板\其他1000例</v>
      </c>
      <c r="S2845" s="9">
        <v>43600.3821643519</v>
      </c>
      <c r="T2845" s="9">
        <v>43390.5175694444</v>
      </c>
    </row>
    <row r="2846" spans="14:20">
      <c r="N2846" s="7" t="str">
        <f>HYPERLINK("E:\附赠：Excel模板\精美EXCEL模板\其他1000例\神奇万年历.xls","神奇万年历.xls")</f>
        <v>神奇万年历.xls</v>
      </c>
      <c r="Q2846">
        <v>0.22</v>
      </c>
      <c r="R2846" s="7" t="str">
        <f t="shared" si="57"/>
        <v>E:\附赠：Excel模板\精美EXCEL模板\其他1000例</v>
      </c>
      <c r="S2846" s="9">
        <v>43600.3821643519</v>
      </c>
      <c r="T2846" s="9">
        <v>43390.5175462963</v>
      </c>
    </row>
    <row r="2847" spans="14:20">
      <c r="N2847" s="7" t="str">
        <f>HYPERLINK("E:\附赠：Excel模板\精美EXCEL模板\其他1000例\福彩机选模版.xls","福彩机选模版.xls")</f>
        <v>福彩机选模版.xls</v>
      </c>
      <c r="Q2847">
        <v>0.03</v>
      </c>
      <c r="R2847" s="7" t="str">
        <f t="shared" si="57"/>
        <v>E:\附赠：Excel模板\精美EXCEL模板\其他1000例</v>
      </c>
      <c r="S2847" s="9">
        <v>43600.3821643519</v>
      </c>
      <c r="T2847" s="9">
        <v>43390.5180555556</v>
      </c>
    </row>
    <row r="2848" spans="14:20">
      <c r="N2848" s="7" t="str">
        <f>HYPERLINK("E:\附赠：Excel模板\精美EXCEL模板\其他1000例\离职人员统计表.xls","离职人员统计表.xls")</f>
        <v>离职人员统计表.xls</v>
      </c>
      <c r="Q2848">
        <v>0.02</v>
      </c>
      <c r="R2848" s="7" t="str">
        <f t="shared" si="57"/>
        <v>E:\附赠：Excel模板\精美EXCEL模板\其他1000例</v>
      </c>
      <c r="S2848" s="9">
        <v>43600.3821643519</v>
      </c>
      <c r="T2848" s="9">
        <v>43390.5177777778</v>
      </c>
    </row>
    <row r="2849" spans="14:20">
      <c r="N2849" s="7" t="str">
        <f>HYPERLINK("E:\附赠：Excel模板\精美EXCEL模板\其他1000例\离退休人员名册.xls","离退休人员名册.xls")</f>
        <v>离退休人员名册.xls</v>
      </c>
      <c r="Q2849">
        <v>0.01</v>
      </c>
      <c r="R2849" s="7" t="str">
        <f t="shared" si="57"/>
        <v>E:\附赠：Excel模板\精美EXCEL模板\其他1000例</v>
      </c>
      <c r="S2849" s="9">
        <v>43600.3821643519</v>
      </c>
      <c r="T2849" s="9">
        <v>43390.5177777778</v>
      </c>
    </row>
    <row r="2850" spans="14:20">
      <c r="N2850" s="7" t="str">
        <f>HYPERLINK("E:\附赠：Excel模板\精美EXCEL模板\其他1000例\科研服务教学统计表样表.xls","科研服务教学统计表样表.xls")</f>
        <v>科研服务教学统计表样表.xls</v>
      </c>
      <c r="Q2850">
        <v>0.03</v>
      </c>
      <c r="R2850" s="7" t="str">
        <f t="shared" si="57"/>
        <v>E:\附赠：Excel模板\精美EXCEL模板\其他1000例</v>
      </c>
      <c r="S2850" s="9">
        <v>43600.3821643519</v>
      </c>
      <c r="T2850" s="9">
        <v>43390.5178009259</v>
      </c>
    </row>
    <row r="2851" spans="14:20">
      <c r="N2851" s="7" t="str">
        <f>HYPERLINK("E:\附赠：Excel模板\精美EXCEL模板\其他1000例\租金及其他收入明细表.xls","租金及其他收入明细表.xls")</f>
        <v>租金及其他收入明细表.xls</v>
      </c>
      <c r="Q2851">
        <v>0.02</v>
      </c>
      <c r="R2851" s="7" t="str">
        <f t="shared" si="57"/>
        <v>E:\附赠：Excel模板\精美EXCEL模板\其他1000例</v>
      </c>
      <c r="S2851" s="9">
        <v>43600.3821643519</v>
      </c>
      <c r="T2851" s="9">
        <v>43390.5169675926</v>
      </c>
    </row>
    <row r="2852" spans="14:20">
      <c r="N2852" s="7" t="str">
        <f>HYPERLINK("E:\附赠：Excel模板\精美EXCEL模板\其他1000例\税费负担及社会性支出情况表.xls","税费负担及社会性支出情况表.xls")</f>
        <v>税费负担及社会性支出情况表.xls</v>
      </c>
      <c r="Q2852">
        <v>0.01</v>
      </c>
      <c r="R2852" s="7" t="str">
        <f t="shared" si="57"/>
        <v>E:\附赠：Excel模板\精美EXCEL模板\其他1000例</v>
      </c>
      <c r="S2852" s="9">
        <v>43600.3821643519</v>
      </c>
      <c r="T2852" s="9">
        <v>43390.5174305556</v>
      </c>
    </row>
    <row r="2853" spans="14:20">
      <c r="N2853" s="7" t="str">
        <f>HYPERLINK("E:\附赠：Excel模板\精美EXCEL模板\其他1000例\符合主讲教师资格（具有硕士或讲师）的教师名册.xls","符合主讲教师资格（具有硕士或讲师）的教师名册.xls")</f>
        <v>符合主讲教师资格（具有硕士或讲师）的教师名册.xls</v>
      </c>
      <c r="Q2853">
        <v>0.02</v>
      </c>
      <c r="R2853" s="7" t="str">
        <f t="shared" si="57"/>
        <v>E:\附赠：Excel模板\精美EXCEL模板\其他1000例</v>
      </c>
      <c r="S2853" s="9">
        <v>43600.3821643519</v>
      </c>
      <c r="T2853" s="9">
        <v>43390.5180555556</v>
      </c>
    </row>
    <row r="2854" spans="14:20">
      <c r="N2854" s="7" t="str">
        <f>HYPERLINK("E:\附赠：Excel模板\精美EXCEL模板\其他1000例\答辩时间安排表.xls","答辩时间安排表.xls")</f>
        <v>答辩时间安排表.xls</v>
      </c>
      <c r="Q2854">
        <v>0.02</v>
      </c>
      <c r="R2854" s="7" t="str">
        <f t="shared" si="57"/>
        <v>E:\附赠：Excel模板\精美EXCEL模板\其他1000例</v>
      </c>
      <c r="S2854" s="9">
        <v>43600.3821643519</v>
      </c>
      <c r="T2854" s="9">
        <v>43390.5181712963</v>
      </c>
    </row>
    <row r="2855" spans="14:20">
      <c r="N2855" s="7" t="str">
        <f>HYPERLINK("E:\附赠：Excel模板\精美EXCEL模板\其他1000例\管理制度一览表.xls","管理制度一览表.xls")</f>
        <v>管理制度一览表.xls</v>
      </c>
      <c r="Q2855">
        <v>0.01</v>
      </c>
      <c r="R2855" s="7" t="str">
        <f t="shared" si="57"/>
        <v>E:\附赠：Excel模板\精美EXCEL模板\其他1000例</v>
      </c>
      <c r="S2855" s="9">
        <v>43600.3821643519</v>
      </c>
      <c r="T2855" s="9">
        <v>43390.5179861111</v>
      </c>
    </row>
    <row r="2856" spans="14:20">
      <c r="N2856" s="7" t="str">
        <f>HYPERLINK("E:\附赠：Excel模板\精美EXCEL模板\其他1000例\管理费用及财务费用预算表.xls","管理费用及财务费用预算表.xls")</f>
        <v>管理费用及财务费用预算表.xls</v>
      </c>
      <c r="Q2856">
        <v>0.02</v>
      </c>
      <c r="R2856" s="7" t="str">
        <f t="shared" si="57"/>
        <v>E:\附赠：Excel模板\精美EXCEL模板\其他1000例</v>
      </c>
      <c r="S2856" s="9">
        <v>43600.3821643519</v>
      </c>
      <c r="T2856" s="9">
        <v>43390.5179861111</v>
      </c>
    </row>
    <row r="2857" spans="14:20">
      <c r="N2857" s="7" t="str">
        <f>HYPERLINK("E:\附赠：Excel模板\精美EXCEL模板\其他1000例\管理，信管，国贸论文题目.xls","管理，信管，国贸论文题目.xls")</f>
        <v>管理，信管，国贸论文题目.xls</v>
      </c>
      <c r="Q2857">
        <v>0.04</v>
      </c>
      <c r="R2857" s="7" t="str">
        <f t="shared" si="57"/>
        <v>E:\附赠：Excel模板\精美EXCEL模板\其他1000例</v>
      </c>
      <c r="S2857" s="9">
        <v>43600.3821643519</v>
      </c>
      <c r="T2857" s="9">
        <v>43390.5179861111</v>
      </c>
    </row>
    <row r="2858" spans="14:20">
      <c r="N2858" s="7" t="str">
        <f>HYPERLINK("E:\附赠：Excel模板\精美EXCEL模板\其他1000例\粮食增产工程项目统计表.xls","粮食增产工程项目统计表.xls")</f>
        <v>粮食增产工程项目统计表.xls</v>
      </c>
      <c r="Q2858">
        <v>0.02</v>
      </c>
      <c r="R2858" s="7" t="str">
        <f t="shared" si="57"/>
        <v>E:\附赠：Excel模板\精美EXCEL模板\其他1000例</v>
      </c>
      <c r="S2858" s="9">
        <v>43600.3821643519</v>
      </c>
      <c r="T2858" s="9">
        <v>43390.5177546296</v>
      </c>
    </row>
    <row r="2859" spans="14:20">
      <c r="N2859" s="7" t="str">
        <f>HYPERLINK("E:\附赠：Excel模板\精美EXCEL模板\其他1000例\系统干部名册.xls","系统干部名册.xls")</f>
        <v>系统干部名册.xls</v>
      </c>
      <c r="Q2859">
        <v>0.02</v>
      </c>
      <c r="R2859" s="7" t="str">
        <f t="shared" si="57"/>
        <v>E:\附赠：Excel模板\精美EXCEL模板\其他1000例</v>
      </c>
      <c r="S2859" s="9">
        <v>43600.3821643519</v>
      </c>
      <c r="T2859" s="9">
        <v>43390.5173611111</v>
      </c>
    </row>
    <row r="2860" spans="14:20">
      <c r="N2860" s="7" t="str">
        <f>HYPERLINK("E:\附赠：Excel模板\精美EXCEL模板\其他1000例\累积资金结算指数计算表.xls","累积资金结算指数计算表.xls")</f>
        <v>累积资金结算指数计算表.xls</v>
      </c>
      <c r="Q2860">
        <v>0.02</v>
      </c>
      <c r="R2860" s="7" t="str">
        <f t="shared" si="57"/>
        <v>E:\附赠：Excel模板\精美EXCEL模板\其他1000例</v>
      </c>
      <c r="S2860" s="9">
        <v>43600.3821643519</v>
      </c>
      <c r="T2860" s="9">
        <v>43390.5177777778</v>
      </c>
    </row>
    <row r="2861" spans="14:20">
      <c r="N2861" s="7" t="str">
        <f>HYPERLINK("E:\附赠：Excel模板\精美EXCEL模板\其他1000例\纳入预算管理的政府性基金收支表.xls","纳入预算管理的政府性基金收支表.xls")</f>
        <v>纳入预算管理的政府性基金收支表.xls</v>
      </c>
      <c r="Q2861">
        <v>0.02</v>
      </c>
      <c r="R2861" s="7" t="str">
        <f t="shared" si="57"/>
        <v>E:\附赠：Excel模板\精美EXCEL模板\其他1000例</v>
      </c>
      <c r="S2861" s="9">
        <v>43600.3821643519</v>
      </c>
      <c r="T2861" s="9">
        <v>43390.5177314815</v>
      </c>
    </row>
    <row r="2862" spans="14:20">
      <c r="N2862" s="7" t="str">
        <f>HYPERLINK("E:\附赠：Excel模板\精美EXCEL模板\其他1000例\纳税人实际经营情况及印模备案表.xls","纳税人实际经营情况及印模备案表.xls")</f>
        <v>纳税人实际经营情况及印模备案表.xls</v>
      </c>
      <c r="Q2862">
        <v>0.01</v>
      </c>
      <c r="R2862" s="7" t="str">
        <f t="shared" si="57"/>
        <v>E:\附赠：Excel模板\精美EXCEL模板\其他1000例</v>
      </c>
      <c r="S2862" s="9">
        <v>43600.3821643519</v>
      </c>
      <c r="T2862" s="9">
        <v>43390.5177314815</v>
      </c>
    </row>
    <row r="2863" spans="14:20">
      <c r="N2863" s="7" t="str">
        <f>HYPERLINK("E:\附赠：Excel模板\精美EXCEL模板\其他1000例\纳税人实际经营情况及印模备案表2.xls","纳税人实际经营情况及印模备案表2.xls")</f>
        <v>纳税人实际经营情况及印模备案表2.xls</v>
      </c>
      <c r="Q2863">
        <v>0.01</v>
      </c>
      <c r="R2863" s="7" t="str">
        <f t="shared" si="57"/>
        <v>E:\附赠：Excel模板\精美EXCEL模板\其他1000例</v>
      </c>
      <c r="S2863" s="9">
        <v>43600.3821643519</v>
      </c>
      <c r="T2863" s="9">
        <v>43390.5177314815</v>
      </c>
    </row>
    <row r="2864" spans="14:20">
      <c r="N2864" s="7" t="str">
        <f>HYPERLINK("E:\附赠：Excel模板\精美EXCEL模板\其他1000例\经济困难学生调查明细表.xls","经济困难学生调查明细表.xls")</f>
        <v>经济困难学生调查明细表.xls</v>
      </c>
      <c r="Q2864">
        <v>0.02</v>
      </c>
      <c r="R2864" s="7" t="str">
        <f t="shared" si="57"/>
        <v>E:\附赠：Excel模板\精美EXCEL模板\其他1000例</v>
      </c>
      <c r="S2864" s="9">
        <v>43600.3821643519</v>
      </c>
      <c r="T2864" s="9">
        <v>43390.5178240741</v>
      </c>
    </row>
    <row r="2865" spans="14:20">
      <c r="N2865" s="7" t="str">
        <f>HYPERLINK("E:\附赠：Excel模板\精美EXCEL模板\其他1000例\经济困难家庭子女减免费入学汇总表.xls","经济困难家庭子女减免费入学汇总表.xls")</f>
        <v>经济困难家庭子女减免费入学汇总表.xls</v>
      </c>
      <c r="Q2865">
        <v>0.02</v>
      </c>
      <c r="R2865" s="7" t="str">
        <f t="shared" si="57"/>
        <v>E:\附赠：Excel模板\精美EXCEL模板\其他1000例</v>
      </c>
      <c r="S2865" s="9">
        <v>43600.3821643519</v>
      </c>
      <c r="T2865" s="9">
        <v>43390.5178240741</v>
      </c>
    </row>
    <row r="2866" spans="14:20">
      <c r="N2866" s="7" t="str">
        <f>HYPERLINK("E:\附赠：Excel模板\精美EXCEL模板\其他1000例\经济技术合作项目登记表.xls","经济技术合作项目登记表.xls")</f>
        <v>经济技术合作项目登记表.xls</v>
      </c>
      <c r="Q2866">
        <v>0.02</v>
      </c>
      <c r="R2866" s="7" t="str">
        <f t="shared" si="57"/>
        <v>E:\附赠：Excel模板\精美EXCEL模板\其他1000例</v>
      </c>
      <c r="S2866" s="9">
        <v>43600.3821643519</v>
      </c>
      <c r="T2866" s="9">
        <v>43390.5178240741</v>
      </c>
    </row>
    <row r="2867" spans="14:20">
      <c r="N2867" s="7" t="str">
        <f>HYPERLINK("E:\附赠：Excel模板\精美EXCEL模板\其他1000例\经济普查试点普查表填报范围一览表.xls","经济普查试点普查表填报范围一览表.xls")</f>
        <v>经济普查试点普查表填报范围一览表.xls</v>
      </c>
      <c r="Q2867">
        <v>0.03</v>
      </c>
      <c r="R2867" s="7" t="str">
        <f t="shared" si="57"/>
        <v>E:\附赠：Excel模板\精美EXCEL模板\其他1000例</v>
      </c>
      <c r="S2867" s="9">
        <v>43600.3821643519</v>
      </c>
      <c r="T2867" s="9">
        <v>43390.5178240741</v>
      </c>
    </row>
    <row r="2868" spans="14:20">
      <c r="N2868" s="7" t="str">
        <f>HYPERLINK("E:\附赠：Excel模板\精美EXCEL模板\其他1000例\经济普查试点普查表填报范围一览表2.xls","经济普查试点普查表填报范围一览表2.xls")</f>
        <v>经济普查试点普查表填报范围一览表2.xls</v>
      </c>
      <c r="Q2868">
        <v>0.03</v>
      </c>
      <c r="R2868" s="7" t="str">
        <f t="shared" si="57"/>
        <v>E:\附赠：Excel模板\精美EXCEL模板\其他1000例</v>
      </c>
      <c r="S2868" s="9">
        <v>43600.3821643519</v>
      </c>
      <c r="T2868" s="9">
        <v>43390.5178240741</v>
      </c>
    </row>
    <row r="2869" spans="14:20">
      <c r="N2869" s="7" t="str">
        <f>HYPERLINK("E:\附赠：Excel模板\精美EXCEL模板\其他1000例\经营情况表.xls","经营情况表.xls")</f>
        <v>经营情况表.xls</v>
      </c>
      <c r="Q2869">
        <v>0.02</v>
      </c>
      <c r="R2869" s="7" t="str">
        <f t="shared" si="57"/>
        <v>E:\附赠：Excel模板\精美EXCEL模板\其他1000例</v>
      </c>
      <c r="S2869" s="9">
        <v>43600.3821643519</v>
      </c>
      <c r="T2869" s="9">
        <v>43390.5178240741</v>
      </c>
    </row>
    <row r="2870" spans="14:20">
      <c r="N2870" s="7" t="str">
        <f>HYPERLINK("E:\附赠：Excel模板\精美EXCEL模板\其他1000例\经费（事业、经营）支出明细表.xls","经费（事业、经营）支出明细表.xls")</f>
        <v>经费（事业、经营）支出明细表.xls</v>
      </c>
      <c r="Q2870">
        <v>0.02</v>
      </c>
      <c r="R2870" s="7" t="str">
        <f t="shared" si="57"/>
        <v>E:\附赠：Excel模板\精美EXCEL模板\其他1000例</v>
      </c>
      <c r="S2870" s="9">
        <v>43600.3821643519</v>
      </c>
      <c r="T2870" s="9">
        <v>43390.5178240741</v>
      </c>
    </row>
    <row r="2871" spans="14:20">
      <c r="N2871" s="7" t="str">
        <f>HYPERLINK("E:\附赠：Excel模板\精美EXCEL模板\其他1000例\结构分析表.xls","结构分析表.xls")</f>
        <v>结构分析表.xls</v>
      </c>
      <c r="Q2871">
        <v>0.02</v>
      </c>
      <c r="R2871" s="7" t="str">
        <f t="shared" si="57"/>
        <v>E:\附赠：Excel模板\精美EXCEL模板\其他1000例</v>
      </c>
      <c r="S2871" s="9">
        <v>43600.3821643519</v>
      </c>
      <c r="T2871" s="9">
        <v>43390.5178472222</v>
      </c>
    </row>
    <row r="2872" spans="14:20">
      <c r="N2872" s="7" t="str">
        <f>HYPERLINK("E:\附赠：Excel模板\精美EXCEL模板\其他1000例\统计财务科固定报表目录.xls","统计财务科固定报表目录.xls")</f>
        <v>统计财务科固定报表目录.xls</v>
      </c>
      <c r="Q2872">
        <v>0.02</v>
      </c>
      <c r="R2872" s="7" t="str">
        <f t="shared" si="57"/>
        <v>E:\附赠：Excel模板\精美EXCEL模板\其他1000例</v>
      </c>
      <c r="S2872" s="9">
        <v>43600.3821643519</v>
      </c>
      <c r="T2872" s="9">
        <v>43390.5174305556</v>
      </c>
    </row>
    <row r="2873" spans="14:20">
      <c r="N2873" s="7" t="str">
        <f>HYPERLINK("E:\附赠：Excel模板\精美EXCEL模板\其他1000例\绩效基本情况表1.xls","绩效基本情况表1.xls")</f>
        <v>绩效基本情况表1.xls</v>
      </c>
      <c r="Q2873">
        <v>0.02</v>
      </c>
      <c r="R2873" s="7" t="str">
        <f t="shared" si="57"/>
        <v>E:\附赠：Excel模板\精美EXCEL模板\其他1000例</v>
      </c>
      <c r="S2873" s="9">
        <v>43600.3821643519</v>
      </c>
      <c r="T2873" s="9">
        <v>43390.5179166667</v>
      </c>
    </row>
    <row r="2874" spans="14:20">
      <c r="N2874" s="7" t="str">
        <f>HYPERLINK("E:\附赠：Excel模板\精美EXCEL模板\其他1000例\绩效基本情况表2.xls","绩效基本情况表2.xls")</f>
        <v>绩效基本情况表2.xls</v>
      </c>
      <c r="Q2874">
        <v>0.02</v>
      </c>
      <c r="R2874" s="7" t="str">
        <f t="shared" si="57"/>
        <v>E:\附赠：Excel模板\精美EXCEL模板\其他1000例</v>
      </c>
      <c r="S2874" s="9">
        <v>43600.3821643519</v>
      </c>
      <c r="T2874" s="9">
        <v>43390.5179166667</v>
      </c>
    </row>
    <row r="2875" spans="14:20">
      <c r="N2875" s="7" t="str">
        <f>HYPERLINK("E:\附赠：Excel模板\精美EXCEL模板\其他1000例\绩效指标表.xls","绩效指标表.xls")</f>
        <v>绩效指标表.xls</v>
      </c>
      <c r="Q2875">
        <v>0.02</v>
      </c>
      <c r="R2875" s="7" t="str">
        <f t="shared" ref="R2875:R2938" si="58">HYPERLINK("E:\附赠：Excel模板\精美EXCEL模板\其他1000例","E:\附赠：Excel模板\精美EXCEL模板\其他1000例")</f>
        <v>E:\附赠：Excel模板\精美EXCEL模板\其他1000例</v>
      </c>
      <c r="S2875" s="9">
        <v>43600.3821643519</v>
      </c>
      <c r="T2875" s="9">
        <v>43390.5179166667</v>
      </c>
    </row>
    <row r="2876" spans="14:20">
      <c r="N2876" s="7" t="str">
        <f>HYPERLINK("E:\附赠：Excel模板\精美EXCEL模板\其他1000例\网上出口商品库登记表.xls","网上出口商品库登记表.xls")</f>
        <v>网上出口商品库登记表.xls</v>
      </c>
      <c r="Q2876">
        <v>0.02</v>
      </c>
      <c r="R2876" s="7" t="str">
        <f t="shared" si="58"/>
        <v>E:\附赠：Excel模板\精美EXCEL模板\其他1000例</v>
      </c>
      <c r="S2876" s="9">
        <v>43600.3821643519</v>
      </c>
      <c r="T2876" s="9">
        <v>43390.5173842593</v>
      </c>
    </row>
    <row r="2877" spans="14:20">
      <c r="N2877" s="7" t="str">
        <f>HYPERLINK("E:\附赠：Excel模板\精美EXCEL模板\其他1000例\美容美发经营情况明细表.xls","美容美发经营情况明细表.xls")</f>
        <v>美容美发经营情况明细表.xls</v>
      </c>
      <c r="Q2877">
        <v>0.02</v>
      </c>
      <c r="R2877" s="7" t="str">
        <f t="shared" si="58"/>
        <v>E:\附赠：Excel模板\精美EXCEL模板\其他1000例</v>
      </c>
      <c r="S2877" s="9">
        <v>43600.3821643519</v>
      </c>
      <c r="T2877" s="9">
        <v>43390.5177314815</v>
      </c>
    </row>
    <row r="2878" spans="14:20">
      <c r="N2878" s="7" t="str">
        <f>HYPERLINK("E:\附赠：Excel模板\精美EXCEL模板\其他1000例\老条款车贷险业务统计表.xls","老条款车贷险业务统计表.xls")</f>
        <v>老条款车贷险业务统计表.xls</v>
      </c>
      <c r="Q2878">
        <v>0.02</v>
      </c>
      <c r="R2878" s="7" t="str">
        <f t="shared" si="58"/>
        <v>E:\附赠：Excel模板\精美EXCEL模板\其他1000例</v>
      </c>
      <c r="S2878" s="9">
        <v>43600.3821643519</v>
      </c>
      <c r="T2878" s="9">
        <v>43390.5177777778</v>
      </c>
    </row>
    <row r="2879" spans="14:20">
      <c r="N2879" s="7" t="str">
        <f>HYPERLINK("E:\附赠：Excel模板\精美EXCEL模板\其他1000例\职业介绍工作情况表.xls","职业介绍工作情况表.xls")</f>
        <v>职业介绍工作情况表.xls</v>
      </c>
      <c r="Q2879">
        <v>0.02</v>
      </c>
      <c r="R2879" s="7" t="str">
        <f t="shared" si="58"/>
        <v>E:\附赠：Excel模板\精美EXCEL模板\其他1000例</v>
      </c>
      <c r="S2879" s="9">
        <v>43600.3821643519</v>
      </c>
      <c r="T2879" s="9">
        <v>43390.5170601852</v>
      </c>
    </row>
    <row r="2880" spans="14:20">
      <c r="N2880" s="7" t="str">
        <f>HYPERLINK("E:\附赠：Excel模板\精美EXCEL模板\其他1000例\职位申请人履历表.xls","职位申请人履历表.xls")</f>
        <v>职位申请人履历表.xls</v>
      </c>
      <c r="Q2880">
        <v>0.02</v>
      </c>
      <c r="R2880" s="7" t="str">
        <f t="shared" si="58"/>
        <v>E:\附赠：Excel模板\精美EXCEL模板\其他1000例</v>
      </c>
      <c r="S2880" s="9">
        <v>43600.3821643519</v>
      </c>
      <c r="T2880" s="9">
        <v>43390.5170601852</v>
      </c>
    </row>
    <row r="2881" spans="14:20">
      <c r="N2881" s="7" t="str">
        <f>HYPERLINK("E:\附赠：Excel模板\精美EXCEL模板\其他1000例\职务任免审批表.xls","职务任免审批表.xls")</f>
        <v>职务任免审批表.xls</v>
      </c>
      <c r="Q2881">
        <v>0.02</v>
      </c>
      <c r="R2881" s="7" t="str">
        <f t="shared" si="58"/>
        <v>E:\附赠：Excel模板\精美EXCEL模板\其他1000例</v>
      </c>
      <c r="S2881" s="9">
        <v>43600.3821643519</v>
      </c>
      <c r="T2881" s="9">
        <v>43390.5170601852</v>
      </c>
    </row>
    <row r="2882" spans="14:20">
      <c r="N2882" s="7" t="str">
        <f>HYPERLINK("E:\附赠：Excel模板\精美EXCEL模板\其他1000例\职员招聘考生报名表.xls","职员招聘考生报名表.xls")</f>
        <v>职员招聘考生报名表.xls</v>
      </c>
      <c r="Q2882">
        <v>0.02</v>
      </c>
      <c r="R2882" s="7" t="str">
        <f t="shared" si="58"/>
        <v>E:\附赠：Excel模板\精美EXCEL模板\其他1000例</v>
      </c>
      <c r="S2882" s="9">
        <v>43600.3821643519</v>
      </c>
      <c r="T2882" s="9">
        <v>43390.5170601852</v>
      </c>
    </row>
    <row r="2883" spans="14:20">
      <c r="N2883" s="7" t="str">
        <f>HYPERLINK("E:\附赠：Excel模板\精美EXCEL模板\其他1000例\职工人数增加减少情况.xls","职工人数增加减少情况.xls")</f>
        <v>职工人数增加减少情况.xls</v>
      </c>
      <c r="Q2883">
        <v>0.02</v>
      </c>
      <c r="R2883" s="7" t="str">
        <f t="shared" si="58"/>
        <v>E:\附赠：Excel模板\精美EXCEL模板\其他1000例</v>
      </c>
      <c r="S2883" s="9">
        <v>43600.3821643519</v>
      </c>
      <c r="T2883" s="9">
        <v>43390.5170833333</v>
      </c>
    </row>
    <row r="2884" spans="14:20">
      <c r="N2884" s="7" t="str">
        <f>HYPERLINK("E:\附赠：Excel模板\精美EXCEL模板\其他1000例\职工养老保险情况调查表.xls","职工养老保险情况调查表.xls")</f>
        <v>职工养老保险情况调查表.xls</v>
      </c>
      <c r="Q2884">
        <v>0.02</v>
      </c>
      <c r="R2884" s="7" t="str">
        <f t="shared" si="58"/>
        <v>E:\附赠：Excel模板\精美EXCEL模板\其他1000例</v>
      </c>
      <c r="S2884" s="9">
        <v>43600.3821643519</v>
      </c>
      <c r="T2884" s="9">
        <v>43390.5170833333</v>
      </c>
    </row>
    <row r="2885" spans="14:20">
      <c r="N2885" s="7" t="str">
        <f>HYPERLINK("E:\附赠：Excel模板\精美EXCEL模板\其他1000例\股份有限公司会计科目一览表.xls","股份有限公司会计科目一览表.xls")</f>
        <v>股份有限公司会计科目一览表.xls</v>
      </c>
      <c r="Q2885">
        <v>0.05</v>
      </c>
      <c r="R2885" s="7" t="str">
        <f t="shared" si="58"/>
        <v>E:\附赠：Excel模板\精美EXCEL模板\其他1000例</v>
      </c>
      <c r="S2885" s="9">
        <v>43600.3821643519</v>
      </c>
      <c r="T2885" s="9">
        <v>43390.5180092593</v>
      </c>
    </row>
    <row r="2886" spans="14:20">
      <c r="N2886" s="7" t="str">
        <f>HYPERLINK("E:\附赠：Excel模板\精美EXCEL模板\其他1000例\股份有限公司本月份业务资料.xls","股份有限公司本月份业务资料.xls")</f>
        <v>股份有限公司本月份业务资料.xls</v>
      </c>
      <c r="Q2886">
        <v>0.02</v>
      </c>
      <c r="R2886" s="7" t="str">
        <f t="shared" si="58"/>
        <v>E:\附赠：Excel模板\精美EXCEL模板\其他1000例</v>
      </c>
      <c r="S2886" s="9">
        <v>43600.3821643519</v>
      </c>
      <c r="T2886" s="9">
        <v>43390.5180092593</v>
      </c>
    </row>
    <row r="2887" spans="14:20">
      <c r="N2887" s="7" t="str">
        <f>HYPERLINK("E:\附赠：Excel模板\精美EXCEL模板\其他1000例\股份有限公司結構分析表.xls","股份有限公司結構分析表.xls")</f>
        <v>股份有限公司結構分析表.xls</v>
      </c>
      <c r="Q2887">
        <v>0.03</v>
      </c>
      <c r="R2887" s="7" t="str">
        <f t="shared" si="58"/>
        <v>E:\附赠：Excel模板\精美EXCEL模板\其他1000例</v>
      </c>
      <c r="S2887" s="9">
        <v>43600.3821643519</v>
      </c>
      <c r="T2887" s="9">
        <v>43390.5180092593</v>
      </c>
    </row>
    <row r="2888" spans="14:20">
      <c r="N2888" s="7" t="str">
        <f>HYPERLINK("E:\附赠：Excel模板\精美EXCEL模板\其他1000例\能源及维修费用明细表.xls","能源及维修费用明细表.xls")</f>
        <v>能源及维修费用明细表.xls</v>
      </c>
      <c r="Q2888">
        <v>0.02</v>
      </c>
      <c r="R2888" s="7" t="str">
        <f t="shared" si="58"/>
        <v>E:\附赠：Excel模板\精美EXCEL模板\其他1000例</v>
      </c>
      <c r="S2888" s="9">
        <v>43600.3821643519</v>
      </c>
      <c r="T2888" s="9">
        <v>43390.5177083333</v>
      </c>
    </row>
    <row r="2889" spans="14:20">
      <c r="N2889" s="7" t="str">
        <f>HYPERLINK("E:\附赠：Excel模板\精美EXCEL模板\其他1000例\自动进口许可管理货物目录.xls","自动进口许可管理货物目录.xls")</f>
        <v>自动进口许可管理货物目录.xls</v>
      </c>
      <c r="Q2889">
        <v>0.03</v>
      </c>
      <c r="R2889" s="7" t="str">
        <f t="shared" si="58"/>
        <v>E:\附赠：Excel模板\精美EXCEL模板\其他1000例</v>
      </c>
      <c r="S2889" s="9">
        <v>43600.3821643519</v>
      </c>
      <c r="T2889" s="9">
        <v>43390.5169675926</v>
      </c>
    </row>
    <row r="2890" spans="14:20">
      <c r="N2890" s="7" t="str">
        <f>HYPERLINK("E:\附赠：Excel模板\精美EXCEL模板\其他1000例\自筹经费购置教学仪器设备一览表.xls","自筹经费购置教学仪器设备一览表.xls")</f>
        <v>自筹经费购置教学仪器设备一览表.xls</v>
      </c>
      <c r="Q2890">
        <v>0.02</v>
      </c>
      <c r="R2890" s="7" t="str">
        <f t="shared" si="58"/>
        <v>E:\附赠：Excel模板\精美EXCEL模板\其他1000例</v>
      </c>
      <c r="S2890" s="9">
        <v>43600.3821643519</v>
      </c>
      <c r="T2890" s="9">
        <v>43390.5169907407</v>
      </c>
    </row>
    <row r="2891" spans="14:20">
      <c r="N2891" s="7" t="str">
        <f>HYPERLINK("E:\附赠：Excel模板\精美EXCEL模板\其他1000例\节假日旅游情况调查表.xls","节假日旅游情况调查表.xls")</f>
        <v>节假日旅游情况调查表.xls</v>
      </c>
      <c r="Q2891">
        <v>0.02</v>
      </c>
      <c r="R2891" s="7" t="str">
        <f t="shared" si="58"/>
        <v>E:\附赠：Excel模板\精美EXCEL模板\其他1000例</v>
      </c>
      <c r="S2891" s="9">
        <v>43600.3821643519</v>
      </c>
      <c r="T2891" s="9">
        <v>43390.5178472222</v>
      </c>
    </row>
    <row r="2892" spans="14:20">
      <c r="N2892" s="7" t="str">
        <f>HYPERLINK("E:\附赠：Excel模板\精美EXCEL模板\其他1000例\节目主持人报名表.xls","节目主持人报名表.xls")</f>
        <v>节目主持人报名表.xls</v>
      </c>
      <c r="Q2892">
        <v>0.03</v>
      </c>
      <c r="R2892" s="7" t="str">
        <f t="shared" si="58"/>
        <v>E:\附赠：Excel模板\精美EXCEL模板\其他1000例</v>
      </c>
      <c r="S2892" s="9">
        <v>43600.3821643519</v>
      </c>
      <c r="T2892" s="9">
        <v>43390.5178472222</v>
      </c>
    </row>
    <row r="2893" spans="14:20">
      <c r="N2893" s="7" t="str">
        <f>HYPERLINK("E:\附赠：Excel模板\精美EXCEL模板\其他1000例\药监支出明细表.xls","药监支出明细表.xls")</f>
        <v>药监支出明细表.xls</v>
      </c>
      <c r="Q2893">
        <v>0.03</v>
      </c>
      <c r="R2893" s="7" t="str">
        <f t="shared" si="58"/>
        <v>E:\附赠：Excel模板\精美EXCEL模板\其他1000例</v>
      </c>
      <c r="S2893" s="9">
        <v>43600.3821643519</v>
      </c>
      <c r="T2893" s="9">
        <v>43390.5171759259</v>
      </c>
    </row>
    <row r="2894" spans="14:20">
      <c r="N2894" s="7" t="str">
        <f>HYPERLINK("E:\附赠：Excel模板\精美EXCEL模板\其他1000例\药监收入明细表.xls","药监收入明细表.xls")</f>
        <v>药监收入明细表.xls</v>
      </c>
      <c r="Q2894">
        <v>0.03</v>
      </c>
      <c r="R2894" s="7" t="str">
        <f t="shared" si="58"/>
        <v>E:\附赠：Excel模板\精美EXCEL模板\其他1000例</v>
      </c>
      <c r="S2894" s="9">
        <v>43600.3821643519</v>
      </c>
      <c r="T2894" s="9">
        <v>43390.5171759259</v>
      </c>
    </row>
    <row r="2895" spans="14:20">
      <c r="N2895" s="7" t="str">
        <f>HYPERLINK("E:\附赠：Excel模板\精美EXCEL模板\其他1000例\药监行政事业性支出明细表.xls","药监行政事业性支出明细表.xls")</f>
        <v>药监行政事业性支出明细表.xls</v>
      </c>
      <c r="Q2895">
        <v>0.03</v>
      </c>
      <c r="R2895" s="7" t="str">
        <f t="shared" si="58"/>
        <v>E:\附赠：Excel模板\精美EXCEL模板\其他1000例</v>
      </c>
      <c r="S2895" s="9">
        <v>43600.3821643519</v>
      </c>
      <c r="T2895" s="9">
        <v>43390.5171759259</v>
      </c>
    </row>
    <row r="2896" spans="14:20">
      <c r="N2896" s="7" t="str">
        <f>HYPERLINK("E:\附赠：Excel模板\精美EXCEL模板\其他1000例\营业外收支明细表.xls","营业外收支明细表.xls")</f>
        <v>营业外收支明细表.xls</v>
      </c>
      <c r="Q2896">
        <v>0.02</v>
      </c>
      <c r="R2896" s="7" t="str">
        <f t="shared" si="58"/>
        <v>E:\附赠：Excel模板\精美EXCEL模板\其他1000例</v>
      </c>
      <c r="S2896" s="9">
        <v>43600.3821643519</v>
      </c>
      <c r="T2896" s="9">
        <v>43390.5171296296</v>
      </c>
    </row>
    <row r="2897" spans="14:20">
      <c r="N2897" s="7" t="str">
        <f>HYPERLINK("E:\附赠：Excel模板\精美EXCEL模板\其他1000例\融资报表.xls","融资报表.xls")</f>
        <v>融资报表.xls</v>
      </c>
      <c r="Q2897">
        <v>0.02</v>
      </c>
      <c r="R2897" s="7" t="str">
        <f t="shared" si="58"/>
        <v>E:\附赠：Excel模板\精美EXCEL模板\其他1000例</v>
      </c>
      <c r="S2897" s="9">
        <v>43600.3821643519</v>
      </c>
      <c r="T2897" s="9">
        <v>43390.5175925926</v>
      </c>
    </row>
    <row r="2898" spans="14:20">
      <c r="N2898" s="7" t="str">
        <f>HYPERLINK("E:\附赠：Excel模板\精美EXCEL模板\其他1000例\行业活动服务站点名单.xls","行业活动服务站点名单.xls")</f>
        <v>行业活动服务站点名单.xls</v>
      </c>
      <c r="Q2898">
        <v>0.02</v>
      </c>
      <c r="R2898" s="7" t="str">
        <f t="shared" si="58"/>
        <v>E:\附赠：Excel模板\精美EXCEL模板\其他1000例</v>
      </c>
      <c r="S2898" s="9">
        <v>43600.3821643519</v>
      </c>
      <c r="T2898" s="9">
        <v>43390.5172916667</v>
      </c>
    </row>
    <row r="2899" spans="14:20">
      <c r="N2899" s="7" t="str">
        <f>HYPERLINK("E:\附赠：Excel模板\精美EXCEL模板\其他1000例\行政事业单位住房基金核定表.xls","行政事业单位住房基金核定表.xls")</f>
        <v>行政事业单位住房基金核定表.xls</v>
      </c>
      <c r="Q2899">
        <v>0.01</v>
      </c>
      <c r="R2899" s="7" t="str">
        <f t="shared" si="58"/>
        <v>E:\附赠：Excel模板\精美EXCEL模板\其他1000例</v>
      </c>
      <c r="S2899" s="9">
        <v>43600.3821643519</v>
      </c>
      <c r="T2899" s="9">
        <v>43390.5172916667</v>
      </c>
    </row>
    <row r="2900" spans="14:20">
      <c r="N2900" s="7" t="str">
        <f>HYPERLINK("E:\附赠：Excel模板\精美EXCEL模板\其他1000例\行政事业单位政府采购预算表.xls","行政事业单位政府采购预算表.xls")</f>
        <v>行政事业单位政府采购预算表.xls</v>
      </c>
      <c r="Q2900">
        <v>0.02</v>
      </c>
      <c r="R2900" s="7" t="str">
        <f t="shared" si="58"/>
        <v>E:\附赠：Excel模板\精美EXCEL模板\其他1000例</v>
      </c>
      <c r="S2900" s="9">
        <v>43600.3821643519</v>
      </c>
      <c r="T2900" s="9">
        <v>43390.5172916667</v>
      </c>
    </row>
    <row r="2901" spans="14:20">
      <c r="N2901" s="7" t="str">
        <f>HYPERLINK("E:\附赠：Excel模板\精美EXCEL模板\其他1000例\行政事业单位银行帐户开设情况表.xls","行政事业单位银行帐户开设情况表.xls")</f>
        <v>行政事业单位银行帐户开设情况表.xls</v>
      </c>
      <c r="Q2901">
        <v>0.02</v>
      </c>
      <c r="R2901" s="7" t="str">
        <f t="shared" si="58"/>
        <v>E:\附赠：Excel模板\精美EXCEL模板\其他1000例</v>
      </c>
      <c r="S2901" s="9">
        <v>43600.3821643519</v>
      </c>
      <c r="T2901" s="9">
        <v>43390.5172916667</v>
      </c>
    </row>
    <row r="2902" spans="14:20">
      <c r="N2902" s="7" t="str">
        <f>HYPERLINK("E:\附赠：Excel模板\精美EXCEL模板\其他1000例\行政事业单位非税收入情况表.xls","行政事业单位非税收入情况表.xls")</f>
        <v>行政事业单位非税收入情况表.xls</v>
      </c>
      <c r="Q2902">
        <v>0.02</v>
      </c>
      <c r="R2902" s="7" t="str">
        <f t="shared" si="58"/>
        <v>E:\附赠：Excel模板\精美EXCEL模板\其他1000例</v>
      </c>
      <c r="S2902" s="9">
        <v>43600.3821643519</v>
      </c>
      <c r="T2902" s="9">
        <v>43390.5172916667</v>
      </c>
    </row>
    <row r="2903" spans="14:20">
      <c r="N2903" s="7" t="str">
        <f>HYPERLINK("E:\附赠：Excel模板\精美EXCEL模板\其他1000例\行政事业性收费年审情况表.xls","行政事业性收费年审情况表.xls")</f>
        <v>行政事业性收费年审情况表.xls</v>
      </c>
      <c r="Q2903">
        <v>0.08</v>
      </c>
      <c r="R2903" s="7" t="str">
        <f t="shared" si="58"/>
        <v>E:\附赠：Excel模板\精美EXCEL模板\其他1000例</v>
      </c>
      <c r="S2903" s="9">
        <v>43600.3821643519</v>
      </c>
      <c r="T2903" s="9">
        <v>43390.5172916667</v>
      </c>
    </row>
    <row r="2904" spans="14:20">
      <c r="N2904" s="7" t="str">
        <f>HYPERLINK("E:\附赠：Excel模板\精美EXCEL模板\其他1000例\行政事业性收费项目目录.xls","行政事业性收费项目目录.xls")</f>
        <v>行政事业性收费项目目录.xls</v>
      </c>
      <c r="Q2904">
        <v>0.02</v>
      </c>
      <c r="R2904" s="7" t="str">
        <f t="shared" si="58"/>
        <v>E:\附赠：Excel模板\精美EXCEL模板\其他1000例</v>
      </c>
      <c r="S2904" s="9">
        <v>43600.3821643519</v>
      </c>
      <c r="T2904" s="9">
        <v>43390.5172916667</v>
      </c>
    </row>
    <row r="2905" spans="14:20">
      <c r="N2905" s="7" t="str">
        <f>HYPERLINK("E:\附赠：Excel模板\精美EXCEL模板\其他1000例\行政事业类财政拨款收支表.xls","行政事业类财政拨款收支表.xls")</f>
        <v>行政事业类财政拨款收支表.xls</v>
      </c>
      <c r="Q2905">
        <v>0.02</v>
      </c>
      <c r="R2905" s="7" t="str">
        <f t="shared" si="58"/>
        <v>E:\附赠：Excel模板\精美EXCEL模板\其他1000例</v>
      </c>
      <c r="S2905" s="9">
        <v>43600.3821643519</v>
      </c>
      <c r="T2905" s="9">
        <v>43390.5172916667</v>
      </c>
    </row>
    <row r="2906" spans="14:20">
      <c r="N2906" s="7" t="str">
        <f>HYPERLINK("E:\附赠：Excel模板\精美EXCEL模板\其他1000例\行政单位收入支出表.xls","行政单位收入支出表.xls")</f>
        <v>行政单位收入支出表.xls</v>
      </c>
      <c r="Q2906">
        <v>0.02</v>
      </c>
      <c r="R2906" s="7" t="str">
        <f t="shared" si="58"/>
        <v>E:\附赠：Excel模板\精美EXCEL模板\其他1000例</v>
      </c>
      <c r="S2906" s="9">
        <v>43600.3821643519</v>
      </c>
      <c r="T2906" s="9">
        <v>43390.5172916667</v>
      </c>
    </row>
    <row r="2907" spans="14:20">
      <c r="N2907" s="7" t="str">
        <f>HYPERLINK("E:\附赠：Excel模板\精美EXCEL模板\其他1000例\行政单位收入支出表2.xls","行政单位收入支出表2.xls")</f>
        <v>行政单位收入支出表2.xls</v>
      </c>
      <c r="Q2907">
        <v>0.02</v>
      </c>
      <c r="R2907" s="7" t="str">
        <f t="shared" si="58"/>
        <v>E:\附赠：Excel模板\精美EXCEL模板\其他1000例</v>
      </c>
      <c r="S2907" s="9">
        <v>43600.3821643519</v>
      </c>
      <c r="T2907" s="9">
        <v>43390.5172916667</v>
      </c>
    </row>
    <row r="2908" spans="14:20">
      <c r="N2908" s="7" t="str">
        <f>HYPERLINK("E:\附赠：Excel模板\精美EXCEL模板\其他1000例\行政单位资产负债表.xls","行政单位资产负债表.xls")</f>
        <v>行政单位资产负债表.xls</v>
      </c>
      <c r="Q2908">
        <v>0.02</v>
      </c>
      <c r="R2908" s="7" t="str">
        <f t="shared" si="58"/>
        <v>E:\附赠：Excel模板\精美EXCEL模板\其他1000例</v>
      </c>
      <c r="S2908" s="9">
        <v>43600.3821643519</v>
      </c>
      <c r="T2908" s="9">
        <v>43390.5172916667</v>
      </c>
    </row>
    <row r="2909" spans="14:20">
      <c r="N2909" s="7" t="str">
        <f>HYPERLINK("E:\附赠：Excel模板\精美EXCEL模板\其他1000例\行政普查申报.xls","行政普查申报.xls")</f>
        <v>行政普查申报.xls</v>
      </c>
      <c r="Q2909">
        <v>0.05</v>
      </c>
      <c r="R2909" s="7" t="str">
        <f t="shared" si="58"/>
        <v>E:\附赠：Excel模板\精美EXCEL模板\其他1000例</v>
      </c>
      <c r="S2909" s="9">
        <v>43600.3821643519</v>
      </c>
      <c r="T2909" s="9">
        <v>43390.5172916667</v>
      </c>
    </row>
    <row r="2910" spans="14:20">
      <c r="N2910" s="7" t="str">
        <f>HYPERLINK("E:\附赠：Excel模板\精美EXCEL模板\其他1000例\行政管理费用明细表.xls","行政管理费用明细表.xls")</f>
        <v>行政管理费用明细表.xls</v>
      </c>
      <c r="Q2910">
        <v>0.02</v>
      </c>
      <c r="R2910" s="7" t="str">
        <f t="shared" si="58"/>
        <v>E:\附赠：Excel模板\精美EXCEL模板\其他1000例</v>
      </c>
      <c r="S2910" s="9">
        <v>43600.3821643519</v>
      </c>
      <c r="T2910" s="9">
        <v>43390.5172916667</v>
      </c>
    </row>
    <row r="2911" spans="14:20">
      <c r="N2911" s="7" t="str">
        <f>HYPERLINK("E:\附赠：Excel模板\精美EXCEL模板\其他1000例\街道年目标管理责任表.xls","街道年目标管理责任表.xls")</f>
        <v>街道年目标管理责任表.xls</v>
      </c>
      <c r="Q2911">
        <v>0.03</v>
      </c>
      <c r="R2911" s="7" t="str">
        <f t="shared" si="58"/>
        <v>E:\附赠：Excel模板\精美EXCEL模板\其他1000例</v>
      </c>
      <c r="S2911" s="9">
        <v>43600.3821643519</v>
      </c>
      <c r="T2911" s="9">
        <v>43390.5178472222</v>
      </c>
    </row>
    <row r="2912" spans="14:20">
      <c r="N2912" s="7" t="str">
        <f>HYPERLINK("E:\附赠：Excel模板\精美EXCEL模板\其他1000例\装饰装修室内设计大赛申报表.xls","装饰装修室内设计大赛申报表.xls")</f>
        <v>装饰装修室内设计大赛申报表.xls</v>
      </c>
      <c r="Q2912">
        <v>0.02</v>
      </c>
      <c r="R2912" s="7" t="str">
        <f t="shared" si="58"/>
        <v>E:\附赠：Excel模板\精美EXCEL模板\其他1000例</v>
      </c>
      <c r="S2912" s="9">
        <v>43600.3821643519</v>
      </c>
      <c r="T2912" s="9">
        <v>43390.5170138889</v>
      </c>
    </row>
    <row r="2913" spans="14:20">
      <c r="N2913" s="7" t="str">
        <f>HYPERLINK("E:\附赠：Excel模板\精美EXCEL模板\其他1000例\西部地区“两基”攻坚规划总表.xls","西部地区“两基”攻坚规划总表.xls")</f>
        <v>西部地区“两基”攻坚规划总表.xls</v>
      </c>
      <c r="Q2913">
        <v>0.02</v>
      </c>
      <c r="R2913" s="7" t="str">
        <f t="shared" si="58"/>
        <v>E:\附赠：Excel模板\精美EXCEL模板\其他1000例</v>
      </c>
      <c r="S2913" s="9">
        <v>43600.3821643519</v>
      </c>
      <c r="T2913" s="9">
        <v>43390.5173842593</v>
      </c>
    </row>
    <row r="2914" spans="14:20">
      <c r="N2914" s="7" t="str">
        <f>HYPERLINK("E:\附赠：Excel模板\精美EXCEL模板\其他1000例\规范收入单位银行账户登记及收入收缴情况登记表.xls","规范收入单位银行账户登记及收入收缴情况登记表.xls")</f>
        <v>规范收入单位银行账户登记及收入收缴情况登记表.xls</v>
      </c>
      <c r="Q2914">
        <v>0.02</v>
      </c>
      <c r="R2914" s="7" t="str">
        <f t="shared" si="58"/>
        <v>E:\附赠：Excel模板\精美EXCEL模板\其他1000例</v>
      </c>
      <c r="S2914" s="9">
        <v>43600.3821643519</v>
      </c>
      <c r="T2914" s="9">
        <v>43390.5179861111</v>
      </c>
    </row>
    <row r="2915" spans="14:20">
      <c r="N2915" s="7" t="str">
        <f>HYPERLINK("E:\附赠：Excel模板\精美EXCEL模板\其他1000例\视听阅览室多媒体资源目录表.xls","视听阅览室多媒体资源目录表.xls")</f>
        <v>视听阅览室多媒体资源目录表.xls</v>
      </c>
      <c r="Q2915">
        <v>0.02</v>
      </c>
      <c r="R2915" s="7" t="str">
        <f t="shared" si="58"/>
        <v>E:\附赠：Excel模板\精美EXCEL模板\其他1000例</v>
      </c>
      <c r="S2915" s="9">
        <v>43600.3821643519</v>
      </c>
      <c r="T2915" s="9">
        <v>43390.5174537037</v>
      </c>
    </row>
    <row r="2916" spans="14:20">
      <c r="N2916" s="7" t="str">
        <f>HYPERLINK("E:\附赠：Excel模板\精美EXCEL模板\其他1000例\计划学员信息纪录表.xls","计划学员信息纪录表.xls")</f>
        <v>计划学员信息纪录表.xls</v>
      </c>
      <c r="Q2916">
        <v>0.02</v>
      </c>
      <c r="R2916" s="7" t="str">
        <f t="shared" si="58"/>
        <v>E:\附赠：Excel模板\精美EXCEL模板\其他1000例</v>
      </c>
      <c r="S2916" s="9">
        <v>43600.3821643519</v>
      </c>
      <c r="T2916" s="9">
        <v>43390.5179166667</v>
      </c>
    </row>
    <row r="2917" spans="14:20">
      <c r="N2917" s="7" t="str">
        <f>HYPERLINK("E:\附赠：Excel模板\精美EXCEL模板\其他1000例\计算机金融（专科）毕业设计参考题目.xls","计算机金融（专科）毕业设计参考题目.xls")</f>
        <v>计算机金融（专科）毕业设计参考题目.xls</v>
      </c>
      <c r="Q2917">
        <v>0.04</v>
      </c>
      <c r="R2917" s="7" t="str">
        <f t="shared" si="58"/>
        <v>E:\附赠：Excel模板\精美EXCEL模板\其他1000例</v>
      </c>
      <c r="S2917" s="9">
        <v>43600.3821643519</v>
      </c>
      <c r="T2917" s="9">
        <v>43390.5179166667</v>
      </c>
    </row>
    <row r="2918" spans="14:20">
      <c r="N2918" s="7" t="str">
        <f>HYPERLINK("E:\附赠：Excel模板\精美EXCEL模板\其他1000例\订货单.xls","订货单.xls")</f>
        <v>订货单.xls</v>
      </c>
      <c r="Q2918">
        <v>0.02</v>
      </c>
      <c r="R2918" s="7" t="str">
        <f t="shared" si="58"/>
        <v>E:\附赠：Excel模板\精美EXCEL模板\其他1000例</v>
      </c>
      <c r="S2918" s="9">
        <v>43600.3821643519</v>
      </c>
      <c r="T2918" s="9">
        <v>43390.5181018518</v>
      </c>
    </row>
    <row r="2919" spans="14:20">
      <c r="N2919" s="7" t="str">
        <f>HYPERLINK("E:\附赠：Excel模板\精美EXCEL模板\其他1000例\订阅杂志登记表.xls","订阅杂志登记表.xls")</f>
        <v>订阅杂志登记表.xls</v>
      </c>
      <c r="Q2919">
        <v>0.01</v>
      </c>
      <c r="R2919" s="7" t="str">
        <f t="shared" si="58"/>
        <v>E:\附赠：Excel模板\精美EXCEL模板\其他1000例</v>
      </c>
      <c r="S2919" s="9">
        <v>43600.3821643519</v>
      </c>
      <c r="T2919" s="9">
        <v>43390.5181018518</v>
      </c>
    </row>
    <row r="2920" spans="14:20">
      <c r="N2920" s="7" t="str">
        <f>HYPERLINK("E:\附赠：Excel模板\精美EXCEL模板\其他1000例\设备资产清单.xls","设备资产清单.xls")</f>
        <v>设备资产清单.xls</v>
      </c>
      <c r="Q2920">
        <v>0.02</v>
      </c>
      <c r="R2920" s="7" t="str">
        <f t="shared" si="58"/>
        <v>E:\附赠：Excel模板\精美EXCEL模板\其他1000例</v>
      </c>
      <c r="S2920" s="9">
        <v>43600.3821643519</v>
      </c>
      <c r="T2920" s="9">
        <v>43390.5175694444</v>
      </c>
    </row>
    <row r="2921" spans="14:20">
      <c r="N2921" s="7" t="str">
        <f>HYPERLINK("E:\附赠：Excel模板\精美EXCEL模板\其他1000例\证券业利润费用表.xls","证券业利润费用表.xls")</f>
        <v>证券业利润费用表.xls</v>
      </c>
      <c r="Q2921">
        <v>0.02</v>
      </c>
      <c r="R2921" s="7" t="str">
        <f t="shared" si="58"/>
        <v>E:\附赠：Excel模板\精美EXCEL模板\其他1000例</v>
      </c>
      <c r="S2921" s="9">
        <v>43600.3821643519</v>
      </c>
      <c r="T2921" s="9">
        <v>43390.5170833333</v>
      </c>
    </row>
    <row r="2922" spans="14:20">
      <c r="N2922" s="7" t="str">
        <f>HYPERLINK("E:\附赠：Excel模板\精美EXCEL模板\其他1000例\证券业务统计表.xls","证券业务统计表.xls")</f>
        <v>证券业务统计表.xls</v>
      </c>
      <c r="Q2922">
        <v>0.02</v>
      </c>
      <c r="R2922" s="7" t="str">
        <f t="shared" si="58"/>
        <v>E:\附赠：Excel模板\精美EXCEL模板\其他1000例</v>
      </c>
      <c r="S2922" s="9">
        <v>43600.3821643519</v>
      </c>
      <c r="T2922" s="9">
        <v>43390.5170833333</v>
      </c>
    </row>
    <row r="2923" spans="14:20">
      <c r="N2923" s="7" t="str">
        <f>HYPERLINK("E:\附赠：Excel模板\精美EXCEL模板\其他1000例\证券业经济普查－普查表填报说明.xls","证券业经济普查－普查表填报说明.xls")</f>
        <v>证券业经济普查－普查表填报说明.xls</v>
      </c>
      <c r="Q2923">
        <v>0.07</v>
      </c>
      <c r="R2923" s="7" t="str">
        <f t="shared" si="58"/>
        <v>E:\附赠：Excel模板\精美EXCEL模板\其他1000例</v>
      </c>
      <c r="S2923" s="9">
        <v>43600.3821643519</v>
      </c>
      <c r="T2923" s="9">
        <v>43390.5170833333</v>
      </c>
    </row>
    <row r="2924" spans="14:20">
      <c r="N2924" s="7" t="str">
        <f>HYPERLINK("E:\附赠：Excel模板\精美EXCEL模板\其他1000例\证券业资产负债表.xls","证券业资产负债表.xls")</f>
        <v>证券业资产负债表.xls</v>
      </c>
      <c r="Q2924">
        <v>0.02</v>
      </c>
      <c r="R2924" s="7" t="str">
        <f t="shared" si="58"/>
        <v>E:\附赠：Excel模板\精美EXCEL模板\其他1000例</v>
      </c>
      <c r="S2924" s="9">
        <v>43600.3821643519</v>
      </c>
      <c r="T2924" s="9">
        <v>43390.5170833333</v>
      </c>
    </row>
    <row r="2925" spans="14:20">
      <c r="N2925" s="7" t="str">
        <f>HYPERLINK("E:\附赠：Excel模板\精美EXCEL模板\其他1000例\课程开考科目.xls","课程开考科目.xls")</f>
        <v>课程开考科目.xls</v>
      </c>
      <c r="Q2925">
        <v>0.03</v>
      </c>
      <c r="R2925" s="7" t="str">
        <f t="shared" si="58"/>
        <v>E:\附赠：Excel模板\精美EXCEL模板\其他1000例</v>
      </c>
      <c r="S2925" s="9">
        <v>43600.3821643519</v>
      </c>
      <c r="T2925" s="9">
        <v>43390.5177777778</v>
      </c>
    </row>
    <row r="2926" spans="14:20">
      <c r="N2926" s="7" t="str">
        <f>HYPERLINK("E:\附赠：Excel模板\精美EXCEL模板\其他1000例\课程的实验教学开出情况一览表.xls","课程的实验教学开出情况一览表.xls")</f>
        <v>课程的实验教学开出情况一览表.xls</v>
      </c>
      <c r="Q2926">
        <v>0.02</v>
      </c>
      <c r="R2926" s="7" t="str">
        <f t="shared" si="58"/>
        <v>E:\附赠：Excel模板\精美EXCEL模板\其他1000例</v>
      </c>
      <c r="S2926" s="9">
        <v>43600.3821643519</v>
      </c>
      <c r="T2926" s="9">
        <v>43390.5178009259</v>
      </c>
    </row>
    <row r="2927" spans="14:20">
      <c r="N2927" s="7" t="str">
        <f>HYPERLINK("E:\附赠：Excel模板\精美EXCEL模板\其他1000例\课程表（土地与资源）.xls","课程表（土地与资源）.xls")</f>
        <v>课程表（土地与资源）.xls</v>
      </c>
      <c r="Q2927">
        <v>0.03</v>
      </c>
      <c r="R2927" s="7" t="str">
        <f t="shared" si="58"/>
        <v>E:\附赠：Excel模板\精美EXCEL模板\其他1000例</v>
      </c>
      <c r="S2927" s="9">
        <v>43600.3821643519</v>
      </c>
      <c r="T2927" s="9">
        <v>43390.5178009259</v>
      </c>
    </row>
    <row r="2928" spans="14:20">
      <c r="N2928" s="7" t="str">
        <f>HYPERLINK("E:\附赠：Excel模板\精美EXCEL模板\其他1000例\课程负责人统计表.xls","课程负责人统计表.xls")</f>
        <v>课程负责人统计表.xls</v>
      </c>
      <c r="Q2928">
        <v>0.02</v>
      </c>
      <c r="R2928" s="7" t="str">
        <f t="shared" si="58"/>
        <v>E:\附赠：Excel模板\精美EXCEL模板\其他1000例</v>
      </c>
      <c r="S2928" s="9">
        <v>43600.3821643519</v>
      </c>
      <c r="T2928" s="9">
        <v>43390.5177777778</v>
      </c>
    </row>
    <row r="2929" spans="14:20">
      <c r="N2929" s="7" t="str">
        <f>HYPERLINK("E:\附赠：Excel模板\精美EXCEL模板\其他1000例\课表.xls","课表.xls")</f>
        <v>课表.xls</v>
      </c>
      <c r="Q2929">
        <v>0.02</v>
      </c>
      <c r="R2929" s="7" t="str">
        <f t="shared" si="58"/>
        <v>E:\附赠：Excel模板\精美EXCEL模板\其他1000例</v>
      </c>
      <c r="S2929" s="9">
        <v>43600.3821643519</v>
      </c>
      <c r="T2929" s="9">
        <v>43390.5178009259</v>
      </c>
    </row>
    <row r="2930" spans="14:20">
      <c r="N2930" s="7" t="str">
        <f>HYPERLINK("E:\附赠：Excel模板\精美EXCEL模板\其他1000例\调帐申请单.xls","调帐申请单.xls")</f>
        <v>调帐申请单.xls</v>
      </c>
      <c r="Q2930">
        <v>0.01</v>
      </c>
      <c r="R2930" s="7" t="str">
        <f t="shared" si="58"/>
        <v>E:\附赠：Excel模板\精美EXCEL模板\其他1000例</v>
      </c>
      <c r="S2930" s="9">
        <v>43600.3821643519</v>
      </c>
      <c r="T2930" s="9">
        <v>43390.5181018518</v>
      </c>
    </row>
    <row r="2931" spans="14:20">
      <c r="N2931" s="7" t="str">
        <f>HYPERLINK("E:\附赠：Excel模板\精美EXCEL模板\其他1000例\財務業務指標.xls","財務業務指標.xls")</f>
        <v>財務業務指標.xls</v>
      </c>
      <c r="Q2931">
        <v>0.02</v>
      </c>
      <c r="R2931" s="7" t="str">
        <f t="shared" si="58"/>
        <v>E:\附赠：Excel模板\精美EXCEL模板\其他1000例</v>
      </c>
      <c r="S2931" s="9">
        <v>43600.3821643519</v>
      </c>
      <c r="T2931" s="9">
        <v>43390.5169675926</v>
      </c>
    </row>
    <row r="2932" spans="14:20">
      <c r="N2932" s="7" t="str">
        <f>HYPERLINK("E:\附赠：Excel模板\精美EXCEL模板\其他1000例\財務管理授課大鋼.xls","財務管理授課大鋼.xls")</f>
        <v>財務管理授課大鋼.xls</v>
      </c>
      <c r="Q2932">
        <v>0.02</v>
      </c>
      <c r="R2932" s="7" t="str">
        <f t="shared" si="58"/>
        <v>E:\附赠：Excel模板\精美EXCEL模板\其他1000例</v>
      </c>
      <c r="S2932" s="9">
        <v>43600.3821643519</v>
      </c>
      <c r="T2932" s="9">
        <v>43390.5169675926</v>
      </c>
    </row>
    <row r="2933" spans="14:20">
      <c r="N2933" s="7" t="str">
        <f>HYPERLINK("E:\附赠：Excel模板\精美EXCEL模板\其他1000例\财产保险公司业务统计表.xls","财产保险公司业务统计表.xls")</f>
        <v>财产保险公司业务统计表.xls</v>
      </c>
      <c r="Q2933">
        <v>0.02</v>
      </c>
      <c r="R2933" s="7" t="str">
        <f t="shared" si="58"/>
        <v>E:\附赠：Excel模板\精美EXCEL模板\其他1000例</v>
      </c>
      <c r="S2933" s="9">
        <v>43600.3821643519</v>
      </c>
      <c r="T2933" s="9">
        <v>43390.5182638889</v>
      </c>
    </row>
    <row r="2934" spans="14:20">
      <c r="N2934" s="7" t="str">
        <f>HYPERLINK("E:\附赠：Excel模板\精美EXCEL模板\其他1000例\财产保险公司分险种监管业务统计报表.xls","财产保险公司分险种监管业务统计报表.xls")</f>
        <v>财产保险公司分险种监管业务统计报表.xls</v>
      </c>
      <c r="Q2934">
        <v>0.02</v>
      </c>
      <c r="R2934" s="7" t="str">
        <f t="shared" si="58"/>
        <v>E:\附赠：Excel模板\精美EXCEL模板\其他1000例</v>
      </c>
      <c r="S2934" s="9">
        <v>43600.3821643519</v>
      </c>
      <c r="T2934" s="9">
        <v>43390.5182638889</v>
      </c>
    </row>
    <row r="2935" spans="14:20">
      <c r="N2935" s="7" t="str">
        <f>HYPERLINK("E:\附赠：Excel模板\精美EXCEL模板\其他1000例\财产保险公司机动车险经营结构情况统计表.xls","财产保险公司机动车险经营结构情况统计表.xls")</f>
        <v>财产保险公司机动车险经营结构情况统计表.xls</v>
      </c>
      <c r="Q2935">
        <v>0.02</v>
      </c>
      <c r="R2935" s="7" t="str">
        <f t="shared" si="58"/>
        <v>E:\附赠：Excel模板\精美EXCEL模板\其他1000例</v>
      </c>
      <c r="S2935" s="9">
        <v>43600.3821643519</v>
      </c>
      <c r="T2935" s="9">
        <v>43390.5182638889</v>
      </c>
    </row>
    <row r="2936" spans="14:20">
      <c r="N2936" s="7" t="str">
        <f>HYPERLINK("E:\附赠：Excel模板\精美EXCEL模板\其他1000例\财会机构及人员情况表.xls","财会机构及人员情况表.xls")</f>
        <v>财会机构及人员情况表.xls</v>
      </c>
      <c r="Q2936">
        <v>0.02</v>
      </c>
      <c r="R2936" s="7" t="str">
        <f t="shared" si="58"/>
        <v>E:\附赠：Excel模板\精美EXCEL模板\其他1000例</v>
      </c>
      <c r="S2936" s="9">
        <v>43600.3821643519</v>
      </c>
      <c r="T2936" s="9">
        <v>43390.5182638889</v>
      </c>
    </row>
    <row r="2937" spans="14:20">
      <c r="N2937" s="7" t="str">
        <f>HYPERLINK("E:\附赠：Excel模板\精美EXCEL模板\其他1000例\财务信息化建设基本情况调查表.xls","财务信息化建设基本情况调查表.xls")</f>
        <v>财务信息化建设基本情况调查表.xls</v>
      </c>
      <c r="Q2937">
        <v>0.02</v>
      </c>
      <c r="R2937" s="7" t="str">
        <f t="shared" si="58"/>
        <v>E:\附赠：Excel模板\精美EXCEL模板\其他1000例</v>
      </c>
      <c r="S2937" s="9">
        <v>43600.3821643519</v>
      </c>
      <c r="T2937" s="9">
        <v>43390.5182407407</v>
      </c>
    </row>
    <row r="2938" spans="14:20">
      <c r="N2938" s="7" t="str">
        <f>HYPERLINK("E:\附赠：Excel模板\精美EXCEL模板\其他1000例\财务决算审批表.xls","财务决算审批表.xls")</f>
        <v>财务决算审批表.xls</v>
      </c>
      <c r="Q2938">
        <v>0.02</v>
      </c>
      <c r="R2938" s="7" t="str">
        <f t="shared" si="58"/>
        <v>E:\附赠：Excel模板\精美EXCEL模板\其他1000例</v>
      </c>
      <c r="S2938" s="9">
        <v>43600.3821643519</v>
      </c>
      <c r="T2938" s="9">
        <v>43390.5182638889</v>
      </c>
    </row>
    <row r="2939" spans="14:20">
      <c r="N2939" s="7" t="str">
        <f>HYPERLINK("E:\附赠：Excel模板\精美EXCEL模板\其他1000例\财务决算批复表.xls","财务决算批复表.xls")</f>
        <v>财务决算批复表.xls</v>
      </c>
      <c r="Q2939">
        <v>0.02</v>
      </c>
      <c r="R2939" s="7" t="str">
        <f t="shared" ref="R2939:R3002" si="59">HYPERLINK("E:\附赠：Excel模板\精美EXCEL模板\其他1000例","E:\附赠：Excel模板\精美EXCEL模板\其他1000例")</f>
        <v>E:\附赠：Excel模板\精美EXCEL模板\其他1000例</v>
      </c>
      <c r="S2939" s="9">
        <v>43600.3821643519</v>
      </c>
      <c r="T2939" s="9">
        <v>43390.5182638889</v>
      </c>
    </row>
    <row r="2940" spans="14:20">
      <c r="N2940" s="7" t="str">
        <f>HYPERLINK("E:\附赠：Excel模板\精美EXCEL模板\其他1000例\财务工作考核条例.xls","财务工作考核条例.xls")</f>
        <v>财务工作考核条例.xls</v>
      </c>
      <c r="Q2940">
        <v>0.02</v>
      </c>
      <c r="R2940" s="7" t="str">
        <f t="shared" si="59"/>
        <v>E:\附赠：Excel模板\精美EXCEL模板\其他1000例</v>
      </c>
      <c r="S2940" s="9">
        <v>43600.3821643519</v>
      </c>
      <c r="T2940" s="9">
        <v>43390.5182638889</v>
      </c>
    </row>
    <row r="2941" spans="14:20">
      <c r="N2941" s="7" t="str">
        <f>HYPERLINK("E:\附赠：Excel模板\精美EXCEL模板\其他1000例\财务报告.xls","财务报告.xls")</f>
        <v>财务报告.xls</v>
      </c>
      <c r="Q2941">
        <v>0.01</v>
      </c>
      <c r="R2941" s="7" t="str">
        <f t="shared" si="59"/>
        <v>E:\附赠：Excel模板\精美EXCEL模板\其他1000例</v>
      </c>
      <c r="S2941" s="9">
        <v>43600.3821643519</v>
      </c>
      <c r="T2941" s="9">
        <v>43390.5182638889</v>
      </c>
    </row>
    <row r="2942" spans="14:20">
      <c r="N2942" s="7" t="str">
        <f>HYPERLINK("E:\附赠：Excel模板\精美EXCEL模板\其他1000例\财务报表.xls","财务报表.xls")</f>
        <v>财务报表.xls</v>
      </c>
      <c r="Q2942">
        <v>0.04</v>
      </c>
      <c r="R2942" s="7" t="str">
        <f t="shared" si="59"/>
        <v>E:\附赠：Excel模板\精美EXCEL模板\其他1000例</v>
      </c>
      <c r="S2942" s="9">
        <v>43600.3821643519</v>
      </c>
      <c r="T2942" s="9">
        <v>43390.5182638889</v>
      </c>
    </row>
    <row r="2943" spans="14:20">
      <c r="N2943" s="7" t="str">
        <f>HYPERLINK("E:\附赠：Excel模板\精美EXCEL模板\其他1000例\财务指标比较分析表.xls","财务指标比较分析表.xls")</f>
        <v>财务指标比较分析表.xls</v>
      </c>
      <c r="Q2943">
        <v>0.02</v>
      </c>
      <c r="R2943" s="7" t="str">
        <f t="shared" si="59"/>
        <v>E:\附赠：Excel模板\精美EXCEL模板\其他1000例</v>
      </c>
      <c r="S2943" s="9">
        <v>43600.3821643519</v>
      </c>
      <c r="T2943" s="9">
        <v>43390.5182407407</v>
      </c>
    </row>
    <row r="2944" spans="14:20">
      <c r="N2944" s="7" t="str">
        <f>HYPERLINK("E:\附赠：Excel模板\精美EXCEL模板\其他1000例\财务收支计划表.xls","财务收支计划表.xls")</f>
        <v>财务收支计划表.xls</v>
      </c>
      <c r="Q2944">
        <v>0.02</v>
      </c>
      <c r="R2944" s="7" t="str">
        <f t="shared" si="59"/>
        <v>E:\附赠：Excel模板\精美EXCEL模板\其他1000例</v>
      </c>
      <c r="S2944" s="9">
        <v>43600.3821643519</v>
      </c>
      <c r="T2944" s="9">
        <v>43390.5182638889</v>
      </c>
    </row>
    <row r="2945" spans="14:20">
      <c r="N2945" s="7" t="str">
        <f>HYPERLINK("E:\附赠：Excel模板\精美EXCEL模板\其他1000例\财务检查情况登记表.xls","财务检查情况登记表.xls")</f>
        <v>财务检查情况登记表.xls</v>
      </c>
      <c r="Q2945">
        <v>0.02</v>
      </c>
      <c r="R2945" s="7" t="str">
        <f t="shared" si="59"/>
        <v>E:\附赠：Excel模板\精美EXCEL模板\其他1000例</v>
      </c>
      <c r="S2945" s="9">
        <v>43600.3821643519</v>
      </c>
      <c r="T2945" s="9">
        <v>43390.5182638889</v>
      </c>
    </row>
    <row r="2946" spans="14:20">
      <c r="N2946" s="7" t="str">
        <f>HYPERLINK("E:\附赠：Excel模板\精美EXCEL模板\其他1000例\财务比率表.xls","财务比率表.xls")</f>
        <v>财务比率表.xls</v>
      </c>
      <c r="Q2946">
        <v>0.06</v>
      </c>
      <c r="R2946" s="7" t="str">
        <f t="shared" si="59"/>
        <v>E:\附赠：Excel模板\精美EXCEL模板\其他1000例</v>
      </c>
      <c r="S2946" s="9">
        <v>43600.3821643519</v>
      </c>
      <c r="T2946" s="9">
        <v>43390.5182638889</v>
      </c>
    </row>
    <row r="2947" spans="14:20">
      <c r="N2947" s="7" t="str">
        <f>HYPERLINK("E:\附赠：Excel模板\精美EXCEL模板\其他1000例\财务管理专业教学培养方案.xls","财务管理专业教学培养方案.xls")</f>
        <v>财务管理专业教学培养方案.xls</v>
      </c>
      <c r="Q2947">
        <v>0.02</v>
      </c>
      <c r="R2947" s="7" t="str">
        <f t="shared" si="59"/>
        <v>E:\附赠：Excel模板\精美EXCEL模板\其他1000例</v>
      </c>
      <c r="S2947" s="9">
        <v>43600.3821643519</v>
      </c>
      <c r="T2947" s="9">
        <v>43390.5182638889</v>
      </c>
    </row>
    <row r="2948" spans="14:20">
      <c r="N2948" s="7" t="str">
        <f>HYPERLINK("E:\附赠：Excel模板\精美EXCEL模板\其他1000例\财务管理（本）专业教学计划表.xls","财务管理（本）专业教学计划表.xls")</f>
        <v>财务管理（本）专业教学计划表.xls</v>
      </c>
      <c r="Q2948">
        <v>0.04</v>
      </c>
      <c r="R2948" s="7" t="str">
        <f t="shared" si="59"/>
        <v>E:\附赠：Excel模板\精美EXCEL模板\其他1000例</v>
      </c>
      <c r="S2948" s="9">
        <v>43600.3821643519</v>
      </c>
      <c r="T2948" s="9">
        <v>43390.5182638889</v>
      </c>
    </row>
    <row r="2949" spans="14:20">
      <c r="N2949" s="7" t="str">
        <f>HYPERLINK("E:\附赠：Excel模板\精美EXCEL模板\其他1000例\财务系统调查表.xls","财务系统调查表.xls")</f>
        <v>财务系统调查表.xls</v>
      </c>
      <c r="Q2949">
        <v>0.02</v>
      </c>
      <c r="R2949" s="7" t="str">
        <f t="shared" si="59"/>
        <v>E:\附赠：Excel模板\精美EXCEL模板\其他1000例</v>
      </c>
      <c r="S2949" s="9">
        <v>43600.3821643519</v>
      </c>
      <c r="T2949" s="9">
        <v>43390.5182407407</v>
      </c>
    </row>
    <row r="2950" spans="14:20">
      <c r="N2950" s="7" t="str">
        <f>HYPERLINK("E:\附赠：Excel模板\精美EXCEL模板\其他1000例\财政、财务收支审计情况审核表.xls","财政、财务收支审计情况审核表.xls")</f>
        <v>财政、财务收支审计情况审核表.xls</v>
      </c>
      <c r="Q2950">
        <v>0.02</v>
      </c>
      <c r="R2950" s="7" t="str">
        <f t="shared" si="59"/>
        <v>E:\附赠：Excel模板\精美EXCEL模板\其他1000例</v>
      </c>
      <c r="S2950" s="9">
        <v>43600.3821643519</v>
      </c>
      <c r="T2950" s="9">
        <v>43390.5182407407</v>
      </c>
    </row>
    <row r="2951" spans="14:20">
      <c r="N2951" s="7" t="str">
        <f>HYPERLINK("E:\附赠：Excel模板\精美EXCEL模板\其他1000例\财政一般预算收支决算总表.xls","财政一般预算收支决算总表.xls")</f>
        <v>财政一般预算收支决算总表.xls</v>
      </c>
      <c r="Q2951">
        <v>0.02</v>
      </c>
      <c r="R2951" s="7" t="str">
        <f t="shared" si="59"/>
        <v>E:\附赠：Excel模板\精美EXCEL模板\其他1000例</v>
      </c>
      <c r="S2951" s="9">
        <v>43600.3821643519</v>
      </c>
      <c r="T2951" s="9">
        <v>43390.5182407407</v>
      </c>
    </row>
    <row r="2952" spans="14:20">
      <c r="N2952" s="7" t="str">
        <f>HYPERLINK("E:\附赠：Excel模板\精美EXCEL模板\其他1000例\财政专户资金分类快报表.xls","财政专户资金分类快报表.xls")</f>
        <v>财政专户资金分类快报表.xls</v>
      </c>
      <c r="Q2952">
        <v>0.02</v>
      </c>
      <c r="R2952" s="7" t="str">
        <f t="shared" si="59"/>
        <v>E:\附赠：Excel模板\精美EXCEL模板\其他1000例</v>
      </c>
      <c r="S2952" s="9">
        <v>43600.3821643519</v>
      </c>
      <c r="T2952" s="9">
        <v>43390.5182407407</v>
      </c>
    </row>
    <row r="2953" spans="14:20">
      <c r="N2953" s="7" t="str">
        <f>HYPERLINK("E:\附赠：Excel模板\精美EXCEL模板\其他1000例\财政专项资金申报项目情况表.xls","财政专项资金申报项目情况表.xls")</f>
        <v>财政专项资金申报项目情况表.xls</v>
      </c>
      <c r="Q2953">
        <v>0.02</v>
      </c>
      <c r="R2953" s="7" t="str">
        <f t="shared" si="59"/>
        <v>E:\附赠：Excel模板\精美EXCEL模板\其他1000例</v>
      </c>
      <c r="S2953" s="9">
        <v>43600.3821643519</v>
      </c>
      <c r="T2953" s="9">
        <v>43390.5182407407</v>
      </c>
    </row>
    <row r="2954" spans="14:20">
      <c r="N2954" s="7" t="str">
        <f>HYPERLINK("E:\附赠：Excel模板\精美EXCEL模板\其他1000例\财政专项资金申报项目汇总表.xls","财政专项资金申报项目汇总表.xls")</f>
        <v>财政专项资金申报项目汇总表.xls</v>
      </c>
      <c r="Q2954">
        <v>0.02</v>
      </c>
      <c r="R2954" s="7" t="str">
        <f t="shared" si="59"/>
        <v>E:\附赠：Excel模板\精美EXCEL模板\其他1000例</v>
      </c>
      <c r="S2954" s="9">
        <v>43600.3821643519</v>
      </c>
      <c r="T2954" s="9">
        <v>43390.5182407407</v>
      </c>
    </row>
    <row r="2955" spans="14:20">
      <c r="N2955" s="7" t="str">
        <f>HYPERLINK("E:\附赠：Excel模板\精美EXCEL模板\其他1000例\财政专项资金申请书.xls","财政专项资金申请书.xls")</f>
        <v>财政专项资金申请书.xls</v>
      </c>
      <c r="Q2955">
        <v>0.02</v>
      </c>
      <c r="R2955" s="7" t="str">
        <f t="shared" si="59"/>
        <v>E:\附赠：Excel模板\精美EXCEL模板\其他1000例</v>
      </c>
      <c r="S2955" s="9">
        <v>43600.3821643519</v>
      </c>
      <c r="T2955" s="9">
        <v>43390.5182407407</v>
      </c>
    </row>
    <row r="2956" spans="14:20">
      <c r="N2956" s="7" t="str">
        <f>HYPERLINK("E:\附赠：Excel模板\精美EXCEL模板\其他1000例\财政国库管理制度改革范围划分建议表.xls","财政国库管理制度改革范围划分建议表.xls")</f>
        <v>财政国库管理制度改革范围划分建议表.xls</v>
      </c>
      <c r="Q2956">
        <v>0.02</v>
      </c>
      <c r="R2956" s="7" t="str">
        <f t="shared" si="59"/>
        <v>E:\附赠：Excel模板\精美EXCEL模板\其他1000例</v>
      </c>
      <c r="S2956" s="9">
        <v>43600.3821643519</v>
      </c>
      <c r="T2956" s="9">
        <v>43390.5182407407</v>
      </c>
    </row>
    <row r="2957" spans="14:20">
      <c r="N2957" s="7" t="str">
        <f>HYPERLINK("E:\附赠：Excel模板\精美EXCEL模板\其他1000例\财政性建设项目阶段式审核流程总表.xls","财政性建设项目阶段式审核流程总表.xls")</f>
        <v>财政性建设项目阶段式审核流程总表.xls</v>
      </c>
      <c r="Q2957">
        <v>0.04</v>
      </c>
      <c r="R2957" s="7" t="str">
        <f t="shared" si="59"/>
        <v>E:\附赠：Excel模板\精美EXCEL模板\其他1000例</v>
      </c>
      <c r="S2957" s="9">
        <v>43600.3821643519</v>
      </c>
      <c r="T2957" s="9">
        <v>43390.5182407407</v>
      </c>
    </row>
    <row r="2958" spans="14:20">
      <c r="N2958" s="7" t="str">
        <f>HYPERLINK("E:\附赠：Excel模板\精美EXCEL模板\其他1000例\财政票据使用情况表.xls","财政票据使用情况表.xls")</f>
        <v>财政票据使用情况表.xls</v>
      </c>
      <c r="Q2958">
        <v>0.02</v>
      </c>
      <c r="R2958" s="7" t="str">
        <f t="shared" si="59"/>
        <v>E:\附赠：Excel模板\精美EXCEL模板\其他1000例</v>
      </c>
      <c r="S2958" s="9">
        <v>43600.3821643519</v>
      </c>
      <c r="T2958" s="9">
        <v>43390.5182407407</v>
      </c>
    </row>
    <row r="2959" spans="14:20">
      <c r="N2959" s="7" t="str">
        <f>HYPERLINK("E:\附赠：Excel模板\精美EXCEL模板\其他1000例\财政票据核销登记表.xls","财政票据核销登记表.xls")</f>
        <v>财政票据核销登记表.xls</v>
      </c>
      <c r="Q2959">
        <v>0.02</v>
      </c>
      <c r="R2959" s="7" t="str">
        <f t="shared" si="59"/>
        <v>E:\附赠：Excel模板\精美EXCEL模板\其他1000例</v>
      </c>
      <c r="S2959" s="9">
        <v>43600.3821643519</v>
      </c>
      <c r="T2959" s="9">
        <v>43390.5182407407</v>
      </c>
    </row>
    <row r="2960" spans="14:20">
      <c r="N2960" s="7" t="str">
        <f>HYPERLINK("E:\附赠：Excel模板\精美EXCEL模板\其他1000例\财政票据注册登记表.xls","财政票据注册登记表.xls")</f>
        <v>财政票据注册登记表.xls</v>
      </c>
      <c r="Q2960">
        <v>0.02</v>
      </c>
      <c r="R2960" s="7" t="str">
        <f t="shared" si="59"/>
        <v>E:\附赠：Excel模板\精美EXCEL模板\其他1000例</v>
      </c>
      <c r="S2960" s="9">
        <v>43600.3821643519</v>
      </c>
      <c r="T2960" s="9">
        <v>43390.5182407407</v>
      </c>
    </row>
    <row r="2961" spans="14:20">
      <c r="N2961" s="7" t="str">
        <f>HYPERLINK("E:\附赠：Excel模板\精美EXCEL模板\其他1000例\财政资金决算汇总表.xls","财政资金决算汇总表.xls")</f>
        <v>财政资金决算汇总表.xls</v>
      </c>
      <c r="Q2961">
        <v>0.02</v>
      </c>
      <c r="R2961" s="7" t="str">
        <f t="shared" si="59"/>
        <v>E:\附赠：Excel模板\精美EXCEL模板\其他1000例</v>
      </c>
      <c r="S2961" s="9">
        <v>43600.3821643519</v>
      </c>
      <c r="T2961" s="9">
        <v>43390.5182407407</v>
      </c>
    </row>
    <row r="2962" spans="14:20">
      <c r="N2962" s="7" t="str">
        <f>HYPERLINK("E:\附赠：Excel模板\精美EXCEL模板\其他1000例\财政资金支持技术创新项目检查汇总表.xls","财政资金支持技术创新项目检查汇总表.xls")</f>
        <v>财政资金支持技术创新项目检查汇总表.xls</v>
      </c>
      <c r="Q2962">
        <v>0.02</v>
      </c>
      <c r="R2962" s="7" t="str">
        <f t="shared" si="59"/>
        <v>E:\附赠：Excel模板\精美EXCEL模板\其他1000例</v>
      </c>
      <c r="S2962" s="9">
        <v>43600.3821643519</v>
      </c>
      <c r="T2962" s="9">
        <v>43390.5182175926</v>
      </c>
    </row>
    <row r="2963" spans="14:20">
      <c r="N2963" s="7" t="str">
        <f>HYPERLINK("E:\附赠：Excel模板\精美EXCEL模板\其他1000例\财政采购验收单.xls","财政采购验收单.xls")</f>
        <v>财政采购验收单.xls</v>
      </c>
      <c r="Q2963">
        <v>0.03</v>
      </c>
      <c r="R2963" s="7" t="str">
        <f t="shared" si="59"/>
        <v>E:\附赠：Excel模板\精美EXCEL模板\其他1000例</v>
      </c>
      <c r="S2963" s="9">
        <v>43600.3821643519</v>
      </c>
      <c r="T2963" s="9">
        <v>43390.5182407407</v>
      </c>
    </row>
    <row r="2964" spans="14:20">
      <c r="N2964" s="7" t="str">
        <f>HYPERLINK("E:\附赠：Excel模板\精美EXCEL模板\其他1000例\财政预算信用等级申请评定表.xls","财政预算信用等级申请评定表.xls")</f>
        <v>财政预算信用等级申请评定表.xls</v>
      </c>
      <c r="Q2964">
        <v>0.03</v>
      </c>
      <c r="R2964" s="7" t="str">
        <f t="shared" si="59"/>
        <v>E:\附赠：Excel模板\精美EXCEL模板\其他1000例</v>
      </c>
      <c r="S2964" s="9">
        <v>43600.3821643519</v>
      </c>
      <c r="T2964" s="9">
        <v>43390.5182407407</v>
      </c>
    </row>
    <row r="2965" spans="14:20">
      <c r="N2965" s="7" t="str">
        <f>HYPERLINK("E:\附赠：Excel模板\精美EXCEL模板\其他1000例\货币投资情况明细表.xls","货币投资情况明细表.xls")</f>
        <v>货币投资情况明细表.xls</v>
      </c>
      <c r="Q2965">
        <v>0.01</v>
      </c>
      <c r="R2965" s="7" t="str">
        <f t="shared" si="59"/>
        <v>E:\附赠：Excel模板\精美EXCEL模板\其他1000例</v>
      </c>
      <c r="S2965" s="9">
        <v>43600.3821643519</v>
      </c>
      <c r="T2965" s="9">
        <v>43390.517962963</v>
      </c>
    </row>
    <row r="2966" spans="14:20">
      <c r="N2966" s="7" t="str">
        <f>HYPERLINK("E:\附赠：Excel模板\精美EXCEL模板\其他1000例\货币资产及存货调查表.xls","货币资产及存货调查表.xls")</f>
        <v>货币资产及存货调查表.xls</v>
      </c>
      <c r="Q2966">
        <v>0.02</v>
      </c>
      <c r="R2966" s="7" t="str">
        <f t="shared" si="59"/>
        <v>E:\附赠：Excel模板\精美EXCEL模板\其他1000例</v>
      </c>
      <c r="S2966" s="9">
        <v>43600.3821643519</v>
      </c>
      <c r="T2966" s="9">
        <v>43390.517962963</v>
      </c>
    </row>
    <row r="2967" spans="14:20">
      <c r="N2967" s="7" t="str">
        <f>HYPERLINK("E:\附赠：Excel模板\精美EXCEL模板\其他1000例\贫困学生登记表.xls","贫困学生登记表.xls")</f>
        <v>贫困学生登记表.xls</v>
      </c>
      <c r="Q2967">
        <v>0.02</v>
      </c>
      <c r="R2967" s="7" t="str">
        <f t="shared" si="59"/>
        <v>E:\附赠：Excel模板\精美EXCEL模板\其他1000例</v>
      </c>
      <c r="S2967" s="9">
        <v>43600.3821643519</v>
      </c>
      <c r="T2967" s="9">
        <v>43390.517662037</v>
      </c>
    </row>
    <row r="2968" spans="14:20">
      <c r="N2968" s="7" t="str">
        <f>HYPERLINK("E:\附赠：Excel模板\精美EXCEL模板\其他1000例\贫困家庭子女实行免费教育学生名册.xls","贫困家庭子女实行免费教育学生名册.xls")</f>
        <v>贫困家庭子女实行免费教育学生名册.xls</v>
      </c>
      <c r="Q2968">
        <v>0.02</v>
      </c>
      <c r="R2968" s="7" t="str">
        <f t="shared" si="59"/>
        <v>E:\附赠：Excel模板\精美EXCEL模板\其他1000例</v>
      </c>
      <c r="S2968" s="9">
        <v>43600.3821643519</v>
      </c>
      <c r="T2968" s="9">
        <v>43390.5176851852</v>
      </c>
    </row>
    <row r="2969" spans="14:20">
      <c r="N2969" s="7" t="str">
        <f>HYPERLINK("E:\附赠：Excel模板\精美EXCEL模板\其他1000例\贫困家庭经济困难学生免杂费资金分配表.xls","贫困家庭经济困难学生免杂费资金分配表.xls")</f>
        <v>贫困家庭经济困难学生免杂费资金分配表.xls</v>
      </c>
      <c r="Q2969">
        <v>0.02</v>
      </c>
      <c r="R2969" s="7" t="str">
        <f t="shared" si="59"/>
        <v>E:\附赠：Excel模板\精美EXCEL模板\其他1000例</v>
      </c>
      <c r="S2969" s="9">
        <v>43600.3821643519</v>
      </c>
      <c r="T2969" s="9">
        <v>43390.5176851852</v>
      </c>
    </row>
    <row r="2970" spans="14:20">
      <c r="N2970" s="7" t="str">
        <f>HYPERLINK("E:\附赠：Excel模板\精美EXCEL模板\其他1000例\贫困户家庭情况一览表.xls","贫困户家庭情况一览表.xls")</f>
        <v>贫困户家庭情况一览表.xls</v>
      </c>
      <c r="Q2970">
        <v>0.01</v>
      </c>
      <c r="R2970" s="7" t="str">
        <f t="shared" si="59"/>
        <v>E:\附赠：Excel模板\精美EXCEL模板\其他1000例</v>
      </c>
      <c r="S2970" s="9">
        <v>43600.3821643519</v>
      </c>
      <c r="T2970" s="9">
        <v>43390.5176851852</v>
      </c>
    </row>
    <row r="2971" spans="14:20">
      <c r="N2971" s="7" t="str">
        <f>HYPERLINK("E:\附赠：Excel模板\精美EXCEL模板\其他1000例\购房家庭贷款贴息申请表.xls","购房家庭贷款贴息申请表.xls")</f>
        <v>购房家庭贷款贴息申请表.xls</v>
      </c>
      <c r="Q2971">
        <v>0.02</v>
      </c>
      <c r="R2971" s="7" t="str">
        <f t="shared" si="59"/>
        <v>E:\附赠：Excel模板\精美EXCEL模板\其他1000例</v>
      </c>
      <c r="S2971" s="9">
        <v>43600.3821643519</v>
      </c>
      <c r="T2971" s="9">
        <v>43390.5180092593</v>
      </c>
    </row>
    <row r="2972" spans="14:20">
      <c r="N2972" s="7" t="str">
        <f>HYPERLINK("E:\附赠：Excel模板\精美EXCEL模板\其他1000例\购车分期付款计算表.xls","购车分期付款计算表.xls")</f>
        <v>购车分期付款计算表.xls</v>
      </c>
      <c r="Q2972">
        <v>0.03</v>
      </c>
      <c r="R2972" s="7" t="str">
        <f t="shared" si="59"/>
        <v>E:\附赠：Excel模板\精美EXCEL模板\其他1000例</v>
      </c>
      <c r="S2972" s="9">
        <v>43600.3821643519</v>
      </c>
      <c r="T2972" s="9">
        <v>43390.5180092593</v>
      </c>
    </row>
    <row r="2973" spans="14:20">
      <c r="N2973" s="7" t="str">
        <f>HYPERLINK("E:\附赠：Excel模板\精美EXCEL模板\其他1000例\贷款协定执行情况表.xls","贷款协定执行情况表.xls")</f>
        <v>贷款协定执行情况表.xls</v>
      </c>
      <c r="Q2973">
        <v>0.02</v>
      </c>
      <c r="R2973" s="7" t="str">
        <f t="shared" si="59"/>
        <v>E:\附赠：Excel模板\精美EXCEL模板\其他1000例</v>
      </c>
      <c r="S2973" s="9">
        <v>43600.3821643519</v>
      </c>
      <c r="T2973" s="9">
        <v>43390.518125</v>
      </c>
    </row>
    <row r="2974" spans="14:20">
      <c r="N2974" s="7" t="str">
        <f>HYPERLINK("E:\附赠：Excel模板\精美EXCEL模板\其他1000例\费用滚动预算.xls","费用滚动预算.xls")</f>
        <v>费用滚动预算.xls</v>
      </c>
      <c r="Q2974">
        <v>0.04</v>
      </c>
      <c r="R2974" s="7" t="str">
        <f t="shared" si="59"/>
        <v>E:\附赠：Excel模板\精美EXCEL模板\其他1000例</v>
      </c>
      <c r="S2974" s="9">
        <v>43600.3821643519</v>
      </c>
      <c r="T2974" s="9">
        <v>43390.5180787037</v>
      </c>
    </row>
    <row r="2975" spans="14:20">
      <c r="N2975" s="7" t="str">
        <f>HYPERLINK("E:\附赠：Excel模板\精美EXCEL模板\其他1000例\资产减值准备明细表.xls","资产减值准备明细表.xls")</f>
        <v>资产减值准备明细表.xls</v>
      </c>
      <c r="Q2975">
        <v>0.02</v>
      </c>
      <c r="R2975" s="7" t="str">
        <f t="shared" si="59"/>
        <v>E:\附赠：Excel模板\精美EXCEL模板\其他1000例</v>
      </c>
      <c r="S2975" s="9">
        <v>43600.3821643519</v>
      </c>
      <c r="T2975" s="9">
        <v>43390.5169907407</v>
      </c>
    </row>
    <row r="2976" spans="14:20">
      <c r="N2976" s="7" t="str">
        <f>HYPERLINK("E:\附赠：Excel模板\精美EXCEL模板\其他1000例\资产清查表.xls","资产清查表.xls")</f>
        <v>资产清查表.xls</v>
      </c>
      <c r="Q2976">
        <v>0.02</v>
      </c>
      <c r="R2976" s="7" t="str">
        <f t="shared" si="59"/>
        <v>E:\附赠：Excel模板\精美EXCEL模板\其他1000例</v>
      </c>
      <c r="S2976" s="9">
        <v>43600.3821643519</v>
      </c>
      <c r="T2976" s="9">
        <v>43390.5169907407</v>
      </c>
    </row>
    <row r="2977" spans="14:20">
      <c r="N2977" s="7" t="str">
        <f>HYPERLINK("E:\附赠：Excel模板\精美EXCEL模板\其他1000例\资产管理公司资产处置公示.xls","资产管理公司资产处置公示.xls")</f>
        <v>资产管理公司资产处置公示.xls</v>
      </c>
      <c r="Q2977">
        <v>0.05</v>
      </c>
      <c r="R2977" s="7" t="str">
        <f t="shared" si="59"/>
        <v>E:\附赠：Excel模板\精美EXCEL模板\其他1000例</v>
      </c>
      <c r="S2977" s="9">
        <v>43600.3821643519</v>
      </c>
      <c r="T2977" s="9">
        <v>43390.5169907407</v>
      </c>
    </row>
    <row r="2978" spans="14:20">
      <c r="N2978" s="7" t="str">
        <f>HYPERLINK("E:\附赠：Excel模板\精美EXCEL模板\其他1000例\资产评估结果汇总表.xls","资产评估结果汇总表.xls")</f>
        <v>资产评估结果汇总表.xls</v>
      </c>
      <c r="Q2978">
        <v>0.01</v>
      </c>
      <c r="R2978" s="7" t="str">
        <f t="shared" si="59"/>
        <v>E:\附赠：Excel模板\精美EXCEL模板\其他1000例</v>
      </c>
      <c r="S2978" s="9">
        <v>43600.3821643519</v>
      </c>
      <c r="T2978" s="9">
        <v>43390.5169907407</v>
      </c>
    </row>
    <row r="2979" spans="14:20">
      <c r="N2979" s="7" t="str">
        <f>HYPERLINK("E:\附赠：Excel模板\精美EXCEL模板\其他1000例\资产评估项目基本情况.xls","资产评估项目基本情况.xls")</f>
        <v>资产评估项目基本情况.xls</v>
      </c>
      <c r="Q2979">
        <v>0.02</v>
      </c>
      <c r="R2979" s="7" t="str">
        <f t="shared" si="59"/>
        <v>E:\附赠：Excel模板\精美EXCEL模板\其他1000例</v>
      </c>
      <c r="S2979" s="9">
        <v>43600.3821643519</v>
      </c>
      <c r="T2979" s="9">
        <v>43390.5169907407</v>
      </c>
    </row>
    <row r="2980" spans="14:20">
      <c r="N2980" s="7" t="str">
        <f>HYPERLINK("E:\附赠：Excel模板\精美EXCEL模板\其他1000例\资产评估项目核准申请表.xls","资产评估项目核准申请表.xls")</f>
        <v>资产评估项目核准申请表.xls</v>
      </c>
      <c r="Q2980">
        <v>0.02</v>
      </c>
      <c r="R2980" s="7" t="str">
        <f t="shared" si="59"/>
        <v>E:\附赠：Excel模板\精美EXCEL模板\其他1000例</v>
      </c>
      <c r="S2980" s="9">
        <v>43600.3821643519</v>
      </c>
      <c r="T2980" s="9">
        <v>43390.5169907407</v>
      </c>
    </row>
    <row r="2981" spans="14:20">
      <c r="N2981" s="7" t="str">
        <f>HYPERLINK("E:\附赠：Excel模板\精美EXCEL模板\其他1000例\资产负债表1.xls","资产负债表1.xls")</f>
        <v>资产负债表1.xls</v>
      </c>
      <c r="Q2981">
        <v>0.02</v>
      </c>
      <c r="R2981" s="7" t="str">
        <f t="shared" si="59"/>
        <v>E:\附赠：Excel模板\精美EXCEL模板\其他1000例</v>
      </c>
      <c r="S2981" s="9">
        <v>43600.3821643519</v>
      </c>
      <c r="T2981" s="9">
        <v>43390.5170138889</v>
      </c>
    </row>
    <row r="2982" spans="14:20">
      <c r="N2982" s="7" t="str">
        <f>HYPERLINK("E:\附赠：Excel模板\精美EXCEL模板\其他1000例\资产负债表10.xls","资产负债表10.xls")</f>
        <v>资产负债表10.xls</v>
      </c>
      <c r="Q2982">
        <v>0.02</v>
      </c>
      <c r="R2982" s="7" t="str">
        <f t="shared" si="59"/>
        <v>E:\附赠：Excel模板\精美EXCEL模板\其他1000例</v>
      </c>
      <c r="S2982" s="9">
        <v>43600.3821643519</v>
      </c>
      <c r="T2982" s="9">
        <v>43390.5170138889</v>
      </c>
    </row>
    <row r="2983" spans="14:20">
      <c r="N2983" s="7" t="str">
        <f>HYPERLINK("E:\附赠：Excel模板\精美EXCEL模板\其他1000例\资产负债表11.xls","资产负债表11.xls")</f>
        <v>资产负债表11.xls</v>
      </c>
      <c r="Q2983">
        <v>0.02</v>
      </c>
      <c r="R2983" s="7" t="str">
        <f t="shared" si="59"/>
        <v>E:\附赠：Excel模板\精美EXCEL模板\其他1000例</v>
      </c>
      <c r="S2983" s="9">
        <v>43600.3821643519</v>
      </c>
      <c r="T2983" s="9">
        <v>43390.5170138889</v>
      </c>
    </row>
    <row r="2984" spans="14:20">
      <c r="N2984" s="7" t="str">
        <f>HYPERLINK("E:\附赠：Excel模板\精美EXCEL模板\其他1000例\资产负债表2.xls","资产负债表2.xls")</f>
        <v>资产负债表2.xls</v>
      </c>
      <c r="Q2984">
        <v>0.03</v>
      </c>
      <c r="R2984" s="7" t="str">
        <f t="shared" si="59"/>
        <v>E:\附赠：Excel模板\精美EXCEL模板\其他1000例</v>
      </c>
      <c r="S2984" s="9">
        <v>43600.3821643519</v>
      </c>
      <c r="T2984" s="9">
        <v>43390.5170138889</v>
      </c>
    </row>
    <row r="2985" spans="14:20">
      <c r="N2985" s="7" t="str">
        <f>HYPERLINK("E:\附赠：Excel模板\精美EXCEL模板\其他1000例\资产负债表3.xls","资产负债表3.xls")</f>
        <v>资产负债表3.xls</v>
      </c>
      <c r="Q2985">
        <v>0.03</v>
      </c>
      <c r="R2985" s="7" t="str">
        <f t="shared" si="59"/>
        <v>E:\附赠：Excel模板\精美EXCEL模板\其他1000例</v>
      </c>
      <c r="S2985" s="9">
        <v>43600.3821643519</v>
      </c>
      <c r="T2985" s="9">
        <v>43390.5170138889</v>
      </c>
    </row>
    <row r="2986" spans="14:20">
      <c r="N2986" s="7" t="str">
        <f>HYPERLINK("E:\附赠：Excel模板\精美EXCEL模板\其他1000例\资产负债表4.xls","资产负债表4.xls")</f>
        <v>资产负债表4.xls</v>
      </c>
      <c r="Q2986">
        <v>0.08</v>
      </c>
      <c r="R2986" s="7" t="str">
        <f t="shared" si="59"/>
        <v>E:\附赠：Excel模板\精美EXCEL模板\其他1000例</v>
      </c>
      <c r="S2986" s="9">
        <v>43600.3821643519</v>
      </c>
      <c r="T2986" s="9">
        <v>43390.5169907407</v>
      </c>
    </row>
    <row r="2987" spans="14:20">
      <c r="N2987" s="7" t="str">
        <f>HYPERLINK("E:\附赠：Excel模板\精美EXCEL模板\其他1000例\资产负债表5.xls","资产负债表5.xls")</f>
        <v>资产负债表5.xls</v>
      </c>
      <c r="Q2987">
        <v>0.05</v>
      </c>
      <c r="R2987" s="7" t="str">
        <f t="shared" si="59"/>
        <v>E:\附赠：Excel模板\精美EXCEL模板\其他1000例</v>
      </c>
      <c r="S2987" s="9">
        <v>43600.3821643519</v>
      </c>
      <c r="T2987" s="9">
        <v>43390.5169907407</v>
      </c>
    </row>
    <row r="2988" spans="14:20">
      <c r="N2988" s="7" t="str">
        <f>HYPERLINK("E:\附赠：Excel模板\精美EXCEL模板\其他1000例\资产负债表6.xls","资产负债表6.xls")</f>
        <v>资产负债表6.xls</v>
      </c>
      <c r="Q2988">
        <v>0.03</v>
      </c>
      <c r="R2988" s="7" t="str">
        <f t="shared" si="59"/>
        <v>E:\附赠：Excel模板\精美EXCEL模板\其他1000例</v>
      </c>
      <c r="S2988" s="9">
        <v>43600.3821643519</v>
      </c>
      <c r="T2988" s="9">
        <v>43390.5169907407</v>
      </c>
    </row>
    <row r="2989" spans="14:20">
      <c r="N2989" s="7" t="str">
        <f>HYPERLINK("E:\附赠：Excel模板\精美EXCEL模板\其他1000例\资产负债表7.xls","资产负债表7.xls")</f>
        <v>资产负债表7.xls</v>
      </c>
      <c r="Q2989">
        <v>0.03</v>
      </c>
      <c r="R2989" s="7" t="str">
        <f t="shared" si="59"/>
        <v>E:\附赠：Excel模板\精美EXCEL模板\其他1000例</v>
      </c>
      <c r="S2989" s="9">
        <v>43600.3821643519</v>
      </c>
      <c r="T2989" s="9">
        <v>43390.5170138889</v>
      </c>
    </row>
    <row r="2990" spans="14:20">
      <c r="N2990" s="7" t="str">
        <f>HYPERLINK("E:\附赠：Excel模板\精美EXCEL模板\其他1000例\资产负债表8.xls","资产负债表8.xls")</f>
        <v>资产负债表8.xls</v>
      </c>
      <c r="Q2990">
        <v>0.02</v>
      </c>
      <c r="R2990" s="7" t="str">
        <f t="shared" si="59"/>
        <v>E:\附赠：Excel模板\精美EXCEL模板\其他1000例</v>
      </c>
      <c r="S2990" s="9">
        <v>43600.3821643519</v>
      </c>
      <c r="T2990" s="9">
        <v>43390.5169907407</v>
      </c>
    </row>
    <row r="2991" spans="14:20">
      <c r="N2991" s="7" t="str">
        <f>HYPERLINK("E:\附赠：Excel模板\精美EXCEL模板\其他1000例\资产负债表9.xls","资产负债表9.xls")</f>
        <v>资产负债表9.xls</v>
      </c>
      <c r="Q2991">
        <v>0.02</v>
      </c>
      <c r="R2991" s="7" t="str">
        <f t="shared" si="59"/>
        <v>E:\附赠：Excel模板\精美EXCEL模板\其他1000例</v>
      </c>
      <c r="S2991" s="9">
        <v>43600.3821643519</v>
      </c>
      <c r="T2991" s="9">
        <v>43390.5169907407</v>
      </c>
    </row>
    <row r="2992" spans="14:20">
      <c r="N2992" s="7" t="str">
        <f>HYPERLINK("E:\附赠：Excel模板\精美EXCEL模板\其他1000例\资金周报表.xls","资金周报表.xls")</f>
        <v>资金周报表.xls</v>
      </c>
      <c r="Q2992">
        <v>0.02</v>
      </c>
      <c r="R2992" s="7" t="str">
        <f t="shared" si="59"/>
        <v>E:\附赠：Excel模板\精美EXCEL模板\其他1000例</v>
      </c>
      <c r="S2992" s="9">
        <v>43600.3821643519</v>
      </c>
      <c r="T2992" s="9">
        <v>43390.5169675926</v>
      </c>
    </row>
    <row r="2993" spans="14:20">
      <c r="N2993" s="7" t="str">
        <f>HYPERLINK("E:\附赠：Excel模板\精美EXCEL模板\其他1000例\资金平衡表.xls","资金平衡表.xls")</f>
        <v>资金平衡表.xls</v>
      </c>
      <c r="Q2993">
        <v>0.03</v>
      </c>
      <c r="R2993" s="7" t="str">
        <f t="shared" si="59"/>
        <v>E:\附赠：Excel模板\精美EXCEL模板\其他1000例</v>
      </c>
      <c r="S2993" s="9">
        <v>43600.3821643519</v>
      </c>
      <c r="T2993" s="9">
        <v>43390.5169675926</v>
      </c>
    </row>
    <row r="2994" spans="14:20">
      <c r="N2994" s="7" t="str">
        <f>HYPERLINK("E:\附赠：Excel模板\精美EXCEL模板\其他1000例\资金报表.xls","资金报表.xls")</f>
        <v>资金报表.xls</v>
      </c>
      <c r="Q2994">
        <v>0.02</v>
      </c>
      <c r="R2994" s="7" t="str">
        <f t="shared" si="59"/>
        <v>E:\附赠：Excel模板\精美EXCEL模板\其他1000例</v>
      </c>
      <c r="S2994" s="9">
        <v>43600.3821643519</v>
      </c>
      <c r="T2994" s="9">
        <v>43390.5169907407</v>
      </c>
    </row>
    <row r="2995" spans="14:20">
      <c r="N2995" s="7" t="str">
        <f>HYPERLINK("E:\附赠：Excel模板\精美EXCEL模板\其他1000例\资金核实申报表.xls","资金核实申报表.xls")</f>
        <v>资金核实申报表.xls</v>
      </c>
      <c r="Q2995">
        <v>0.02</v>
      </c>
      <c r="R2995" s="7" t="str">
        <f t="shared" si="59"/>
        <v>E:\附赠：Excel模板\精美EXCEL模板\其他1000例</v>
      </c>
      <c r="S2995" s="9">
        <v>43600.3821643519</v>
      </c>
      <c r="T2995" s="9">
        <v>43390.5169907407</v>
      </c>
    </row>
    <row r="2996" spans="14:20">
      <c r="N2996" s="7" t="str">
        <f>HYPERLINK("E:\附赠：Excel模板\精美EXCEL模板\其他1000例\资金活动表.xls","资金活动表.xls")</f>
        <v>资金活动表.xls</v>
      </c>
      <c r="Q2996">
        <v>0.02</v>
      </c>
      <c r="R2996" s="7" t="str">
        <f t="shared" si="59"/>
        <v>E:\附赠：Excel模板\精美EXCEL模板\其他1000例</v>
      </c>
      <c r="S2996" s="9">
        <v>43600.3821643519</v>
      </c>
      <c r="T2996" s="9">
        <v>43390.5169675926</v>
      </c>
    </row>
    <row r="2997" spans="14:20">
      <c r="N2997" s="7" t="str">
        <f>HYPERLINK("E:\附赠：Excel模板\精美EXCEL模板\其他1000例\资金登记.xls","资金登记.xls")</f>
        <v>资金登记.xls</v>
      </c>
      <c r="Q2997">
        <v>0.02</v>
      </c>
      <c r="R2997" s="7" t="str">
        <f t="shared" si="59"/>
        <v>E:\附赠：Excel模板\精美EXCEL模板\其他1000例</v>
      </c>
      <c r="S2997" s="9">
        <v>43600.3821643519</v>
      </c>
      <c r="T2997" s="9">
        <v>43390.5169907407</v>
      </c>
    </row>
    <row r="2998" spans="14:20">
      <c r="N2998" s="7" t="str">
        <f>HYPERLINK("E:\附赠：Excel模板\精美EXCEL模板\其他1000例\资金管理状况表.xls","资金管理状况表.xls")</f>
        <v>资金管理状况表.xls</v>
      </c>
      <c r="Q2998">
        <v>0.02</v>
      </c>
      <c r="R2998" s="7" t="str">
        <f t="shared" si="59"/>
        <v>E:\附赠：Excel模板\精美EXCEL模板\其他1000例</v>
      </c>
      <c r="S2998" s="9">
        <v>43600.3821643519</v>
      </c>
      <c r="T2998" s="9">
        <v>43390.5169907407</v>
      </c>
    </row>
    <row r="2999" spans="14:20">
      <c r="N2999" s="7" t="str">
        <f>HYPERLINK("E:\附赠：Excel模板\精美EXCEL模板\其他1000例\赊销审核表.xls","赊销审核表.xls")</f>
        <v>赊销审核表.xls</v>
      </c>
      <c r="Q2999">
        <v>0.02</v>
      </c>
      <c r="R2999" s="7" t="str">
        <f t="shared" si="59"/>
        <v>E:\附赠：Excel模板\精美EXCEL模板\其他1000例</v>
      </c>
      <c r="S2999" s="9">
        <v>43600.3821643519</v>
      </c>
      <c r="T2999" s="9">
        <v>43390.5175694444</v>
      </c>
    </row>
    <row r="3000" spans="14:20">
      <c r="N3000" s="7" t="str">
        <f>HYPERLINK("E:\附赠：Excel模板\精美EXCEL模板\其他1000例\赴俄罗斯个人资料表.xls","赴俄罗斯个人资料表.xls")</f>
        <v>赴俄罗斯个人资料表.xls</v>
      </c>
      <c r="Q3000">
        <v>0.02</v>
      </c>
      <c r="R3000" s="7" t="str">
        <f t="shared" si="59"/>
        <v>E:\附赠：Excel模板\精美EXCEL模板\其他1000例</v>
      </c>
      <c r="S3000" s="9">
        <v>43600.3821643519</v>
      </c>
      <c r="T3000" s="9">
        <v>43390.5180555556</v>
      </c>
    </row>
    <row r="3001" spans="14:20">
      <c r="N3001" s="7" t="str">
        <f>HYPERLINK("E:\附赠：Excel模板\精美EXCEL模板\其他1000例\趋势分析表.xls","趋势分析表.xls")</f>
        <v>趋势分析表.xls</v>
      </c>
      <c r="Q3001">
        <v>0.02</v>
      </c>
      <c r="R3001" s="7" t="str">
        <f t="shared" si="59"/>
        <v>E:\附赠：Excel模板\精美EXCEL模板\其他1000例</v>
      </c>
      <c r="S3001" s="9">
        <v>43600.3821643519</v>
      </c>
      <c r="T3001" s="9">
        <v>43390.5176157407</v>
      </c>
    </row>
    <row r="3002" spans="14:20">
      <c r="N3002" s="7" t="str">
        <f>HYPERLINK("E:\附赠：Excel模板\精美EXCEL模板\其他1000例\跆拳道馆学员登记表.xls","跆拳道馆学员登记表.xls")</f>
        <v>跆拳道馆学员登记表.xls</v>
      </c>
      <c r="Q3002">
        <v>0.02</v>
      </c>
      <c r="R3002" s="7" t="str">
        <f t="shared" si="59"/>
        <v>E:\附赠：Excel模板\精美EXCEL模板\其他1000例</v>
      </c>
      <c r="S3002" s="9">
        <v>43600.3821643519</v>
      </c>
      <c r="T3002" s="9">
        <v>43390.5169675926</v>
      </c>
    </row>
    <row r="3003" spans="14:20">
      <c r="N3003" s="7" t="str">
        <f>HYPERLINK("E:\附赠：Excel模板\精美EXCEL模板\其他1000例\路网建设报表.xls","路网建设报表.xls")</f>
        <v>路网建设报表.xls</v>
      </c>
      <c r="Q3003">
        <v>0.1</v>
      </c>
      <c r="R3003" s="7" t="str">
        <f t="shared" ref="R3003:R3066" si="60">HYPERLINK("E:\附赠：Excel模板\精美EXCEL模板\其他1000例","E:\附赠：Excel模板\精美EXCEL模板\其他1000例")</f>
        <v>E:\附赠：Excel模板\精美EXCEL模板\其他1000例</v>
      </c>
      <c r="S3003" s="9">
        <v>43600.3821643519</v>
      </c>
      <c r="T3003" s="9">
        <v>43390.5177546296</v>
      </c>
    </row>
    <row r="3004" spans="14:20">
      <c r="N3004" s="7" t="str">
        <f>HYPERLINK("E:\附赠：Excel模板\精美EXCEL模板\其他1000例\车辆、设备类资产情况明细表.xls","车辆、设备类资产情况明细表.xls")</f>
        <v>车辆、设备类资产情况明细表.xls</v>
      </c>
      <c r="Q3004">
        <v>0.01</v>
      </c>
      <c r="R3004" s="7" t="str">
        <f t="shared" si="60"/>
        <v>E:\附赠：Excel模板\精美EXCEL模板\其他1000例</v>
      </c>
      <c r="S3004" s="9">
        <v>43600.3821643519</v>
      </c>
      <c r="T3004" s="9">
        <v>43390.5182175926</v>
      </c>
    </row>
    <row r="3005" spans="14:20">
      <c r="N3005" s="7" t="str">
        <f>HYPERLINK("E:\附赠：Excel模板\精美EXCEL模板\其他1000例\轮渡码头客运航班公告.xls","轮渡码头客运航班公告.xls")</f>
        <v>轮渡码头客运航班公告.xls</v>
      </c>
      <c r="Q3005">
        <v>0.01</v>
      </c>
      <c r="R3005" s="7" t="str">
        <f t="shared" si="60"/>
        <v>E:\附赠：Excel模板\精美EXCEL模板\其他1000例</v>
      </c>
      <c r="S3005" s="9">
        <v>43600.3821643519</v>
      </c>
      <c r="T3005" s="9">
        <v>43390.5177314815</v>
      </c>
    </row>
    <row r="3006" spans="14:20">
      <c r="N3006" s="7" t="str">
        <f>HYPERLINK("E:\附赠：Excel模板\精美EXCEL模板\其他1000例\运输主要统计指标年报.xls","运输主要统计指标年报.xls")</f>
        <v>运输主要统计指标年报.xls</v>
      </c>
      <c r="Q3006">
        <v>0.02</v>
      </c>
      <c r="R3006" s="7" t="str">
        <f t="shared" si="60"/>
        <v>E:\附赠：Excel模板\精美EXCEL模板\其他1000例</v>
      </c>
      <c r="S3006" s="9">
        <v>43600.3821643519</v>
      </c>
      <c r="T3006" s="9">
        <v>43390.5171064815</v>
      </c>
    </row>
    <row r="3007" spans="14:20">
      <c r="N3007" s="7" t="str">
        <f>HYPERLINK("E:\附赠：Excel模板\精美EXCEL模板\其他1000例\近三年选用教材情况一览表.xls","近三年选用教材情况一览表.xls")</f>
        <v>近三年选用教材情况一览表.xls</v>
      </c>
      <c r="Q3007">
        <v>0.02</v>
      </c>
      <c r="R3007" s="7" t="str">
        <f t="shared" si="60"/>
        <v>E:\附赠：Excel模板\精美EXCEL模板\其他1000例</v>
      </c>
      <c r="S3007" s="9">
        <v>43600.3821643519</v>
      </c>
      <c r="T3007" s="9">
        <v>43390.5178240741</v>
      </c>
    </row>
    <row r="3008" spans="14:20">
      <c r="N3008" s="7" t="str">
        <f>HYPERLINK("E:\附赠：Excel模板\精美EXCEL模板\其他1000例\进出口商品网上交易会申请表.xls","进出口商品网上交易会申请表.xls")</f>
        <v>进出口商品网上交易会申请表.xls</v>
      </c>
      <c r="Q3008">
        <v>0.02</v>
      </c>
      <c r="R3008" s="7" t="str">
        <f t="shared" si="60"/>
        <v>E:\附赠：Excel模板\精美EXCEL模板\其他1000例</v>
      </c>
      <c r="S3008" s="9">
        <v>43600.3821643519</v>
      </c>
      <c r="T3008" s="9">
        <v>43390.5178472222</v>
      </c>
    </row>
    <row r="3009" spans="14:20">
      <c r="N3009" s="7" t="str">
        <f>HYPERLINK("E:\附赠：Excel模板\精美EXCEL模板\其他1000例\进货销货通知.xls","进货销货通知.xls")</f>
        <v>进货销货通知.xls</v>
      </c>
      <c r="Q3009">
        <v>0.02</v>
      </c>
      <c r="R3009" s="7" t="str">
        <f t="shared" si="60"/>
        <v>E:\附赠：Excel模板\精美EXCEL模板\其他1000例</v>
      </c>
      <c r="S3009" s="9">
        <v>43600.3821643519</v>
      </c>
      <c r="T3009" s="9">
        <v>43390.5178472222</v>
      </c>
    </row>
    <row r="3010" spans="14:20">
      <c r="N3010" s="7" t="str">
        <f>HYPERLINK("E:\附赠：Excel模板\精美EXCEL模板\其他1000例\违纪情况统计表.xls","违纪情况统计表.xls")</f>
        <v>违纪情况统计表.xls</v>
      </c>
      <c r="Q3010">
        <v>0.02</v>
      </c>
      <c r="R3010" s="7" t="str">
        <f t="shared" si="60"/>
        <v>E:\附赠：Excel模板\精美EXCEL模板\其他1000例</v>
      </c>
      <c r="S3010" s="9">
        <v>43600.3821643519</v>
      </c>
      <c r="T3010" s="9">
        <v>43390.5173842593</v>
      </c>
    </row>
    <row r="3011" spans="14:20">
      <c r="N3011" s="7" t="str">
        <f>HYPERLINK("E:\附赠：Excel模板\精美EXCEL模板\其他1000例\退赔外汇.xls","退赔外汇.xls")</f>
        <v>退赔外汇.xls</v>
      </c>
      <c r="Q3011">
        <v>0.02</v>
      </c>
      <c r="R3011" s="7" t="str">
        <f t="shared" si="60"/>
        <v>E:\附赠：Excel模板\精美EXCEL模板\其他1000例</v>
      </c>
      <c r="S3011" s="9">
        <v>43600.3821643519</v>
      </c>
      <c r="T3011" s="9">
        <v>43390.5174074074</v>
      </c>
    </row>
    <row r="3012" spans="14:20">
      <c r="N3012" s="7" t="str">
        <f>HYPERLINK("E:\附赠：Excel模板\精美EXCEL模板\其他1000例\选用外文原版教材一览表.xls","选用外文原版教材一览表.xls")</f>
        <v>选用外文原版教材一览表.xls</v>
      </c>
      <c r="Q3012">
        <v>0.02</v>
      </c>
      <c r="R3012" s="7" t="str">
        <f t="shared" si="60"/>
        <v>E:\附赠：Excel模板\精美EXCEL模板\其他1000例</v>
      </c>
      <c r="S3012" s="9">
        <v>43600.3821643519</v>
      </c>
      <c r="T3012" s="9">
        <v>43390.5172685185</v>
      </c>
    </row>
    <row r="3013" spans="14:20">
      <c r="N3013" s="7" t="str">
        <f>HYPERLINK("E:\附赠：Excel模板\精美EXCEL模板\其他1000例\道路养护投资情况年报.xls","道路养护投资情况年报.xls")</f>
        <v>道路养护投资情况年报.xls</v>
      </c>
      <c r="Q3013">
        <v>0.02</v>
      </c>
      <c r="R3013" s="7" t="str">
        <f t="shared" si="60"/>
        <v>E:\附赠：Excel模板\精美EXCEL模板\其他1000例</v>
      </c>
      <c r="S3013" s="9">
        <v>43600.3821759259</v>
      </c>
      <c r="T3013" s="9">
        <v>43390.518125</v>
      </c>
    </row>
    <row r="3014" spans="14:20">
      <c r="N3014" s="7" t="str">
        <f>HYPERLINK("E:\附赠：Excel模板\精美EXCEL模板\其他1000例\邮政电信企业补充指标表.xls","邮政电信企业补充指标表.xls")</f>
        <v>邮政电信企业补充指标表.xls</v>
      </c>
      <c r="Q3014">
        <v>0.02</v>
      </c>
      <c r="R3014" s="7" t="str">
        <f t="shared" si="60"/>
        <v>E:\附赠：Excel模板\精美EXCEL模板\其他1000例</v>
      </c>
      <c r="S3014" s="9">
        <v>43600.3821759259</v>
      </c>
      <c r="T3014" s="9">
        <v>43390.5171296296</v>
      </c>
    </row>
    <row r="3015" spans="14:20">
      <c r="N3015" s="7" t="str">
        <f>HYPERLINK("E:\附赠：Excel模板\精美EXCEL模板\其他1000例\部直属企事业单位情况统计表.xls","部直属企事业单位情况统计表.xls")</f>
        <v>部直属企事业单位情况统计表.xls</v>
      </c>
      <c r="Q3015">
        <v>0.02</v>
      </c>
      <c r="R3015" s="7" t="str">
        <f t="shared" si="60"/>
        <v>E:\附赠：Excel模板\精美EXCEL模板\其他1000例</v>
      </c>
      <c r="S3015" s="9">
        <v>43600.3821759259</v>
      </c>
      <c r="T3015" s="9">
        <v>43390.5182638889</v>
      </c>
    </row>
    <row r="3016" spans="14:20">
      <c r="N3016" s="7" t="str">
        <f>HYPERLINK("E:\附赠：Excel模板\精美EXCEL模板\其他1000例\部门包干经费预算安排汇总表.xls","部门包干经费预算安排汇总表.xls")</f>
        <v>部门包干经费预算安排汇总表.xls</v>
      </c>
      <c r="Q3016">
        <v>0.03</v>
      </c>
      <c r="R3016" s="7" t="str">
        <f t="shared" si="60"/>
        <v>E:\附赠：Excel模板\精美EXCEL模板\其他1000例</v>
      </c>
      <c r="S3016" s="9">
        <v>43600.3821759259</v>
      </c>
      <c r="T3016" s="9">
        <v>43390.518287037</v>
      </c>
    </row>
    <row r="3017" spans="14:20">
      <c r="N3017" s="7" t="str">
        <f>HYPERLINK("E:\附赠：Excel模板\精美EXCEL模板\其他1000例\部门日报表.xls","部门日报表.xls")</f>
        <v>部门日报表.xls</v>
      </c>
      <c r="Q3017">
        <v>0.01</v>
      </c>
      <c r="R3017" s="7" t="str">
        <f t="shared" si="60"/>
        <v>E:\附赠：Excel模板\精美EXCEL模板\其他1000例</v>
      </c>
      <c r="S3017" s="9">
        <v>43600.3821759259</v>
      </c>
      <c r="T3017" s="9">
        <v>43390.5182638889</v>
      </c>
    </row>
    <row r="3018" spans="14:20">
      <c r="N3018" s="7" t="str">
        <f>HYPERLINK("E:\附赠：Excel模板\精美EXCEL模板\其他1000例\部门电话分布一览表.xls","部门电话分布一览表.xls")</f>
        <v>部门电话分布一览表.xls</v>
      </c>
      <c r="Q3018">
        <v>0.03</v>
      </c>
      <c r="R3018" s="7" t="str">
        <f t="shared" si="60"/>
        <v>E:\附赠：Excel模板\精美EXCEL模板\其他1000例</v>
      </c>
      <c r="S3018" s="9">
        <v>43600.3821759259</v>
      </c>
      <c r="T3018" s="9">
        <v>43390.518287037</v>
      </c>
    </row>
    <row r="3019" spans="14:20">
      <c r="N3019" s="7" t="str">
        <f>HYPERLINK("E:\附赠：Excel模板\精美EXCEL模板\其他1000例\部门预算单位非税收入资金管理台账.xls","部门预算单位非税收入资金管理台账.xls")</f>
        <v>部门预算单位非税收入资金管理台账.xls</v>
      </c>
      <c r="Q3019">
        <v>0.02</v>
      </c>
      <c r="R3019" s="7" t="str">
        <f t="shared" si="60"/>
        <v>E:\附赠：Excel模板\精美EXCEL模板\其他1000例</v>
      </c>
      <c r="S3019" s="9">
        <v>43600.3821759259</v>
      </c>
      <c r="T3019" s="9">
        <v>43390.5182638889</v>
      </c>
    </row>
    <row r="3020" spans="14:20">
      <c r="N3020" s="7" t="str">
        <f>HYPERLINK("E:\附赠：Excel模板\精美EXCEL模板\其他1000例\部门（单位）票据领用情况表.xls","部门（单位）票据领用情况表.xls")</f>
        <v>部门（单位）票据领用情况表.xls</v>
      </c>
      <c r="Q3020">
        <v>0.02</v>
      </c>
      <c r="R3020" s="7" t="str">
        <f t="shared" si="60"/>
        <v>E:\附赠：Excel模板\精美EXCEL模板\其他1000例</v>
      </c>
      <c r="S3020" s="9">
        <v>43600.3821759259</v>
      </c>
      <c r="T3020" s="9">
        <v>43390.518287037</v>
      </c>
    </row>
    <row r="3021" spans="14:20">
      <c r="N3021" s="7" t="str">
        <f>HYPERLINK("E:\附赠：Excel模板\精美EXCEL模板\其他1000例\采购.xls","采购.xls")</f>
        <v>采购.xls</v>
      </c>
      <c r="Q3021">
        <v>0.03</v>
      </c>
      <c r="R3021" s="7" t="str">
        <f t="shared" si="60"/>
        <v>E:\附赠：Excel模板\精美EXCEL模板\其他1000例</v>
      </c>
      <c r="S3021" s="9">
        <v>43600.3821759259</v>
      </c>
      <c r="T3021" s="9">
        <v>43390.5182175926</v>
      </c>
    </row>
    <row r="3022" spans="14:20">
      <c r="N3022" s="7" t="str">
        <f>HYPERLINK("E:\附赠：Excel模板\精美EXCEL模板\其他1000例\采购报表.xls","采购报表.xls")</f>
        <v>采购报表.xls</v>
      </c>
      <c r="Q3022">
        <v>0.03</v>
      </c>
      <c r="R3022" s="7" t="str">
        <f t="shared" si="60"/>
        <v>E:\附赠：Excel模板\精美EXCEL模板\其他1000例</v>
      </c>
      <c r="S3022" s="9">
        <v>43600.3821759259</v>
      </c>
      <c r="T3022" s="9">
        <v>43390.5182175926</v>
      </c>
    </row>
    <row r="3023" spans="14:20">
      <c r="N3023" s="7" t="str">
        <f>HYPERLINK("E:\附赠：Excel模板\精美EXCEL模板\其他1000例\采购目录及采购限额标准和公开招标数额表.xls","采购目录及采购限额标准和公开招标数额表.xls")</f>
        <v>采购目录及采购限额标准和公开招标数额表.xls</v>
      </c>
      <c r="Q3023">
        <v>0.03</v>
      </c>
      <c r="R3023" s="7" t="str">
        <f t="shared" si="60"/>
        <v>E:\附赠：Excel模板\精美EXCEL模板\其他1000例</v>
      </c>
      <c r="S3023" s="9">
        <v>43600.3821759259</v>
      </c>
      <c r="T3023" s="9">
        <v>43390.5182175926</v>
      </c>
    </row>
    <row r="3024" spans="14:20">
      <c r="N3024" s="7" t="str">
        <f>HYPERLINK("E:\附赠：Excel模板\精美EXCEL模板\其他1000例\重点建设学科“软件”投入与执行情况验收表.xls","重点建设学科“软件”投入与执行情况验收表.xls")</f>
        <v>重点建设学科“软件”投入与执行情况验收表.xls</v>
      </c>
      <c r="Q3024">
        <v>0.02</v>
      </c>
      <c r="R3024" s="7" t="str">
        <f t="shared" si="60"/>
        <v>E:\附赠：Excel模板\精美EXCEL模板\其他1000例</v>
      </c>
      <c r="S3024" s="9">
        <v>43600.3821759259</v>
      </c>
      <c r="T3024" s="9">
        <v>43390.517037037</v>
      </c>
    </row>
    <row r="3025" spans="14:20">
      <c r="N3025" s="7" t="str">
        <f>HYPERLINK("E:\附赠：Excel模板\精美EXCEL模板\其他1000例\重点建设教材申报选题表.xls","重点建设教材申报选题表.xls")</f>
        <v>重点建设教材申报选题表.xls</v>
      </c>
      <c r="Q3025">
        <v>0.02</v>
      </c>
      <c r="R3025" s="7" t="str">
        <f t="shared" si="60"/>
        <v>E:\附赠：Excel模板\精美EXCEL模板\其他1000例</v>
      </c>
      <c r="S3025" s="9">
        <v>43600.3821759259</v>
      </c>
      <c r="T3025" s="9">
        <v>43390.517037037</v>
      </c>
    </row>
    <row r="3026" spans="14:20">
      <c r="N3026" s="7" t="str">
        <f>HYPERLINK("E:\附赠：Excel模板\精美EXCEL模板\其他1000例\金融业中英文对照.xls","金融业中英文对照.xls")</f>
        <v>金融业中英文对照.xls</v>
      </c>
      <c r="Q3026">
        <v>0.03</v>
      </c>
      <c r="R3026" s="7" t="str">
        <f t="shared" si="60"/>
        <v>E:\附赠：Excel模板\精美EXCEL模板\其他1000例</v>
      </c>
      <c r="S3026" s="9">
        <v>43600.3821759259</v>
      </c>
      <c r="T3026" s="9">
        <v>43390.5178472222</v>
      </c>
    </row>
    <row r="3027" spans="14:20">
      <c r="N3027" s="7" t="str">
        <f>HYPERLINK("E:\附赠：Excel模板\精美EXCEL模板\其他1000例\金融机构甄别可疑外汇资金交易报告表.xls","金融机构甄别可疑外汇资金交易报告表.xls")</f>
        <v>金融机构甄别可疑外汇资金交易报告表.xls</v>
      </c>
      <c r="Q3027">
        <v>0.02</v>
      </c>
      <c r="R3027" s="7" t="str">
        <f t="shared" si="60"/>
        <v>E:\附赠：Excel模板\精美EXCEL模板\其他1000例</v>
      </c>
      <c r="S3027" s="9">
        <v>43600.3821759259</v>
      </c>
      <c r="T3027" s="9">
        <v>43390.5178472222</v>
      </c>
    </row>
    <row r="3028" spans="14:20">
      <c r="N3028" s="7" t="str">
        <f>HYPERLINK("E:\附赠：Excel模板\精美EXCEL模板\其他1000例\金融系统行业标准一览表.xls","金融系统行业标准一览表.xls")</f>
        <v>金融系统行业标准一览表.xls</v>
      </c>
      <c r="Q3028">
        <v>0.01</v>
      </c>
      <c r="R3028" s="7" t="str">
        <f t="shared" si="60"/>
        <v>E:\附赠：Excel模板\精美EXCEL模板\其他1000例</v>
      </c>
      <c r="S3028" s="9">
        <v>43600.3821759259</v>
      </c>
      <c r="T3028" s="9">
        <v>43390.5178472222</v>
      </c>
    </row>
    <row r="3029" spans="14:20">
      <c r="N3029" s="7" t="str">
        <f>HYPERLINK("E:\附赠：Excel模板\精美EXCEL模板\其他1000例\铁路运输主要财务指标.xls","铁路运输主要财务指标.xls")</f>
        <v>铁路运输主要财务指标.xls</v>
      </c>
      <c r="Q3029">
        <v>0.02</v>
      </c>
      <c r="R3029" s="7" t="str">
        <f t="shared" si="60"/>
        <v>E:\附赠：Excel模板\精美EXCEL模板\其他1000例</v>
      </c>
      <c r="S3029" s="9">
        <v>43600.3821759259</v>
      </c>
      <c r="T3029" s="9">
        <v>43390.5174305556</v>
      </c>
    </row>
    <row r="3030" spans="14:20">
      <c r="N3030" s="7" t="str">
        <f>HYPERLINK("E:\附赠：Excel模板\精美EXCEL模板\其他1000例\铁路运输企业补充指标表.xls","铁路运输企业补充指标表.xls")</f>
        <v>铁路运输企业补充指标表.xls</v>
      </c>
      <c r="Q3030">
        <v>0.02</v>
      </c>
      <c r="R3030" s="7" t="str">
        <f t="shared" si="60"/>
        <v>E:\附赠：Excel模板\精美EXCEL模板\其他1000例</v>
      </c>
      <c r="S3030" s="9">
        <v>43600.3821759259</v>
      </c>
      <c r="T3030" s="9">
        <v>43390.5174305556</v>
      </c>
    </row>
    <row r="3031" spans="14:20">
      <c r="N3031" s="7" t="str">
        <f>HYPERLINK("E:\附赠：Excel模板\精美EXCEL模板\其他1000例\银行助学贷款申请审批表.xls","银行助学贷款申请审批表.xls")</f>
        <v>银行助学贷款申请审批表.xls</v>
      </c>
      <c r="Q3031">
        <v>0.03</v>
      </c>
      <c r="R3031" s="7" t="str">
        <f t="shared" si="60"/>
        <v>E:\附赠：Excel模板\精美EXCEL模板\其他1000例</v>
      </c>
      <c r="S3031" s="9">
        <v>43600.3821759259</v>
      </c>
      <c r="T3031" s="9">
        <v>43390.5171527778</v>
      </c>
    </row>
    <row r="3032" spans="14:20">
      <c r="N3032" s="7" t="str">
        <f>HYPERLINK("E:\附赠：Excel模板\精美EXCEL模板\其他1000例\银行及其他金融机构利润费用表.xls","银行及其他金融机构利润费用表.xls")</f>
        <v>银行及其他金融机构利润费用表.xls</v>
      </c>
      <c r="Q3032">
        <v>0.02</v>
      </c>
      <c r="R3032" s="7" t="str">
        <f t="shared" si="60"/>
        <v>E:\附赠：Excel模板\精美EXCEL模板\其他1000例</v>
      </c>
      <c r="S3032" s="9">
        <v>43600.3821759259</v>
      </c>
      <c r="T3032" s="9">
        <v>43390.5171527778</v>
      </c>
    </row>
    <row r="3033" spans="14:20">
      <c r="N3033" s="7" t="str">
        <f>HYPERLINK("E:\附赠：Excel模板\精美EXCEL模板\其他1000例\银行及其他金融机构资产负债表.xls","银行及其他金融机构资产负债表.xls")</f>
        <v>银行及其他金融机构资产负债表.xls</v>
      </c>
      <c r="Q3033">
        <v>0.02</v>
      </c>
      <c r="R3033" s="7" t="str">
        <f t="shared" si="60"/>
        <v>E:\附赠：Excel模板\精美EXCEL模板\其他1000例</v>
      </c>
      <c r="S3033" s="9">
        <v>43600.3821759259</v>
      </c>
      <c r="T3033" s="9">
        <v>43390.5171527778</v>
      </c>
    </row>
    <row r="3034" spans="14:20">
      <c r="N3034" s="7" t="str">
        <f>HYPERLINK("E:\附赠：Excel模板\精美EXCEL模板\其他1000例\销售报表.xls","销售报表.xls")</f>
        <v>销售报表.xls</v>
      </c>
      <c r="Q3034">
        <v>0.06</v>
      </c>
      <c r="R3034" s="7" t="str">
        <f t="shared" si="60"/>
        <v>E:\附赠：Excel模板\精美EXCEL模板\其他1000例</v>
      </c>
      <c r="S3034" s="9">
        <v>43600.3821759259</v>
      </c>
      <c r="T3034" s="9">
        <v>43390.5173148148</v>
      </c>
    </row>
    <row r="3035" spans="14:20">
      <c r="N3035" s="7" t="str">
        <f>HYPERLINK("E:\附赠：Excel模板\精美EXCEL模板\其他1000例\镇(街道、区)主要经济指标考核基础表.xls","镇(街道、区)主要经济指标考核基础表.xls")</f>
        <v>镇(街道、区)主要经济指标考核基础表.xls</v>
      </c>
      <c r="Q3035">
        <v>0.05</v>
      </c>
      <c r="R3035" s="7" t="str">
        <f t="shared" si="60"/>
        <v>E:\附赠：Excel模板\精美EXCEL模板\其他1000例</v>
      </c>
      <c r="S3035" s="9">
        <v>43600.3821759259</v>
      </c>
      <c r="T3035" s="9">
        <v>43390.5171064815</v>
      </c>
    </row>
    <row r="3036" spans="14:20">
      <c r="N3036" s="7" t="str">
        <f>HYPERLINK("E:\附赠：Excel模板\精美EXCEL模板\其他1000例\长期投资明细表.xls","长期投资明细表.xls")</f>
        <v>长期投资明细表.xls</v>
      </c>
      <c r="Q3036">
        <v>0.02</v>
      </c>
      <c r="R3036" s="7" t="str">
        <f t="shared" si="60"/>
        <v>E:\附赠：Excel模板\精美EXCEL模板\其他1000例</v>
      </c>
      <c r="S3036" s="9">
        <v>43600.3821759259</v>
      </c>
      <c r="T3036" s="9">
        <v>43390.5182175926</v>
      </c>
    </row>
    <row r="3037" spans="14:20">
      <c r="N3037" s="7" t="str">
        <f>HYPERLINK("E:\附赠：Excel模板\精美EXCEL模板\其他1000例\限额以上批发贸易业财务状况和经济效益.xls","限额以上批发贸易业财务状况和经济效益.xls")</f>
        <v>限额以上批发贸易业财务状况和经济效益.xls</v>
      </c>
      <c r="Q3037">
        <v>0.04</v>
      </c>
      <c r="R3037" s="7" t="str">
        <f t="shared" si="60"/>
        <v>E:\附赠：Excel模板\精美EXCEL模板\其他1000例</v>
      </c>
      <c r="S3037" s="9">
        <v>43600.3821759259</v>
      </c>
      <c r="T3037" s="9">
        <v>43390.5173611111</v>
      </c>
    </row>
    <row r="3038" spans="14:20">
      <c r="N3038" s="7" t="str">
        <f>HYPERLINK("E:\附赠：Excel模板\精美EXCEL模板\其他1000例\限额以上餐饮企业主要财务指标.xls","限额以上餐饮企业主要财务指标.xls")</f>
        <v>限额以上餐饮企业主要财务指标.xls</v>
      </c>
      <c r="Q3038">
        <v>0.03</v>
      </c>
      <c r="R3038" s="7" t="str">
        <f t="shared" si="60"/>
        <v>E:\附赠：Excel模板\精美EXCEL模板\其他1000例</v>
      </c>
      <c r="S3038" s="9">
        <v>43600.3821759259</v>
      </c>
      <c r="T3038" s="9">
        <v>43390.5173611111</v>
      </c>
    </row>
    <row r="3039" spans="14:20">
      <c r="N3039" s="7" t="str">
        <f>HYPERLINK("E:\附赠：Excel模板\精美EXCEL模板\其他1000例\限额以上餐饮企业主要财务指标情况.xls","限额以上餐饮企业主要财务指标情况.xls")</f>
        <v>限额以上餐饮企业主要财务指标情况.xls</v>
      </c>
      <c r="Q3039">
        <v>0.03</v>
      </c>
      <c r="R3039" s="7" t="str">
        <f t="shared" si="60"/>
        <v>E:\附赠：Excel模板\精美EXCEL模板\其他1000例</v>
      </c>
      <c r="S3039" s="9">
        <v>43600.3821759259</v>
      </c>
      <c r="T3039" s="9">
        <v>43390.5173611111</v>
      </c>
    </row>
    <row r="3040" spans="14:20">
      <c r="N3040" s="7" t="str">
        <f>HYPERLINK("E:\附赠：Excel模板\精美EXCEL模板\其他1000例\集团应届大学生招生需求总汇表.xls","集团应届大学生招生需求总汇表.xls")</f>
        <v>集团应届大学生招生需求总汇表.xls</v>
      </c>
      <c r="Q3040">
        <v>0.02</v>
      </c>
      <c r="R3040" s="7" t="str">
        <f t="shared" si="60"/>
        <v>E:\附赠：Excel模板\精美EXCEL模板\其他1000例</v>
      </c>
      <c r="S3040" s="9">
        <v>43600.3821759259</v>
      </c>
      <c r="T3040" s="9">
        <v>43390.5179166667</v>
      </c>
    </row>
    <row r="3041" spans="14:20">
      <c r="N3041" s="7" t="str">
        <f>HYPERLINK("E:\附赠：Excel模板\精美EXCEL模板\其他1000例\非保证类房贷险业务统计表.xls","非保证类房贷险业务统计表.xls")</f>
        <v>非保证类房贷险业务统计表.xls</v>
      </c>
      <c r="Q3041">
        <v>0.02</v>
      </c>
      <c r="R3041" s="7" t="str">
        <f t="shared" si="60"/>
        <v>E:\附赠：Excel模板\精美EXCEL模板\其他1000例</v>
      </c>
      <c r="S3041" s="9">
        <v>43600.3821759259</v>
      </c>
      <c r="T3041" s="9">
        <v>43390.5180787037</v>
      </c>
    </row>
    <row r="3042" spans="14:20">
      <c r="N3042" s="7" t="str">
        <f>HYPERLINK("E:\附赠：Excel模板\精美EXCEL模板\其他1000例\非经营费用明细表.xls","非经营费用明细表.xls")</f>
        <v>非经营费用明细表.xls</v>
      </c>
      <c r="Q3042">
        <v>0.02</v>
      </c>
      <c r="R3042" s="7" t="str">
        <f t="shared" si="60"/>
        <v>E:\附赠：Excel模板\精美EXCEL模板\其他1000例</v>
      </c>
      <c r="S3042" s="9">
        <v>43600.3821759259</v>
      </c>
      <c r="T3042" s="9">
        <v>43390.5180787037</v>
      </c>
    </row>
    <row r="3043" spans="14:20">
      <c r="N3043" s="7" t="str">
        <f>HYPERLINK("E:\附赠：Excel模板\精美EXCEL模板\其他1000例\面向社会公开招考国家公务员计划申报表.xls","面向社会公开招考国家公务员计划申报表.xls")</f>
        <v>面向社会公开招考国家公务员计划申报表.xls</v>
      </c>
      <c r="Q3043">
        <v>0.02</v>
      </c>
      <c r="R3043" s="7" t="str">
        <f t="shared" si="60"/>
        <v>E:\附赠：Excel模板\精美EXCEL模板\其他1000例</v>
      </c>
      <c r="S3043" s="9">
        <v>43600.3821759259</v>
      </c>
      <c r="T3043" s="9">
        <v>43390.5177314815</v>
      </c>
    </row>
    <row r="3044" spans="14:20">
      <c r="N3044" s="7" t="str">
        <f>HYPERLINK("E:\附赠：Excel模板\精美EXCEL模板\其他1000例\项目依托单位及管理员名录.xls","项目依托单位及管理员名录.xls")</f>
        <v>项目依托单位及管理员名录.xls</v>
      </c>
      <c r="Q3044">
        <v>0.02</v>
      </c>
      <c r="R3044" s="7" t="str">
        <f t="shared" si="60"/>
        <v>E:\附赠：Excel模板\精美EXCEL模板\其他1000例</v>
      </c>
      <c r="S3044" s="9">
        <v>43600.3821759259</v>
      </c>
      <c r="T3044" s="9">
        <v>43390.5173148148</v>
      </c>
    </row>
    <row r="3045" spans="14:20">
      <c r="N3045" s="7" t="str">
        <f>HYPERLINK("E:\附赠：Excel模板\精美EXCEL模板\其他1000例\项目基本情况表.xls","项目基本情况表.xls")</f>
        <v>项目基本情况表.xls</v>
      </c>
      <c r="Q3045">
        <v>0.02</v>
      </c>
      <c r="R3045" s="7" t="str">
        <f t="shared" si="60"/>
        <v>E:\附赠：Excel模板\精美EXCEL模板\其他1000例</v>
      </c>
      <c r="S3045" s="9">
        <v>43600.3821759259</v>
      </c>
      <c r="T3045" s="9">
        <v>43390.517337963</v>
      </c>
    </row>
    <row r="3046" spans="14:20">
      <c r="N3046" s="7" t="str">
        <f>HYPERLINK("E:\附赠：Excel模板\精美EXCEL模板\其他1000例\项目工作量统计表.xls","项目工作量统计表.xls")</f>
        <v>项目工作量统计表.xls</v>
      </c>
      <c r="Q3046">
        <v>0.02</v>
      </c>
      <c r="R3046" s="7" t="str">
        <f t="shared" si="60"/>
        <v>E:\附赠：Excel模板\精美EXCEL模板\其他1000例</v>
      </c>
      <c r="S3046" s="9">
        <v>43600.3821759259</v>
      </c>
      <c r="T3046" s="9">
        <v>43390.517337963</v>
      </c>
    </row>
    <row r="3047" spans="14:20">
      <c r="N3047" s="7" t="str">
        <f>HYPERLINK("E:\附赠：Excel模板\精美EXCEL模板\其他1000例\项目投资现金流量表.xls","项目投资现金流量表.xls")</f>
        <v>项目投资现金流量表.xls</v>
      </c>
      <c r="Q3047">
        <v>0.01</v>
      </c>
      <c r="R3047" s="7" t="str">
        <f t="shared" si="60"/>
        <v>E:\附赠：Excel模板\精美EXCEL模板\其他1000例</v>
      </c>
      <c r="S3047" s="9">
        <v>43600.3821759259</v>
      </c>
      <c r="T3047" s="9">
        <v>43390.5173148148</v>
      </c>
    </row>
    <row r="3048" spans="14:20">
      <c r="N3048" s="7" t="str">
        <f>HYPERLINK("E:\附赠：Excel模板\精美EXCEL模板\其他1000例\项目损益表.xls","项目损益表.xls")</f>
        <v>项目损益表.xls</v>
      </c>
      <c r="Q3048">
        <v>0.01</v>
      </c>
      <c r="R3048" s="7" t="str">
        <f t="shared" si="60"/>
        <v>E:\附赠：Excel模板\精美EXCEL模板\其他1000例</v>
      </c>
      <c r="S3048" s="9">
        <v>43600.3821759259</v>
      </c>
      <c r="T3048" s="9">
        <v>43390.5173148148</v>
      </c>
    </row>
    <row r="3049" spans="14:20">
      <c r="N3049" s="7" t="str">
        <f>HYPERLINK("E:\附赠：Excel模板\精美EXCEL模板\其他1000例\项目支出预算情况表.xls","项目支出预算情况表.xls")</f>
        <v>项目支出预算情况表.xls</v>
      </c>
      <c r="Q3049">
        <v>0.02</v>
      </c>
      <c r="R3049" s="7" t="str">
        <f t="shared" si="60"/>
        <v>E:\附赠：Excel模板\精美EXCEL模板\其他1000例</v>
      </c>
      <c r="S3049" s="9">
        <v>43600.3821759259</v>
      </c>
      <c r="T3049" s="9">
        <v>43390.5173148148</v>
      </c>
    </row>
    <row r="3050" spans="14:20">
      <c r="N3050" s="7" t="str">
        <f>HYPERLINK("E:\附赠：Excel模板\精美EXCEL模板\其他1000例\项目支出预算明细表.xls","项目支出预算明细表.xls")</f>
        <v>项目支出预算明细表.xls</v>
      </c>
      <c r="Q3050">
        <v>0.02</v>
      </c>
      <c r="R3050" s="7" t="str">
        <f t="shared" si="60"/>
        <v>E:\附赠：Excel模板\精美EXCEL模板\其他1000例</v>
      </c>
      <c r="S3050" s="9">
        <v>43600.3821759259</v>
      </c>
      <c r="T3050" s="9">
        <v>43390.5173148148</v>
      </c>
    </row>
    <row r="3051" spans="14:20">
      <c r="N3051" s="7" t="str">
        <f>HYPERLINK("E:\附赠：Excel模板\精美EXCEL模板\其他1000例\项目支出预算申报说明书.xls","项目支出预算申报说明书.xls")</f>
        <v>项目支出预算申报说明书.xls</v>
      </c>
      <c r="Q3051">
        <v>0.01</v>
      </c>
      <c r="R3051" s="7" t="str">
        <f t="shared" si="60"/>
        <v>E:\附赠：Excel模板\精美EXCEL模板\其他1000例</v>
      </c>
      <c r="S3051" s="9">
        <v>43600.3821759259</v>
      </c>
      <c r="T3051" s="9">
        <v>43390.5173148148</v>
      </c>
    </row>
    <row r="3052" spans="14:20">
      <c r="N3052" s="7" t="str">
        <f>HYPERLINK("E:\附赠：Excel模板\精美EXCEL模板\其他1000例\项目数据汇总表.xls","项目数据汇总表.xls")</f>
        <v>项目数据汇总表.xls</v>
      </c>
      <c r="Q3052">
        <v>0.02</v>
      </c>
      <c r="R3052" s="7" t="str">
        <f t="shared" si="60"/>
        <v>E:\附赠：Excel模板\精美EXCEL模板\其他1000例</v>
      </c>
      <c r="S3052" s="9">
        <v>43600.3821759259</v>
      </c>
      <c r="T3052" s="9">
        <v>43390.517337963</v>
      </c>
    </row>
    <row r="3053" spans="14:20">
      <c r="N3053" s="7" t="str">
        <f>HYPERLINK("E:\附赠：Excel模板\精美EXCEL模板\其他1000例\项目经费支出明细表.xls","项目经费支出明细表.xls")</f>
        <v>项目经费支出明细表.xls</v>
      </c>
      <c r="Q3053">
        <v>0.03</v>
      </c>
      <c r="R3053" s="7" t="str">
        <f t="shared" si="60"/>
        <v>E:\附赠：Excel模板\精美EXCEL模板\其他1000例</v>
      </c>
      <c r="S3053" s="9">
        <v>43600.3821759259</v>
      </c>
      <c r="T3053" s="9">
        <v>43390.517337963</v>
      </c>
    </row>
    <row r="3054" spans="14:20">
      <c r="N3054" s="7" t="str">
        <f>HYPERLINK("E:\附赠：Excel模板\精美EXCEL模板\其他1000例\项目经费收入明细表.xls","项目经费收入明细表.xls")</f>
        <v>项目经费收入明细表.xls</v>
      </c>
      <c r="Q3054">
        <v>0.02</v>
      </c>
      <c r="R3054" s="7" t="str">
        <f t="shared" si="60"/>
        <v>E:\附赠：Excel模板\精美EXCEL模板\其他1000例</v>
      </c>
      <c r="S3054" s="9">
        <v>43600.3821759259</v>
      </c>
      <c r="T3054" s="9">
        <v>43390.517337963</v>
      </c>
    </row>
    <row r="3055" spans="14:20">
      <c r="N3055" s="7" t="str">
        <f>HYPERLINK("E:\附赠：Excel模板\精美EXCEL模板\其他1000例\项目经费收支总表.xls","项目经费收支总表.xls")</f>
        <v>项目经费收支总表.xls</v>
      </c>
      <c r="Q3055">
        <v>0.02</v>
      </c>
      <c r="R3055" s="7" t="str">
        <f t="shared" si="60"/>
        <v>E:\附赠：Excel模板\精美EXCEL模板\其他1000例</v>
      </c>
      <c r="S3055" s="9">
        <v>43600.3821759259</v>
      </c>
      <c r="T3055" s="9">
        <v>43390.517337963</v>
      </c>
    </row>
    <row r="3056" spans="14:20">
      <c r="N3056" s="7" t="str">
        <f>HYPERLINK("E:\附赠：Excel模板\精美EXCEL模板\其他1000例\项目经费预算及拨款计划.xls","项目经费预算及拨款计划.xls")</f>
        <v>项目经费预算及拨款计划.xls</v>
      </c>
      <c r="Q3056">
        <v>0.02</v>
      </c>
      <c r="R3056" s="7" t="str">
        <f t="shared" si="60"/>
        <v>E:\附赠：Excel模板\精美EXCEL模板\其他1000例</v>
      </c>
      <c r="S3056" s="9">
        <v>43600.3821759259</v>
      </c>
      <c r="T3056" s="9">
        <v>43390.517337963</v>
      </c>
    </row>
    <row r="3057" spans="14:20">
      <c r="N3057" s="7" t="str">
        <f>HYPERLINK("E:\附赠：Excel模板\精美EXCEL模板\其他1000例\项目评审报告.xls","项目评审报告.xls")</f>
        <v>项目评审报告.xls</v>
      </c>
      <c r="Q3057">
        <v>0.03</v>
      </c>
      <c r="R3057" s="7" t="str">
        <f t="shared" si="60"/>
        <v>E:\附赠：Excel模板\精美EXCEL模板\其他1000例</v>
      </c>
      <c r="S3057" s="9">
        <v>43600.3821759259</v>
      </c>
      <c r="T3057" s="9">
        <v>43390.517337963</v>
      </c>
    </row>
    <row r="3058" spans="14:20">
      <c r="N3058" s="7" t="str">
        <f>HYPERLINK("E:\附赠：Excel模板\精美EXCEL模板\其他1000例\项目负责人名单.xls","项目负责人名单.xls")</f>
        <v>项目负责人名单.xls</v>
      </c>
      <c r="Q3058">
        <v>0.03</v>
      </c>
      <c r="R3058" s="7" t="str">
        <f t="shared" si="60"/>
        <v>E:\附赠：Excel模板\精美EXCEL模板\其他1000例</v>
      </c>
      <c r="S3058" s="9">
        <v>43600.3821759259</v>
      </c>
      <c r="T3058" s="9">
        <v>43390.517337963</v>
      </c>
    </row>
    <row r="3059" spans="14:20">
      <c r="N3059" s="7" t="str">
        <f>HYPERLINK("E:\附赠：Excel模板\精美EXCEL模板\其他1000例\项目进度表.xls","项目进度表.xls")</f>
        <v>项目进度表.xls</v>
      </c>
      <c r="Q3059">
        <v>0.02</v>
      </c>
      <c r="R3059" s="7" t="str">
        <f t="shared" si="60"/>
        <v>E:\附赠：Excel模板\精美EXCEL模板\其他1000例</v>
      </c>
      <c r="S3059" s="9">
        <v>43600.3821759259</v>
      </c>
      <c r="T3059" s="9">
        <v>43390.517337963</v>
      </c>
    </row>
    <row r="3060" spans="14:20">
      <c r="N3060" s="7" t="str">
        <f>HYPERLINK("E:\附赠：Excel模板\精美EXCEL模板\其他1000例\项目进度表1.xls","项目进度表1.xls")</f>
        <v>项目进度表1.xls</v>
      </c>
      <c r="Q3060">
        <v>0.03</v>
      </c>
      <c r="R3060" s="7" t="str">
        <f t="shared" si="60"/>
        <v>E:\附赠：Excel模板\精美EXCEL模板\其他1000例</v>
      </c>
      <c r="S3060" s="9">
        <v>43600.3821759259</v>
      </c>
      <c r="T3060" s="9">
        <v>43390.517337963</v>
      </c>
    </row>
    <row r="3061" spans="14:20">
      <c r="N3061" s="7" t="str">
        <f>HYPERLINK("E:\附赠：Excel模板\精美EXCEL模板\其他1000例\项目进度表2.xls","项目进度表2.xls")</f>
        <v>项目进度表2.xls</v>
      </c>
      <c r="Q3061">
        <v>0.02</v>
      </c>
      <c r="R3061" s="7" t="str">
        <f t="shared" si="60"/>
        <v>E:\附赠：Excel模板\精美EXCEL模板\其他1000例</v>
      </c>
      <c r="S3061" s="9">
        <v>43600.3821759259</v>
      </c>
      <c r="T3061" s="9">
        <v>43390.517337963</v>
      </c>
    </row>
    <row r="3062" spans="14:20">
      <c r="N3062" s="7" t="str">
        <f>HYPERLINK("E:\附赠：Excel模板\精美EXCEL模板\其他1000例\预收、预付帐款明细表.xls","预收、预付帐款明细表.xls")</f>
        <v>预收、预付帐款明细表.xls</v>
      </c>
      <c r="Q3062">
        <v>0.02</v>
      </c>
      <c r="R3062" s="7" t="str">
        <f t="shared" si="60"/>
        <v>E:\附赠：Excel模板\精美EXCEL模板\其他1000例</v>
      </c>
      <c r="S3062" s="9">
        <v>43600.3821759259</v>
      </c>
      <c r="T3062" s="9">
        <v>43390.5171296296</v>
      </c>
    </row>
    <row r="3063" spans="14:20">
      <c r="N3063" s="7" t="str">
        <f>HYPERLINK("E:\附赠：Excel模板\精美EXCEL模板\其他1000例\预算内财政支付支出情况表.xls","预算内财政支付支出情况表.xls")</f>
        <v>预算内财政支付支出情况表.xls</v>
      </c>
      <c r="Q3063">
        <v>0.01</v>
      </c>
      <c r="R3063" s="7" t="str">
        <f t="shared" si="60"/>
        <v>E:\附赠：Excel模板\精美EXCEL模板\其他1000例</v>
      </c>
      <c r="S3063" s="9">
        <v>43600.3821759259</v>
      </c>
      <c r="T3063" s="9">
        <v>43390.5171296296</v>
      </c>
    </row>
    <row r="3064" spans="14:20">
      <c r="N3064" s="7" t="str">
        <f>HYPERLINK("E:\附赠：Excel模板\精美EXCEL模板\其他1000例\预算单位收入支出情况表.xls","预算单位收入支出情况表.xls")</f>
        <v>预算单位收入支出情况表.xls</v>
      </c>
      <c r="Q3064">
        <v>0.03</v>
      </c>
      <c r="R3064" s="7" t="str">
        <f t="shared" si="60"/>
        <v>E:\附赠：Excel模板\精美EXCEL模板\其他1000例</v>
      </c>
      <c r="S3064" s="9">
        <v>43600.3821759259</v>
      </c>
      <c r="T3064" s="9">
        <v>43390.5171296296</v>
      </c>
    </row>
    <row r="3065" spans="14:20">
      <c r="N3065" s="7" t="str">
        <f>HYPERLINK("E:\附赠：Excel模板\精美EXCEL模板\其他1000例\预算单位财政拨款收支情况表.xls","预算单位财政拨款收支情况表.xls")</f>
        <v>预算单位财政拨款收支情况表.xls</v>
      </c>
      <c r="Q3065">
        <v>0.02</v>
      </c>
      <c r="R3065" s="7" t="str">
        <f t="shared" si="60"/>
        <v>E:\附赠：Excel模板\精美EXCEL模板\其他1000例</v>
      </c>
      <c r="S3065" s="9">
        <v>43600.3821759259</v>
      </c>
      <c r="T3065" s="9">
        <v>43390.5171296296</v>
      </c>
    </row>
    <row r="3066" spans="14:20">
      <c r="N3066" s="7" t="str">
        <f>HYPERLINK("E:\附赠：Excel模板\精美EXCEL模板\其他1000例\预算单位（专项经费）财政直接支付申请书.xls","预算单位（专项经费）财政直接支付申请书.xls")</f>
        <v>预算单位（专项经费）财政直接支付申请书.xls</v>
      </c>
      <c r="Q3066">
        <v>0.02</v>
      </c>
      <c r="R3066" s="7" t="str">
        <f t="shared" si="60"/>
        <v>E:\附赠：Excel模板\精美EXCEL模板\其他1000例</v>
      </c>
      <c r="S3066" s="9">
        <v>43600.3821759259</v>
      </c>
      <c r="T3066" s="9">
        <v>43390.5171296296</v>
      </c>
    </row>
    <row r="3067" spans="14:20">
      <c r="N3067" s="7" t="str">
        <f>HYPERLINK("E:\附赠：Excel模板\精美EXCEL模板\其他1000例\预算外资金用款计划表.xls","预算外资金用款计划表.xls")</f>
        <v>预算外资金用款计划表.xls</v>
      </c>
      <c r="Q3067">
        <v>0.02</v>
      </c>
      <c r="R3067" s="7" t="str">
        <f t="shared" ref="R3067:R3077" si="61">HYPERLINK("E:\附赠：Excel模板\精美EXCEL模板\其他1000例","E:\附赠：Excel模板\精美EXCEL模板\其他1000例")</f>
        <v>E:\附赠：Excel模板\精美EXCEL模板\其他1000例</v>
      </c>
      <c r="S3067" s="9">
        <v>43600.3821759259</v>
      </c>
      <c r="T3067" s="9">
        <v>43390.5171296296</v>
      </c>
    </row>
    <row r="3068" spans="14:20">
      <c r="N3068" s="7" t="str">
        <f>HYPERLINK("E:\附赠：Excel模板\精美EXCEL模板\其他1000例\预计评估增值表.xls","预计评估增值表.xls")</f>
        <v>预计评估增值表.xls</v>
      </c>
      <c r="Q3068">
        <v>0.02</v>
      </c>
      <c r="R3068" s="7" t="str">
        <f t="shared" si="61"/>
        <v>E:\附赠：Excel模板\精美EXCEL模板\其他1000例</v>
      </c>
      <c r="S3068" s="9">
        <v>43600.3821759259</v>
      </c>
      <c r="T3068" s="9">
        <v>43390.5171527778</v>
      </c>
    </row>
    <row r="3069" spans="14:20">
      <c r="N3069" s="7" t="str">
        <f>HYPERLINK("E:\附赠：Excel模板\精美EXCEL模板\其他1000例\预计资产负债简表.xls","预计资产负债简表.xls")</f>
        <v>预计资产负债简表.xls</v>
      </c>
      <c r="Q3069">
        <v>0.02</v>
      </c>
      <c r="R3069" s="7" t="str">
        <f t="shared" si="61"/>
        <v>E:\附赠：Excel模板\精美EXCEL模板\其他1000例</v>
      </c>
      <c r="S3069" s="9">
        <v>43600.3821759259</v>
      </c>
      <c r="T3069" s="9">
        <v>43390.5171296296</v>
      </c>
    </row>
    <row r="3070" spans="14:20">
      <c r="N3070" s="7" t="str">
        <f>HYPERLINK("E:\附赠：Excel模板\精美EXCEL模板\其他1000例\风险控制表.xls","风险控制表.xls")</f>
        <v>风险控制表.xls</v>
      </c>
      <c r="Q3070">
        <v>0.03</v>
      </c>
      <c r="R3070" s="7" t="str">
        <f t="shared" si="61"/>
        <v>E:\附赠：Excel模板\精美EXCEL模板\其他1000例</v>
      </c>
      <c r="S3070" s="9">
        <v>43600.3821759259</v>
      </c>
      <c r="T3070" s="9">
        <v>43390.5180555556</v>
      </c>
    </row>
    <row r="3071" spans="14:20">
      <c r="N3071" s="7" t="str">
        <f>HYPERLINK("E:\附赠：Excel模板\精美EXCEL模板\其他1000例\风险管理列表.xls","风险管理列表.xls")</f>
        <v>风险管理列表.xls</v>
      </c>
      <c r="Q3071">
        <v>0.02</v>
      </c>
      <c r="R3071" s="7" t="str">
        <f t="shared" si="61"/>
        <v>E:\附赠：Excel模板\精美EXCEL模板\其他1000例</v>
      </c>
      <c r="S3071" s="9">
        <v>43600.3821759259</v>
      </c>
      <c r="T3071" s="9">
        <v>43390.5180555556</v>
      </c>
    </row>
    <row r="3072" spans="14:20">
      <c r="N3072" s="7" t="str">
        <f>HYPERLINK("E:\附赠：Excel模板\精美EXCEL模板\其他1000例\食品安全综合评价管理指标细则.xls","食品安全综合评价管理指标细则.xls")</f>
        <v>食品安全综合评价管理指标细则.xls</v>
      </c>
      <c r="Q3072">
        <v>0.06</v>
      </c>
      <c r="R3072" s="7" t="str">
        <f t="shared" si="61"/>
        <v>E:\附赠：Excel模板\精美EXCEL模板\其他1000例</v>
      </c>
      <c r="S3072" s="9">
        <v>43600.3821759259</v>
      </c>
      <c r="T3072" s="9">
        <v>43390.5175231481</v>
      </c>
    </row>
    <row r="3073" spans="14:20">
      <c r="N3073" s="7" t="str">
        <f>HYPERLINK("E:\附赠：Excel模板\精美EXCEL模板\其他1000例\食品药品及医疗器械抽验支出明细表.xls","食品药品及医疗器械抽验支出明细表.xls")</f>
        <v>食品药品及医疗器械抽验支出明细表.xls</v>
      </c>
      <c r="Q3073">
        <v>0.02</v>
      </c>
      <c r="R3073" s="7" t="str">
        <f t="shared" si="61"/>
        <v>E:\附赠：Excel模板\精美EXCEL模板\其他1000例</v>
      </c>
      <c r="S3073" s="9">
        <v>43600.3821759259</v>
      </c>
      <c r="T3073" s="9">
        <v>43390.5175231481</v>
      </c>
    </row>
    <row r="3074" spans="14:20">
      <c r="N3074" s="7" t="str">
        <f>HYPERLINK("E:\附赠：Excel模板\精美EXCEL模板\其他1000例\首季課程系列表.xls","首季課程系列表.xls")</f>
        <v>首季課程系列表.xls</v>
      </c>
      <c r="Q3074">
        <v>0.11</v>
      </c>
      <c r="R3074" s="7" t="str">
        <f t="shared" si="61"/>
        <v>E:\附赠：Excel模板\精美EXCEL模板\其他1000例</v>
      </c>
      <c r="S3074" s="9">
        <v>43600.3821759259</v>
      </c>
      <c r="T3074" s="9">
        <v>43390.5174537037</v>
      </c>
    </row>
    <row r="3075" spans="14:20">
      <c r="N3075" s="7" t="str">
        <f>HYPERLINK("E:\附赠：Excel模板\精美EXCEL模板\其他1000例\香港特别行政区主要统计指标概览.xls","香港特别行政区主要统计指标概览.xls")</f>
        <v>香港特别行政区主要统计指标概览.xls</v>
      </c>
      <c r="Q3075">
        <v>0.02</v>
      </c>
      <c r="R3075" s="7" t="str">
        <f t="shared" si="61"/>
        <v>E:\附赠：Excel模板\精美EXCEL模板\其他1000例</v>
      </c>
      <c r="S3075" s="9">
        <v>43600.3821759259</v>
      </c>
      <c r="T3075" s="9">
        <v>43390.5173611111</v>
      </c>
    </row>
    <row r="3076" spans="14:20">
      <c r="N3076" s="7" t="str">
        <f>HYPERLINK("E:\附赠：Excel模板\精美EXCEL模板\其他1000例\高等学校信息化建设情况统计表.xls","高等学校信息化建设情况统计表.xls")</f>
        <v>高等学校信息化建设情况统计表.xls</v>
      </c>
      <c r="Q3076">
        <v>0.02</v>
      </c>
      <c r="R3076" s="7" t="str">
        <f t="shared" si="61"/>
        <v>E:\附赠：Excel模板\精美EXCEL模板\其他1000例</v>
      </c>
      <c r="S3076" s="9">
        <v>43600.3821759259</v>
      </c>
      <c r="T3076" s="9">
        <v>43390.5180555556</v>
      </c>
    </row>
    <row r="3077" spans="14:20">
      <c r="N3077" s="7" t="str">
        <f>HYPERLINK("E:\附赠：Excel模板\精美EXCEL模板\其他1000例\高级管理人员费用明细表.xls","高级管理人员费用明细表.xls")</f>
        <v>高级管理人员费用明细表.xls</v>
      </c>
      <c r="Q3077">
        <v>0.02</v>
      </c>
      <c r="R3077" s="7" t="str">
        <f t="shared" si="61"/>
        <v>E:\附赠：Excel模板\精美EXCEL模板\其他1000例</v>
      </c>
      <c r="S3077" s="9">
        <v>43600.3821759259</v>
      </c>
      <c r="T3077" s="9">
        <v>43390.5180555556</v>
      </c>
    </row>
    <row r="3078" spans="14:20">
      <c r="N3078" t="s">
        <v>15</v>
      </c>
      <c r="Q3078" t="s">
        <v>15</v>
      </c>
      <c r="R3078" t="s">
        <v>15</v>
      </c>
      <c r="S3078" t="s">
        <v>15</v>
      </c>
      <c r="T3078" t="s">
        <v>15</v>
      </c>
    </row>
    <row r="3079" spans="14:20">
      <c r="N3079" t="s">
        <v>15</v>
      </c>
      <c r="Q3079" t="s">
        <v>15</v>
      </c>
      <c r="R3079" t="s">
        <v>15</v>
      </c>
      <c r="S3079" t="s">
        <v>15</v>
      </c>
      <c r="T3079" t="s">
        <v>15</v>
      </c>
    </row>
    <row r="3080" spans="14:20">
      <c r="N3080" s="7" t="str">
        <f>HYPERLINK("E:\附赠：Excel模板\精美EXCEL模板\实用模板\仓库管理系统表格模板\仓库管理系统表格Excel模板.xls","仓库管理系统表格Excel模板.xls")</f>
        <v>仓库管理系统表格Excel模板.xls</v>
      </c>
      <c r="Q3080">
        <v>3.67</v>
      </c>
      <c r="R3080" s="7" t="str">
        <f>HYPERLINK("E:\附赠：Excel模板\精美EXCEL模板\实用模板\仓库管理系统表格模板","E:\附赠：Excel模板\精美EXCEL模板\实用模板\仓库管理系统表格模板")</f>
        <v>E:\附赠：Excel模板\精美EXCEL模板\实用模板\仓库管理系统表格模板</v>
      </c>
      <c r="S3080" s="9">
        <v>43600.3821759259</v>
      </c>
      <c r="T3080" s="9">
        <v>43390.519212963</v>
      </c>
    </row>
    <row r="3081" spans="14:20">
      <c r="N3081" t="s">
        <v>15</v>
      </c>
      <c r="Q3081" t="s">
        <v>15</v>
      </c>
      <c r="R3081" t="s">
        <v>15</v>
      </c>
      <c r="S3081" t="s">
        <v>15</v>
      </c>
      <c r="T3081" t="s">
        <v>15</v>
      </c>
    </row>
    <row r="3082" spans="14:20">
      <c r="N3082" s="7" t="str">
        <f>HYPERLINK("E:\附赠：Excel模板\精美EXCEL模板\实用模板\好用的SMJexcel成绩统计电子模板\SMJ成绩统计工具Ⅲ(E)-年级段.xls","SMJ成绩统计工具Ⅲ(E)-年级段.xls")</f>
        <v>SMJ成绩统计工具Ⅲ(E)-年级段.xls</v>
      </c>
      <c r="Q3082">
        <v>1.95</v>
      </c>
      <c r="R3082" s="7" t="str">
        <f>HYPERLINK("E:\附赠：Excel模板\精美EXCEL模板\实用模板\好用的SMJexcel成绩统计电子模板","E:\附赠：Excel模板\精美EXCEL模板\实用模板\好用的SMJexcel成绩统计电子模板")</f>
        <v>E:\附赠：Excel模板\精美EXCEL模板\实用模板\好用的SMJexcel成绩统计电子模板</v>
      </c>
      <c r="S3082" s="9">
        <v>43600.3821759259</v>
      </c>
      <c r="T3082" s="9">
        <v>43390.519212963</v>
      </c>
    </row>
    <row r="3083" spans="14:20">
      <c r="N3083" s="7" t="str">
        <f>HYPERLINK("E:\附赠：Excel模板\精美EXCEL模板\实用模板\好用的SMJexcel成绩统计电子模板\SMJ成绩统计工具Ⅲ(E)-课任教师.xls","SMJ成绩统计工具Ⅲ(E)-课任教师.xls")</f>
        <v>SMJ成绩统计工具Ⅲ(E)-课任教师.xls</v>
      </c>
      <c r="Q3083">
        <v>1.97</v>
      </c>
      <c r="R3083" s="7" t="str">
        <f>HYPERLINK("E:\附赠：Excel模板\精美EXCEL模板\实用模板\好用的SMJexcel成绩统计电子模板","E:\附赠：Excel模板\精美EXCEL模板\实用模板\好用的SMJexcel成绩统计电子模板")</f>
        <v>E:\附赠：Excel模板\精美EXCEL模板\实用模板\好用的SMJexcel成绩统计电子模板</v>
      </c>
      <c r="S3083" s="9">
        <v>43600.3821759259</v>
      </c>
      <c r="T3083" s="9">
        <v>43390.519212963</v>
      </c>
    </row>
    <row r="3084" spans="14:20">
      <c r="N3084" s="7" t="str">
        <f>HYPERLINK("E:\附赠：Excel模板\精美EXCEL模板\实用模板\好用的SMJexcel成绩统计电子模板\SMJ成绩统计工具Ⅲ(E)－班主任.xls","SMJ成绩统计工具Ⅲ(E)－班主任.xls")</f>
        <v>SMJ成绩统计工具Ⅲ(E)－班主任.xls</v>
      </c>
      <c r="Q3084">
        <v>1.96</v>
      </c>
      <c r="R3084" s="7" t="str">
        <f>HYPERLINK("E:\附赠：Excel模板\精美EXCEL模板\实用模板\好用的SMJexcel成绩统计电子模板","E:\附赠：Excel模板\精美EXCEL模板\实用模板\好用的SMJexcel成绩统计电子模板")</f>
        <v>E:\附赠：Excel模板\精美EXCEL模板\实用模板\好用的SMJexcel成绩统计电子模板</v>
      </c>
      <c r="S3084" s="9">
        <v>43600.3821759259</v>
      </c>
      <c r="T3084" s="9">
        <v>43390.5191898148</v>
      </c>
    </row>
    <row r="3085" spans="14:20">
      <c r="N3085" t="s">
        <v>15</v>
      </c>
      <c r="Q3085" t="s">
        <v>15</v>
      </c>
      <c r="R3085" t="s">
        <v>15</v>
      </c>
      <c r="S3085" t="s">
        <v>15</v>
      </c>
      <c r="T3085" t="s">
        <v>15</v>
      </c>
    </row>
    <row r="3086" spans="14:20">
      <c r="N3086" s="7" t="str">
        <f>HYPERLINK("E:\附赠：Excel模板\精美EXCEL模板\实用模板\实用excel家庭记账模板\实用excel家庭记账模板.xls","实用excel家庭记账模板.xls")</f>
        <v>实用excel家庭记账模板.xls</v>
      </c>
      <c r="Q3086">
        <v>0.35</v>
      </c>
      <c r="R3086" s="7" t="str">
        <f>HYPERLINK("E:\附赠：Excel模板\精美EXCEL模板\实用模板\实用excel家庭记账模板","E:\附赠：Excel模板\精美EXCEL模板\实用模板\实用excel家庭记账模板")</f>
        <v>E:\附赠：Excel模板\精美EXCEL模板\实用模板\实用excel家庭记账模板</v>
      </c>
      <c r="S3086" s="9">
        <v>43600.3821759259</v>
      </c>
      <c r="T3086" s="9">
        <v>43390.5191898148</v>
      </c>
    </row>
    <row r="3087" spans="14:20">
      <c r="N3087" t="s">
        <v>15</v>
      </c>
      <c r="Q3087" t="s">
        <v>15</v>
      </c>
      <c r="R3087" t="s">
        <v>15</v>
      </c>
      <c r="S3087" t="s">
        <v>15</v>
      </c>
      <c r="T3087" t="s">
        <v>15</v>
      </c>
    </row>
    <row r="3088" spans="14:20">
      <c r="N3088" s="7" t="str">
        <f>HYPERLINK("E:\附赠：Excel模板\精美EXCEL模板\实用模板\工作计划进度条模板\Excel将工作计划表变为进度条的模板.xlsx","Excel将工作计划表变为进度条的模板.xlsx")</f>
        <v>Excel将工作计划表变为进度条的模板.xlsx</v>
      </c>
      <c r="Q3088">
        <v>0.1</v>
      </c>
      <c r="R3088" s="7" t="str">
        <f>HYPERLINK("E:\附赠：Excel模板\精美EXCEL模板\实用模板\工作计划进度条模板","E:\附赠：Excel模板\精美EXCEL模板\实用模板\工作计划进度条模板")</f>
        <v>E:\附赠：Excel模板\精美EXCEL模板\实用模板\工作计划进度条模板</v>
      </c>
      <c r="S3088" s="9">
        <v>43600.3821759259</v>
      </c>
      <c r="T3088" s="9">
        <v>43390.5191898148</v>
      </c>
    </row>
    <row r="3089" spans="14:20">
      <c r="N3089" t="s">
        <v>15</v>
      </c>
      <c r="Q3089" t="s">
        <v>15</v>
      </c>
      <c r="R3089" t="s">
        <v>15</v>
      </c>
      <c r="S3089" t="s">
        <v>15</v>
      </c>
      <c r="T3089" t="s">
        <v>15</v>
      </c>
    </row>
    <row r="3090" spans="14:20">
      <c r="N3090" s="7" t="str">
        <f>HYPERLINK("E:\附赠：Excel模板\精美EXCEL模板\实用模板\行业估值模板\【Excel模板】行业估值比较（在打开WFT时数据动态更新）.xlsx","【Excel模板】行业估值比较（在打开WFT时数据动态更新）.xlsx")</f>
        <v>【Excel模板】行业估值比较（在打开WFT时数据动态更新）.xlsx</v>
      </c>
      <c r="Q3090">
        <v>0.8</v>
      </c>
      <c r="R3090" s="7" t="str">
        <f>HYPERLINK("E:\附赠：Excel模板\精美EXCEL模板\实用模板\行业估值模板","E:\附赠：Excel模板\精美EXCEL模板\实用模板\行业估值模板")</f>
        <v>E:\附赠：Excel模板\精美EXCEL模板\实用模板\行业估值模板</v>
      </c>
      <c r="S3090" s="9">
        <v>43600.3821759259</v>
      </c>
      <c r="T3090" s="9">
        <v>43390.5191898148</v>
      </c>
    </row>
    <row r="3091" spans="14:20">
      <c r="N3091" t="s">
        <v>15</v>
      </c>
      <c r="Q3091" t="s">
        <v>15</v>
      </c>
      <c r="R3091" t="s">
        <v>15</v>
      </c>
      <c r="S3091" t="s">
        <v>15</v>
      </c>
      <c r="T3091" t="s">
        <v>15</v>
      </c>
    </row>
    <row r="3092" spans="14:20">
      <c r="N3092" s="7" t="str">
        <f>HYPERLINK("E:\附赠：Excel模板\精美EXCEL模板\实用模板\财务报表模板全套\财务报表模板全套(excel).xls","财务报表模板全套(excel).xls")</f>
        <v>财务报表模板全套(excel).xls</v>
      </c>
      <c r="Q3092">
        <v>0.11</v>
      </c>
      <c r="R3092" s="7" t="str">
        <f>HYPERLINK("E:\附赠：Excel模板\精美EXCEL模板\实用模板\财务报表模板全套","E:\附赠：Excel模板\精美EXCEL模板\实用模板\财务报表模板全套")</f>
        <v>E:\附赠：Excel模板\精美EXCEL模板\实用模板\财务报表模板全套</v>
      </c>
      <c r="S3092" s="9">
        <v>43600.3821759259</v>
      </c>
      <c r="T3092" s="9">
        <v>43390.5191898148</v>
      </c>
    </row>
    <row r="3093" spans="14:20">
      <c r="N3093" t="s">
        <v>15</v>
      </c>
      <c r="Q3093" t="s">
        <v>15</v>
      </c>
      <c r="R3093" t="s">
        <v>15</v>
      </c>
      <c r="S3093" t="s">
        <v>15</v>
      </c>
      <c r="T3093" t="s">
        <v>15</v>
      </c>
    </row>
    <row r="3094" spans="14:20">
      <c r="N3094" s="7" t="str">
        <f>HYPERLINK("E:\附赠：Excel模板\精美EXCEL模板\实用模板\高级管理人员费用模板\高级管理人员费用明细表.xls","高级管理人员费用明细表.xls")</f>
        <v>高级管理人员费用明细表.xls</v>
      </c>
      <c r="Q3094">
        <v>0.02</v>
      </c>
      <c r="R3094" s="7" t="str">
        <f>HYPERLINK("E:\附赠：Excel模板\精美EXCEL模板\实用模板\高级管理人员费用模板","E:\附赠：Excel模板\精美EXCEL模板\实用模板\高级管理人员费用模板")</f>
        <v>E:\附赠：Excel模板\精美EXCEL模板\实用模板\高级管理人员费用模板</v>
      </c>
      <c r="S3094" s="9">
        <v>43600.3821759259</v>
      </c>
      <c r="T3094" s="9">
        <v>43390.5191898148</v>
      </c>
    </row>
    <row r="3095" spans="14:20">
      <c r="N3095" t="s">
        <v>15</v>
      </c>
      <c r="Q3095" t="s">
        <v>15</v>
      </c>
      <c r="R3095" t="s">
        <v>15</v>
      </c>
      <c r="S3095" t="s">
        <v>15</v>
      </c>
      <c r="T3095" t="s">
        <v>15</v>
      </c>
    </row>
    <row r="3096" spans="14:20">
      <c r="N3096" t="s">
        <v>15</v>
      </c>
      <c r="Q3096" t="s">
        <v>15</v>
      </c>
      <c r="R3096" t="s">
        <v>15</v>
      </c>
      <c r="S3096" t="s">
        <v>15</v>
      </c>
      <c r="T3096" t="s">
        <v>15</v>
      </c>
    </row>
    <row r="3097" spans="14:20">
      <c r="N3097" s="7" t="str">
        <f>HYPERLINK("E:\附赠：Excel模板\精美EXCEL模板\实用表格\EXCEL模板\上海公交向导.xls","上海公交向导.xls")</f>
        <v>上海公交向导.xls</v>
      </c>
      <c r="Q3097">
        <v>0.58</v>
      </c>
      <c r="R3097" s="7" t="str">
        <f t="shared" ref="R3097:R3128" si="62">HYPERLINK("E:\附赠：Excel模板\精美EXCEL模板\实用表格\EXCEL模板","E:\附赠：Excel模板\精美EXCEL模板\实用表格\EXCEL模板")</f>
        <v>E:\附赠：Excel模板\精美EXCEL模板\实用表格\EXCEL模板</v>
      </c>
      <c r="S3097" s="9">
        <v>43600.3821759259</v>
      </c>
      <c r="T3097" s="9">
        <v>43390.519212963</v>
      </c>
    </row>
    <row r="3098" spans="14:20">
      <c r="N3098" s="7" t="str">
        <f>HYPERLINK("E:\附赠：Excel模板\精美EXCEL模板\实用表格\EXCEL模板\世权电算公积金管理软件.xls","世权电算公积金管理软件.xls")</f>
        <v>世权电算公积金管理软件.xls</v>
      </c>
      <c r="Q3098">
        <v>5.87</v>
      </c>
      <c r="R3098" s="7" t="str">
        <f t="shared" si="62"/>
        <v>E:\附赠：Excel模板\精美EXCEL模板\实用表格\EXCEL模板</v>
      </c>
      <c r="S3098" s="9">
        <v>43600.3821759259</v>
      </c>
      <c r="T3098" s="9">
        <v>43390.5192361111</v>
      </c>
    </row>
    <row r="3099" spans="14:20">
      <c r="N3099" s="7" t="str">
        <f>HYPERLINK("E:\附赠：Excel模板\精美EXCEL模板\实用表格\EXCEL模板\世界杯.xls","世界杯.xls")</f>
        <v>世界杯.xls</v>
      </c>
      <c r="Q3099">
        <v>0.44</v>
      </c>
      <c r="R3099" s="7" t="str">
        <f t="shared" si="62"/>
        <v>E:\附赠：Excel模板\精美EXCEL模板\实用表格\EXCEL模板</v>
      </c>
      <c r="S3099" s="9">
        <v>43600.3821759259</v>
      </c>
      <c r="T3099" s="9">
        <v>43390.519212963</v>
      </c>
    </row>
    <row r="3100" spans="14:20">
      <c r="N3100" s="7" t="str">
        <f>HYPERLINK("E:\附赠：Excel模板\精美EXCEL模板\实用表格\EXCEL模板\个人所得税.xls","个人所得税.xls")</f>
        <v>个人所得税.xls</v>
      </c>
      <c r="Q3100">
        <v>0.02</v>
      </c>
      <c r="R3100" s="7" t="str">
        <f t="shared" si="62"/>
        <v>E:\附赠：Excel模板\精美EXCEL模板\实用表格\EXCEL模板</v>
      </c>
      <c r="S3100" s="9">
        <v>43600.3821759259</v>
      </c>
      <c r="T3100" s="9">
        <v>43390.5192361111</v>
      </c>
    </row>
    <row r="3101" spans="14:20">
      <c r="N3101" s="7" t="str">
        <f>HYPERLINK("E:\附赠：Excel模板\精美EXCEL模板\实用表格\EXCEL模板\个人收支管理.xls","个人收支管理.xls")</f>
        <v>个人收支管理.xls</v>
      </c>
      <c r="Q3101">
        <v>0.11</v>
      </c>
      <c r="R3101" s="7" t="str">
        <f t="shared" si="62"/>
        <v>E:\附赠：Excel模板\精美EXCEL模板\实用表格\EXCEL模板</v>
      </c>
      <c r="S3101" s="9">
        <v>43600.3821759259</v>
      </c>
      <c r="T3101" s="9">
        <v>43390.5192361111</v>
      </c>
    </row>
    <row r="3102" spans="14:20">
      <c r="N3102" s="7" t="str">
        <f>HYPERLINK("E:\附赠：Excel模板\精美EXCEL模板\实用表格\EXCEL模板\全套仓库管理表格.xls","全套仓库管理表格.xls")</f>
        <v>全套仓库管理表格.xls</v>
      </c>
      <c r="Q3102">
        <v>1.29</v>
      </c>
      <c r="R3102" s="7" t="str">
        <f t="shared" si="62"/>
        <v>E:\附赠：Excel模板\精美EXCEL模板\实用表格\EXCEL模板</v>
      </c>
      <c r="S3102" s="9">
        <v>43600.3821759259</v>
      </c>
      <c r="T3102" s="9">
        <v>43390.5192361111</v>
      </c>
    </row>
    <row r="3103" spans="14:20">
      <c r="N3103" s="7" t="str">
        <f>HYPERLINK("E:\附赠：Excel模板\精美EXCEL模板\实用表格\EXCEL模板\准考证打印.xls","准考证打印.xls")</f>
        <v>准考证打印.xls</v>
      </c>
      <c r="Q3103">
        <v>0.24</v>
      </c>
      <c r="R3103" s="7" t="str">
        <f t="shared" si="62"/>
        <v>E:\附赠：Excel模板\精美EXCEL模板\实用表格\EXCEL模板</v>
      </c>
      <c r="S3103" s="9">
        <v>43600.3821759259</v>
      </c>
      <c r="T3103" s="9">
        <v>43390.5191898148</v>
      </c>
    </row>
    <row r="3104" spans="14:20">
      <c r="N3104" s="7" t="str">
        <f>HYPERLINK("E:\附赠：Excel模板\精美EXCEL模板\实用表格\EXCEL模板\北京公交向导.xls","北京公交向导.xls")</f>
        <v>北京公交向导.xls</v>
      </c>
      <c r="Q3104">
        <v>0.68</v>
      </c>
      <c r="R3104" s="7" t="str">
        <f t="shared" si="62"/>
        <v>E:\附赠：Excel模板\精美EXCEL模板\实用表格\EXCEL模板</v>
      </c>
      <c r="S3104" s="9">
        <v>43600.3821759259</v>
      </c>
      <c r="T3104" s="9">
        <v>43390.5192592593</v>
      </c>
    </row>
    <row r="3105" spans="14:20">
      <c r="N3105" s="7" t="str">
        <f>HYPERLINK("E:\附赠：Excel模板\精美EXCEL模板\实用表格\EXCEL模板\区位码查询.xls","区位码查询.xls")</f>
        <v>区位码查询.xls</v>
      </c>
      <c r="Q3105">
        <v>0.46</v>
      </c>
      <c r="R3105" s="7" t="str">
        <f t="shared" si="62"/>
        <v>E:\附赠：Excel模板\精美EXCEL模板\实用表格\EXCEL模板</v>
      </c>
      <c r="S3105" s="9">
        <v>43600.3821759259</v>
      </c>
      <c r="T3105" s="9">
        <v>43390.5192361111</v>
      </c>
    </row>
    <row r="3106" spans="14:20">
      <c r="N3106" s="7" t="str">
        <f>HYPERLINK("E:\附赠：Excel模板\精美EXCEL模板\实用表格\EXCEL模板\原材料出入库统计.xls","原材料出入库统计.xls")</f>
        <v>原材料出入库统计.xls</v>
      </c>
      <c r="Q3106">
        <v>0.57</v>
      </c>
      <c r="R3106" s="7" t="str">
        <f t="shared" si="62"/>
        <v>E:\附赠：Excel模板\精美EXCEL模板\实用表格\EXCEL模板</v>
      </c>
      <c r="S3106" s="9">
        <v>43600.3821759259</v>
      </c>
      <c r="T3106" s="9">
        <v>43390.5191898148</v>
      </c>
    </row>
    <row r="3107" spans="14:20">
      <c r="N3107" s="7" t="str">
        <f>HYPERLINK("E:\附赠：Excel模板\精美EXCEL模板\实用表格\EXCEL模板\商品供销管理.xls","商品供销管理.xls")</f>
        <v>商品供销管理.xls</v>
      </c>
      <c r="Q3107">
        <v>0.18</v>
      </c>
      <c r="R3107" s="7" t="str">
        <f t="shared" si="62"/>
        <v>E:\附赠：Excel模板\精美EXCEL模板\实用表格\EXCEL模板</v>
      </c>
      <c r="S3107" s="9">
        <v>43600.3821759259</v>
      </c>
      <c r="T3107" s="9">
        <v>43390.519212963</v>
      </c>
    </row>
    <row r="3108" spans="14:20">
      <c r="N3108" s="7" t="str">
        <f>HYPERLINK("E:\附赠：Excel模板\精美EXCEL模板\实用表格\EXCEL模板\图文设计.xls","图文设计.xls")</f>
        <v>图文设计.xls</v>
      </c>
      <c r="Q3108">
        <v>0.56</v>
      </c>
      <c r="R3108" s="7" t="str">
        <f t="shared" si="62"/>
        <v>E:\附赠：Excel模板\精美EXCEL模板\实用表格\EXCEL模板</v>
      </c>
      <c r="S3108" s="9">
        <v>43600.3821759259</v>
      </c>
      <c r="T3108" s="9">
        <v>43390.519212963</v>
      </c>
    </row>
    <row r="3109" spans="14:20">
      <c r="N3109" s="7" t="str">
        <f>HYPERLINK("E:\附赠：Excel模板\精美EXCEL模板\实用表格\EXCEL模板\外汇实时兑换.xls","外汇实时兑换.xls")</f>
        <v>外汇实时兑换.xls</v>
      </c>
      <c r="Q3109">
        <v>0.25</v>
      </c>
      <c r="R3109" s="7" t="str">
        <f t="shared" si="62"/>
        <v>E:\附赠：Excel模板\精美EXCEL模板\实用表格\EXCEL模板</v>
      </c>
      <c r="S3109" s="9">
        <v>43600.3821759259</v>
      </c>
      <c r="T3109" s="9">
        <v>43390.519212963</v>
      </c>
    </row>
    <row r="3110" spans="14:20">
      <c r="N3110" s="7" t="str">
        <f>HYPERLINK("E:\附赠：Excel模板\精美EXCEL模板\实用表格\EXCEL模板\家庭地址查询.xls","家庭地址查询.xls")</f>
        <v>家庭地址查询.xls</v>
      </c>
      <c r="Q3110">
        <v>0.51</v>
      </c>
      <c r="R3110" s="7" t="str">
        <f t="shared" si="62"/>
        <v>E:\附赠：Excel模板\精美EXCEL模板\实用表格\EXCEL模板</v>
      </c>
      <c r="S3110" s="9">
        <v>43600.3821759259</v>
      </c>
      <c r="T3110" s="9">
        <v>43390.5192361111</v>
      </c>
    </row>
    <row r="3111" spans="14:20">
      <c r="N3111" s="7" t="str">
        <f>HYPERLINK("E:\附赠：Excel模板\精美EXCEL模板\实用表格\EXCEL模板\平衡各科分班系统.xls","平衡各科分班系统.xls")</f>
        <v>平衡各科分班系统.xls</v>
      </c>
      <c r="Q3111">
        <v>0.57</v>
      </c>
      <c r="R3111" s="7" t="str">
        <f t="shared" si="62"/>
        <v>E:\附赠：Excel模板\精美EXCEL模板\实用表格\EXCEL模板</v>
      </c>
      <c r="S3111" s="9">
        <v>43600.3821759259</v>
      </c>
      <c r="T3111" s="9">
        <v>43390.5192361111</v>
      </c>
    </row>
    <row r="3112" spans="14:20">
      <c r="N3112" s="7" t="str">
        <f>HYPERLINK("E:\附赠：Excel模板\精美EXCEL模板\实用表格\EXCEL模板\年历.xls","年历.xls")</f>
        <v>年历.xls</v>
      </c>
      <c r="Q3112">
        <v>0.06</v>
      </c>
      <c r="R3112" s="7" t="str">
        <f t="shared" si="62"/>
        <v>E:\附赠：Excel模板\精美EXCEL模板\实用表格\EXCEL模板</v>
      </c>
      <c r="S3112" s="9">
        <v>43600.3821759259</v>
      </c>
      <c r="T3112" s="9">
        <v>43390.5192361111</v>
      </c>
    </row>
    <row r="3113" spans="14:20">
      <c r="N3113" s="7" t="str">
        <f>HYPERLINK("E:\附赠：Excel模板\精美EXCEL模板\实用表格\EXCEL模板\总帐模板.xls","总帐模板.xls")</f>
        <v>总帐模板.xls</v>
      </c>
      <c r="Q3113">
        <v>0.6</v>
      </c>
      <c r="R3113" s="7" t="str">
        <f t="shared" si="62"/>
        <v>E:\附赠：Excel模板\精美EXCEL模板\实用表格\EXCEL模板</v>
      </c>
      <c r="S3113" s="9">
        <v>43600.3821759259</v>
      </c>
      <c r="T3113" s="9">
        <v>43390.5191898148</v>
      </c>
    </row>
    <row r="3114" spans="14:20">
      <c r="N3114" s="7" t="str">
        <f>HYPERLINK("E:\附赠：Excel模板\精美EXCEL模板\实用表格\EXCEL模板\房屋按揭计算表.xls","房屋按揭计算表.xls")</f>
        <v>房屋按揭计算表.xls</v>
      </c>
      <c r="Q3114">
        <v>0.21</v>
      </c>
      <c r="R3114" s="7" t="str">
        <f t="shared" si="62"/>
        <v>E:\附赠：Excel模板\精美EXCEL模板\实用表格\EXCEL模板</v>
      </c>
      <c r="S3114" s="9">
        <v>43600.3821759259</v>
      </c>
      <c r="T3114" s="9">
        <v>43390.5192592593</v>
      </c>
    </row>
    <row r="3115" spans="14:20">
      <c r="N3115" s="7" t="str">
        <f>HYPERLINK("E:\附赠：Excel模板\精美EXCEL模板\实用表格\EXCEL模板\拨款记录.xls","拨款记录.xls")</f>
        <v>拨款记录.xls</v>
      </c>
      <c r="Q3115">
        <v>0.93</v>
      </c>
      <c r="R3115" s="7" t="str">
        <f t="shared" si="62"/>
        <v>E:\附赠：Excel模板\精美EXCEL模板\实用表格\EXCEL模板</v>
      </c>
      <c r="S3115" s="9">
        <v>43600.3821759259</v>
      </c>
      <c r="T3115" s="9">
        <v>43390.5192592593</v>
      </c>
    </row>
    <row r="3116" spans="14:20">
      <c r="N3116" s="7" t="str">
        <f>HYPERLINK("E:\附赠：Excel模板\精美EXCEL模板\实用表格\EXCEL模板\新日报.xls","新日报.xls")</f>
        <v>新日报.xls</v>
      </c>
      <c r="Q3116">
        <v>0.53</v>
      </c>
      <c r="R3116" s="7" t="str">
        <f t="shared" si="62"/>
        <v>E:\附赠：Excel模板\精美EXCEL模板\实用表格\EXCEL模板</v>
      </c>
      <c r="S3116" s="9">
        <v>43600.3821759259</v>
      </c>
      <c r="T3116" s="9">
        <v>43390.519212963</v>
      </c>
    </row>
    <row r="3117" spans="14:20">
      <c r="N3117" s="7" t="str">
        <f>HYPERLINK("E:\附赠：Excel模板\精美EXCEL模板\实用表格\EXCEL模板\星座日历.xls","星座日历.xls")</f>
        <v>星座日历.xls</v>
      </c>
      <c r="Q3117">
        <v>0.28</v>
      </c>
      <c r="R3117" s="7" t="str">
        <f t="shared" si="62"/>
        <v>E:\附赠：Excel模板\精美EXCEL模板\实用表格\EXCEL模板</v>
      </c>
      <c r="S3117" s="9">
        <v>43600.3821759259</v>
      </c>
      <c r="T3117" s="9">
        <v>43390.519212963</v>
      </c>
    </row>
    <row r="3118" spans="14:20">
      <c r="N3118" s="7" t="str">
        <f>HYPERLINK("E:\附赠：Excel模板\精美EXCEL模板\实用表格\EXCEL模板\星座日历2.xls","星座日历2.xls")</f>
        <v>星座日历2.xls</v>
      </c>
      <c r="Q3118">
        <v>0.13</v>
      </c>
      <c r="R3118" s="7" t="str">
        <f t="shared" si="62"/>
        <v>E:\附赠：Excel模板\精美EXCEL模板\实用表格\EXCEL模板</v>
      </c>
      <c r="S3118" s="9">
        <v>43600.3821759259</v>
      </c>
      <c r="T3118" s="9">
        <v>43390.519212963</v>
      </c>
    </row>
    <row r="3119" spans="14:20">
      <c r="N3119" s="7" t="str">
        <f>HYPERLINK("E:\附赠：Excel模板\精美EXCEL模板\实用表格\EXCEL模板\特快专递详情.xls","特快专递详情.xls")</f>
        <v>特快专递详情.xls</v>
      </c>
      <c r="Q3119">
        <v>0.16</v>
      </c>
      <c r="R3119" s="7" t="str">
        <f t="shared" si="62"/>
        <v>E:\附赠：Excel模板\精美EXCEL模板\实用表格\EXCEL模板</v>
      </c>
      <c r="S3119" s="9">
        <v>43600.3821759259</v>
      </c>
      <c r="T3119" s="9">
        <v>43390.519212963</v>
      </c>
    </row>
    <row r="3120" spans="14:20">
      <c r="N3120" s="7" t="str">
        <f>HYPERLINK("E:\附赠：Excel模板\精美EXCEL模板\实用表格\EXCEL模板\精装万年历.xls","精装万年历.xls")</f>
        <v>精装万年历.xls</v>
      </c>
      <c r="Q3120">
        <v>0.65</v>
      </c>
      <c r="R3120" s="7" t="str">
        <f t="shared" si="62"/>
        <v>E:\附赠：Excel模板\精美EXCEL模板\实用表格\EXCEL模板</v>
      </c>
      <c r="S3120" s="9">
        <v>43600.3821759259</v>
      </c>
      <c r="T3120" s="9">
        <v>43390.5192361111</v>
      </c>
    </row>
    <row r="3121" spans="14:20">
      <c r="N3121" s="7" t="str">
        <f>HYPERLINK("E:\附赠：Excel模板\精美EXCEL模板\实用表格\EXCEL模板\股票提示.xls","股票提示.xls")</f>
        <v>股票提示.xls</v>
      </c>
      <c r="Q3121">
        <v>0.12</v>
      </c>
      <c r="R3121" s="7" t="str">
        <f t="shared" si="62"/>
        <v>E:\附赠：Excel模板\精美EXCEL模板\实用表格\EXCEL模板</v>
      </c>
      <c r="S3121" s="9">
        <v>43600.3821759259</v>
      </c>
      <c r="T3121" s="9">
        <v>43390.5192361111</v>
      </c>
    </row>
    <row r="3122" spans="14:20">
      <c r="N3122" s="7" t="str">
        <f>HYPERLINK("E:\附赠：Excel模板\精美EXCEL模板\实用表格\EXCEL模板\股票资产核算.xls","股票资产核算.xls")</f>
        <v>股票资产核算.xls</v>
      </c>
      <c r="Q3122">
        <v>0.26</v>
      </c>
      <c r="R3122" s="7" t="str">
        <f t="shared" si="62"/>
        <v>E:\附赠：Excel模板\精美EXCEL模板\实用表格\EXCEL模板</v>
      </c>
      <c r="S3122" s="9">
        <v>43600.3821759259</v>
      </c>
      <c r="T3122" s="9">
        <v>43390.5192361111</v>
      </c>
    </row>
    <row r="3123" spans="14:20">
      <c r="N3123" s="7" t="str">
        <f>HYPERLINK("E:\附赠：Excel模板\精美EXCEL模板\实用表格\EXCEL模板\色环电阻计算器.xls","色环电阻计算器.xls")</f>
        <v>色环电阻计算器.xls</v>
      </c>
      <c r="Q3123">
        <v>0.06</v>
      </c>
      <c r="R3123" s="7" t="str">
        <f t="shared" si="62"/>
        <v>E:\附赠：Excel模板\精美EXCEL模板\实用表格\EXCEL模板</v>
      </c>
      <c r="S3123" s="9">
        <v>43600.3821759259</v>
      </c>
      <c r="T3123" s="9">
        <v>43390.5192361111</v>
      </c>
    </row>
    <row r="3124" spans="14:20">
      <c r="N3124" s="7" t="str">
        <f>HYPERLINK("E:\附赠：Excel模板\精美EXCEL模板\实用表格\EXCEL模板\计件工资核算.xls","计件工资核算.xls")</f>
        <v>计件工资核算.xls</v>
      </c>
      <c r="Q3124">
        <v>1.01</v>
      </c>
      <c r="R3124" s="7" t="str">
        <f t="shared" si="62"/>
        <v>E:\附赠：Excel模板\精美EXCEL模板\实用表格\EXCEL模板</v>
      </c>
      <c r="S3124" s="9">
        <v>43600.3821759259</v>
      </c>
      <c r="T3124" s="9">
        <v>43390.5192361111</v>
      </c>
    </row>
    <row r="3125" spans="14:20">
      <c r="N3125" s="7" t="str">
        <f>HYPERLINK("E:\附赠：Excel模板\精美EXCEL模板\实用表格\EXCEL模板\试验报表系统.xls","试验报表系统.xls")</f>
        <v>试验报表系统.xls</v>
      </c>
      <c r="Q3125">
        <v>0.27</v>
      </c>
      <c r="R3125" s="7" t="str">
        <f t="shared" si="62"/>
        <v>E:\附赠：Excel模板\精美EXCEL模板\实用表格\EXCEL模板</v>
      </c>
      <c r="S3125" s="9">
        <v>43600.3821759259</v>
      </c>
      <c r="T3125" s="9">
        <v>43390.519212963</v>
      </c>
    </row>
    <row r="3126" spans="14:20">
      <c r="N3126" s="7" t="str">
        <f>HYPERLINK("E:\附赠：Excel模板\精美EXCEL模板\实用表格\EXCEL模板\贷款计算器.xlt","贷款计算器.xlt")</f>
        <v>贷款计算器.xlt</v>
      </c>
      <c r="Q3126">
        <v>0.29</v>
      </c>
      <c r="R3126" s="7" t="str">
        <f t="shared" si="62"/>
        <v>E:\附赠：Excel模板\精美EXCEL模板\实用表格\EXCEL模板</v>
      </c>
      <c r="S3126" s="9">
        <v>43600.3821759259</v>
      </c>
      <c r="T3126" s="9">
        <v>43390.5192592593</v>
      </c>
    </row>
    <row r="3127" spans="14:20">
      <c r="N3127" s="7" t="str">
        <f>HYPERLINK("E:\附赠：Excel模板\精美EXCEL模板\实用表格\EXCEL模板\迷你小台历.xls","迷你小台历.xls")</f>
        <v>迷你小台历.xls</v>
      </c>
      <c r="Q3127">
        <v>0.54</v>
      </c>
      <c r="R3127" s="7" t="str">
        <f t="shared" si="62"/>
        <v>E:\附赠：Excel模板\精美EXCEL模板\实用表格\EXCEL模板</v>
      </c>
      <c r="S3127" s="9">
        <v>43600.3821759259</v>
      </c>
      <c r="T3127" s="9">
        <v>43390.5192361111</v>
      </c>
    </row>
    <row r="3128" spans="14:20">
      <c r="N3128" s="7" t="str">
        <f>HYPERLINK("E:\附赠：Excel模板\精美EXCEL模板\实用表格\EXCEL模板\邮箴心情月历.xls","邮箴心情月历.xls")</f>
        <v>邮箴心情月历.xls</v>
      </c>
      <c r="Q3128">
        <v>0.13</v>
      </c>
      <c r="R3128" s="7" t="str">
        <f t="shared" si="62"/>
        <v>E:\附赠：Excel模板\精美EXCEL模板\实用表格\EXCEL模板</v>
      </c>
      <c r="S3128" s="9">
        <v>43600.3821759259</v>
      </c>
      <c r="T3128" s="9">
        <v>43390.5191898148</v>
      </c>
    </row>
    <row r="3129" spans="14:20">
      <c r="N3129" t="s">
        <v>15</v>
      </c>
      <c r="Q3129" t="s">
        <v>15</v>
      </c>
      <c r="R3129" t="s">
        <v>15</v>
      </c>
      <c r="S3129" t="s">
        <v>15</v>
      </c>
      <c r="T3129" t="s">
        <v>15</v>
      </c>
    </row>
    <row r="3130" spans="14:20">
      <c r="N3130" t="s">
        <v>15</v>
      </c>
      <c r="Q3130" t="s">
        <v>15</v>
      </c>
      <c r="R3130" t="s">
        <v>15</v>
      </c>
      <c r="S3130" t="s">
        <v>15</v>
      </c>
      <c r="T3130" t="s">
        <v>15</v>
      </c>
    </row>
    <row r="3131" spans="14:20">
      <c r="N3131" s="7" t="str">
        <f>HYPERLINK("E:\附赠：Excel模板\精美EXCEL模板\市场营销素材与模板\其他模板\三维旋转图表.xlt","三维旋转图表.xlt")</f>
        <v>三维旋转图表.xlt</v>
      </c>
      <c r="Q3131">
        <v>0.08</v>
      </c>
      <c r="R3131" s="7" t="str">
        <f t="shared" ref="R3131:R3194" si="63">HYPERLINK("E:\附赠：Excel模板\精美EXCEL模板\市场营销素材与模板\其他模板","E:\附赠：Excel模板\精美EXCEL模板\市场营销素材与模板\其他模板")</f>
        <v>E:\附赠：Excel模板\精美EXCEL模板\市场营销素材与模板\其他模板</v>
      </c>
      <c r="S3131" s="9">
        <v>43600.3821759259</v>
      </c>
      <c r="T3131" s="9">
        <v>43390.5191203704</v>
      </c>
    </row>
    <row r="3132" spans="14:20">
      <c r="N3132" s="7" t="str">
        <f>HYPERLINK("E:\附赠：Excel模板\精美EXCEL模板\市场营销素材与模板\其他模板\个税速算.xlt","个税速算.xlt")</f>
        <v>个税速算.xlt</v>
      </c>
      <c r="Q3132">
        <v>0.02</v>
      </c>
      <c r="R3132" s="7" t="str">
        <f t="shared" si="63"/>
        <v>E:\附赠：Excel模板\精美EXCEL模板\市场营销素材与模板\其他模板</v>
      </c>
      <c r="S3132" s="9">
        <v>43600.3821759259</v>
      </c>
      <c r="T3132" s="9">
        <v>43390.5191666667</v>
      </c>
    </row>
    <row r="3133" spans="14:20">
      <c r="N3133" s="7" t="str">
        <f>HYPERLINK("E:\附赠：Excel模板\精美EXCEL模板\市场营销素材与模板\其他模板\产品销售分析与预测.xlt","产品销售分析与预测.xlt")</f>
        <v>产品销售分析与预测.xlt</v>
      </c>
      <c r="Q3133">
        <v>0.08</v>
      </c>
      <c r="R3133" s="7" t="str">
        <f t="shared" si="63"/>
        <v>E:\附赠：Excel模板\精美EXCEL模板\市场营销素材与模板\其他模板</v>
      </c>
      <c r="S3133" s="9">
        <v>43600.3821759259</v>
      </c>
      <c r="T3133" s="9">
        <v>43390.5191666667</v>
      </c>
    </row>
    <row r="3134" spans="14:20">
      <c r="N3134" s="7" t="str">
        <f>HYPERLINK("E:\附赠：Excel模板\精美EXCEL模板\市场营销素材与模板\其他模板\产品销售额预测分析表.xlt","产品销售额预测分析表.xlt")</f>
        <v>产品销售额预测分析表.xlt</v>
      </c>
      <c r="Q3134">
        <v>0.01</v>
      </c>
      <c r="R3134" s="7" t="str">
        <f t="shared" si="63"/>
        <v>E:\附赠：Excel模板\精美EXCEL模板\市场营销素材与模板\其他模板</v>
      </c>
      <c r="S3134" s="9">
        <v>43600.3821759259</v>
      </c>
      <c r="T3134" s="9">
        <v>43390.5191898148</v>
      </c>
    </row>
    <row r="3135" spans="14:20">
      <c r="N3135" s="7" t="str">
        <f>HYPERLINK("E:\附赠：Excel模板\精美EXCEL模板\市场营销素材与模板\其他模板\企业产品清单.xlt","企业产品清单.xlt")</f>
        <v>企业产品清单.xlt</v>
      </c>
      <c r="Q3135">
        <v>0.04</v>
      </c>
      <c r="R3135" s="7" t="str">
        <f t="shared" si="63"/>
        <v>E:\附赠：Excel模板\精美EXCEL模板\市场营销素材与模板\其他模板</v>
      </c>
      <c r="S3135" s="9">
        <v>43600.3821759259</v>
      </c>
      <c r="T3135" s="9">
        <v>43390.5191435185</v>
      </c>
    </row>
    <row r="3136" spans="14:20">
      <c r="N3136" s="7" t="str">
        <f>HYPERLINK("E:\附赠：Excel模板\精美EXCEL模板\市场营销素材与模板\其他模板\企业人力资源信息调查表.xlt","企业人力资源信息调查表.xlt")</f>
        <v>企业人力资源信息调查表.xlt</v>
      </c>
      <c r="Q3136">
        <v>0.03</v>
      </c>
      <c r="R3136" s="7" t="str">
        <f t="shared" si="63"/>
        <v>E:\附赠：Excel模板\精美EXCEL模板\市场营销素材与模板\其他模板</v>
      </c>
      <c r="S3136" s="9">
        <v>43600.3821759259</v>
      </c>
      <c r="T3136" s="9">
        <v>43390.5191435185</v>
      </c>
    </row>
    <row r="3137" spans="14:20">
      <c r="N3137" s="7" t="str">
        <f>HYPERLINK("E:\附赠：Excel模板\精美EXCEL模板\市场营销素材与模板\其他模板\企业内部刊物阅览管理.xlt","企业内部刊物阅览管理.xlt")</f>
        <v>企业内部刊物阅览管理.xlt</v>
      </c>
      <c r="Q3137">
        <v>0.15</v>
      </c>
      <c r="R3137" s="7" t="str">
        <f t="shared" si="63"/>
        <v>E:\附赠：Excel模板\精美EXCEL模板\市场营销素材与模板\其他模板</v>
      </c>
      <c r="S3137" s="9">
        <v>43600.3821759259</v>
      </c>
      <c r="T3137" s="9">
        <v>43390.5191435185</v>
      </c>
    </row>
    <row r="3138" spans="14:20">
      <c r="N3138" s="7" t="str">
        <f>HYPERLINK("E:\附赠：Excel模板\精美EXCEL模板\市场营销素材与模板\其他模板\企业原料采购申请表.xlt","企业原料采购申请表.xlt")</f>
        <v>企业原料采购申请表.xlt</v>
      </c>
      <c r="Q3138">
        <v>0.02</v>
      </c>
      <c r="R3138" s="7" t="str">
        <f t="shared" si="63"/>
        <v>E:\附赠：Excel模板\精美EXCEL模板\市场营销素材与模板\其他模板</v>
      </c>
      <c r="S3138" s="9">
        <v>43600.3821759259</v>
      </c>
      <c r="T3138" s="9">
        <v>43390.5191203704</v>
      </c>
    </row>
    <row r="3139" spans="14:20">
      <c r="N3139" s="7" t="str">
        <f>HYPERLINK("E:\附赠：Excel模板\精美EXCEL模板\市场营销素材与模板\其他模板\企业原料采购登记表.xlt","企业原料采购登记表.xlt")</f>
        <v>企业原料采购登记表.xlt</v>
      </c>
      <c r="Q3139">
        <v>0.02</v>
      </c>
      <c r="R3139" s="7" t="str">
        <f t="shared" si="63"/>
        <v>E:\附赠：Excel模板\精美EXCEL模板\市场营销素材与模板\其他模板</v>
      </c>
      <c r="S3139" s="9">
        <v>43600.3821759259</v>
      </c>
      <c r="T3139" s="9">
        <v>43390.5191203704</v>
      </c>
    </row>
    <row r="3140" spans="14:20">
      <c r="N3140" s="7" t="str">
        <f>HYPERLINK("E:\附赠：Excel模板\精美EXCEL模板\市场营销素材与模板\其他模板\企业员工年假表.xlt","企业员工年假表.xlt")</f>
        <v>企业员工年假表.xlt</v>
      </c>
      <c r="Q3140">
        <v>0.02</v>
      </c>
      <c r="R3140" s="7" t="str">
        <f t="shared" si="63"/>
        <v>E:\附赠：Excel模板\精美EXCEL模板\市场营销素材与模板\其他模板</v>
      </c>
      <c r="S3140" s="9">
        <v>43600.3821759259</v>
      </c>
      <c r="T3140" s="9">
        <v>43390.5191203704</v>
      </c>
    </row>
    <row r="3141" spans="14:20">
      <c r="N3141" s="7" t="str">
        <f>HYPERLINK("E:\附赠：Excel模板\精美EXCEL模板\市场营销素材与模板\其他模板\企业客户交易评估系统.xlt","企业客户交易评估系统.xlt")</f>
        <v>企业客户交易评估系统.xlt</v>
      </c>
      <c r="Q3141">
        <v>0.03</v>
      </c>
      <c r="R3141" s="7" t="str">
        <f t="shared" si="63"/>
        <v>E:\附赠：Excel模板\精美EXCEL模板\市场营销素材与模板\其他模板</v>
      </c>
      <c r="S3141" s="9">
        <v>43600.3821759259</v>
      </c>
      <c r="T3141" s="9">
        <v>43390.5191435185</v>
      </c>
    </row>
    <row r="3142" spans="14:20">
      <c r="N3142" s="7" t="str">
        <f>HYPERLINK("E:\附赠：Excel模板\精美EXCEL模板\市场营销素材与模板\其他模板\企业客户资料统计表.xlt","企业客户资料统计表.xlt")</f>
        <v>企业客户资料统计表.xlt</v>
      </c>
      <c r="Q3142">
        <v>0.02</v>
      </c>
      <c r="R3142" s="7" t="str">
        <f t="shared" si="63"/>
        <v>E:\附赠：Excel模板\精美EXCEL模板\市场营销素材与模板\其他模板</v>
      </c>
      <c r="S3142" s="9">
        <v>43600.3821759259</v>
      </c>
      <c r="T3142" s="9">
        <v>43390.5191435185</v>
      </c>
    </row>
    <row r="3143" spans="14:20">
      <c r="N3143" s="7" t="str">
        <f>HYPERLINK("E:\附赠：Excel模板\精美EXCEL模板\市场营销素材与模板\其他模板\企业市场调查问卷.xlt","企业市场调查问卷.xlt")</f>
        <v>企业市场调查问卷.xlt</v>
      </c>
      <c r="Q3143">
        <v>0.07</v>
      </c>
      <c r="R3143" s="7" t="str">
        <f t="shared" si="63"/>
        <v>E:\附赠：Excel模板\精美EXCEL模板\市场营销素材与模板\其他模板</v>
      </c>
      <c r="S3143" s="9">
        <v>43600.3821759259</v>
      </c>
      <c r="T3143" s="9">
        <v>43390.5191435185</v>
      </c>
    </row>
    <row r="3144" spans="14:20">
      <c r="N3144" s="7" t="str">
        <f>HYPERLINK("E:\附赠：Excel模板\精美EXCEL模板\市场营销素材与模板\其他模板\企业招聘员工程序表.xlt","企业招聘员工程序表.xlt")</f>
        <v>企业招聘员工程序表.xlt</v>
      </c>
      <c r="Q3144">
        <v>0.02</v>
      </c>
      <c r="R3144" s="7" t="str">
        <f t="shared" si="63"/>
        <v>E:\附赠：Excel模板\精美EXCEL模板\市场营销素材与模板\其他模板</v>
      </c>
      <c r="S3144" s="9">
        <v>43600.3821759259</v>
      </c>
      <c r="T3144" s="9">
        <v>43390.5191203704</v>
      </c>
    </row>
    <row r="3145" spans="14:20">
      <c r="N3145" s="7" t="str">
        <f>HYPERLINK("E:\附赠：Excel模板\精美EXCEL模板\市场营销素材与模板\其他模板\企业新进员工培训成绩统计表.xlt","企业新进员工培训成绩统计表.xlt")</f>
        <v>企业新进员工培训成绩统计表.xlt</v>
      </c>
      <c r="Q3145">
        <v>0.02</v>
      </c>
      <c r="R3145" s="7" t="str">
        <f t="shared" si="63"/>
        <v>E:\附赠：Excel模板\精美EXCEL模板\市场营销素材与模板\其他模板</v>
      </c>
      <c r="S3145" s="9">
        <v>43600.3821759259</v>
      </c>
      <c r="T3145" s="9">
        <v>43390.5191203704</v>
      </c>
    </row>
    <row r="3146" spans="14:20">
      <c r="N3146" s="7" t="str">
        <f>HYPERLINK("E:\附赠：Excel模板\精美EXCEL模板\市场营销素材与模板\其他模板\企业新进员工登记表.xlt","企业新进员工登记表.xlt")</f>
        <v>企业新进员工登记表.xlt</v>
      </c>
      <c r="Q3146">
        <v>0.02</v>
      </c>
      <c r="R3146" s="7" t="str">
        <f t="shared" si="63"/>
        <v>E:\附赠：Excel模板\精美EXCEL模板\市场营销素材与模板\其他模板</v>
      </c>
      <c r="S3146" s="9">
        <v>43600.3821759259</v>
      </c>
      <c r="T3146" s="9">
        <v>43390.5191435185</v>
      </c>
    </row>
    <row r="3147" spans="14:20">
      <c r="N3147" s="7" t="str">
        <f>HYPERLINK("E:\附赠：Excel模板\精美EXCEL模板\市场营销素材与模板\其他模板\企业生产方案选择表.xlt","企业生产方案选择表.xlt")</f>
        <v>企业生产方案选择表.xlt</v>
      </c>
      <c r="Q3147">
        <v>0.02</v>
      </c>
      <c r="R3147" s="7" t="str">
        <f t="shared" si="63"/>
        <v>E:\附赠：Excel模板\精美EXCEL模板\市场营销素材与模板\其他模板</v>
      </c>
      <c r="S3147" s="9">
        <v>43600.3821759259</v>
      </c>
      <c r="T3147" s="9">
        <v>43390.5191435185</v>
      </c>
    </row>
    <row r="3148" spans="14:20">
      <c r="N3148" s="7" t="str">
        <f>HYPERLINK("E:\附赠：Excel模板\精美EXCEL模板\市场营销素材与模板\其他模板\企业重大会议日程安排提醒表.xlt","企业重大会议日程安排提醒表.xlt")</f>
        <v>企业重大会议日程安排提醒表.xlt</v>
      </c>
      <c r="Q3148">
        <v>0.02</v>
      </c>
      <c r="R3148" s="7" t="str">
        <f t="shared" si="63"/>
        <v>E:\附赠：Excel模板\精美EXCEL模板\市场营销素材与模板\其他模板</v>
      </c>
      <c r="S3148" s="9">
        <v>43600.3821759259</v>
      </c>
      <c r="T3148" s="9">
        <v>43390.5191203704</v>
      </c>
    </row>
    <row r="3149" spans="14:20">
      <c r="N3149" s="7" t="str">
        <f>HYPERLINK("E:\附赠：Excel模板\精美EXCEL模板\市场营销素材与模板\其他模板\公司文档资料管理.xlt","公司文档资料管理.xlt")</f>
        <v>公司文档资料管理.xlt</v>
      </c>
      <c r="Q3149">
        <v>0.13</v>
      </c>
      <c r="R3149" s="7" t="str">
        <f t="shared" si="63"/>
        <v>E:\附赠：Excel模板\精美EXCEL模板\市场营销素材与模板\其他模板</v>
      </c>
      <c r="S3149" s="9">
        <v>43600.3821759259</v>
      </c>
      <c r="T3149" s="9">
        <v>43390.5191666667</v>
      </c>
    </row>
    <row r="3150" spans="14:20">
      <c r="N3150" s="7" t="str">
        <f>HYPERLINK("E:\附赠：Excel模板\精美EXCEL模板\市场营销素材与模板\其他模板\养老金投资计算器.xlt","养老金投资计算器.xlt")</f>
        <v>养老金投资计算器.xlt</v>
      </c>
      <c r="Q3150">
        <v>0.08</v>
      </c>
      <c r="R3150" s="7" t="str">
        <f t="shared" si="63"/>
        <v>E:\附赠：Excel模板\精美EXCEL模板\市场营销素材与模板\其他模板</v>
      </c>
      <c r="S3150" s="9">
        <v>43600.3821759259</v>
      </c>
      <c r="T3150" s="9">
        <v>43390.5190972222</v>
      </c>
    </row>
    <row r="3151" spans="14:20">
      <c r="N3151" s="7" t="str">
        <f>HYPERLINK("E:\附赠：Excel模板\精美EXCEL模板\市场营销素材与模板\其他模板\内部报酬率法投资分析表.xlt","内部报酬率法投资分析表.xlt")</f>
        <v>内部报酬率法投资分析表.xlt</v>
      </c>
      <c r="Q3151">
        <v>0.04</v>
      </c>
      <c r="R3151" s="7" t="str">
        <f t="shared" si="63"/>
        <v>E:\附赠：Excel模板\精美EXCEL模板\市场营销素材与模板\其他模板</v>
      </c>
      <c r="S3151" s="9">
        <v>43600.3821759259</v>
      </c>
      <c r="T3151" s="9">
        <v>43390.5191435185</v>
      </c>
    </row>
    <row r="3152" spans="14:20">
      <c r="N3152" s="7" t="str">
        <f>HYPERLINK("E:\附赠：Excel模板\精美EXCEL模板\市场营销素材与模板\其他模板\净现值法投资分析表.xlt","净现值法投资分析表.xlt")</f>
        <v>净现值法投资分析表.xlt</v>
      </c>
      <c r="Q3152">
        <v>0.03</v>
      </c>
      <c r="R3152" s="7" t="str">
        <f t="shared" si="63"/>
        <v>E:\附赠：Excel模板\精美EXCEL模板\市场营销素材与模板\其他模板</v>
      </c>
      <c r="S3152" s="9">
        <v>43600.3821759259</v>
      </c>
      <c r="T3152" s="9">
        <v>43390.5191435185</v>
      </c>
    </row>
    <row r="3153" spans="14:20">
      <c r="N3153" s="7" t="str">
        <f>HYPERLINK("E:\附赠：Excel模板\精美EXCEL模板\市场营销素材与模板\其他模板\制作员工通讯录.xlt","制作员工通讯录.xlt")</f>
        <v>制作员工通讯录.xlt</v>
      </c>
      <c r="Q3153">
        <v>0.03</v>
      </c>
      <c r="R3153" s="7" t="str">
        <f t="shared" si="63"/>
        <v>E:\附赠：Excel模板\精美EXCEL模板\市场营销素材与模板\其他模板</v>
      </c>
      <c r="S3153" s="9">
        <v>43600.3821759259</v>
      </c>
      <c r="T3153" s="9">
        <v>43390.5190740741</v>
      </c>
    </row>
    <row r="3154" spans="14:20">
      <c r="N3154" s="7" t="str">
        <f>HYPERLINK("E:\附赠：Excel模板\精美EXCEL模板\市场营销素材与模板\其他模板\制作股票收益计算器.xlt","制作股票收益计算器.xlt")</f>
        <v>制作股票收益计算器.xlt</v>
      </c>
      <c r="Q3154">
        <v>0.02</v>
      </c>
      <c r="R3154" s="7" t="str">
        <f t="shared" si="63"/>
        <v>E:\附赠：Excel模板\精美EXCEL模板\市场营销素材与模板\其他模板</v>
      </c>
      <c r="S3154" s="9">
        <v>43600.3821759259</v>
      </c>
      <c r="T3154" s="9">
        <v>43390.5190740741</v>
      </c>
    </row>
    <row r="3155" spans="14:20">
      <c r="N3155" s="7" t="str">
        <f>HYPERLINK("E:\附赠：Excel模板\精美EXCEL模板\市场营销素材与模板\其他模板\办公用品领用记录表.xlt","办公用品领用记录表.xlt")</f>
        <v>办公用品领用记录表.xlt</v>
      </c>
      <c r="Q3155">
        <v>0.02</v>
      </c>
      <c r="R3155" s="7" t="str">
        <f t="shared" si="63"/>
        <v>E:\附赠：Excel模板\精美EXCEL模板\市场营销素材与模板\其他模板</v>
      </c>
      <c r="S3155" s="9">
        <v>43600.3821759259</v>
      </c>
      <c r="T3155" s="9">
        <v>43390.5191898148</v>
      </c>
    </row>
    <row r="3156" spans="14:20">
      <c r="N3156" s="7" t="str">
        <f>HYPERLINK("E:\附赠：Excel模板\精美EXCEL模板\市场营销素材与模板\其他模板\加班记录表.xlt","加班记录表.xlt")</f>
        <v>加班记录表.xlt</v>
      </c>
      <c r="Q3156">
        <v>0.02</v>
      </c>
      <c r="R3156" s="7" t="str">
        <f t="shared" si="63"/>
        <v>E:\附赠：Excel模板\精美EXCEL模板\市场营销素材与模板\其他模板</v>
      </c>
      <c r="S3156" s="9">
        <v>43600.3821759259</v>
      </c>
      <c r="T3156" s="9">
        <v>43390.5191435185</v>
      </c>
    </row>
    <row r="3157" spans="14:20">
      <c r="N3157" s="7" t="str">
        <f>HYPERLINK("E:\附赠：Excel模板\精美EXCEL模板\市场营销素材与模板\其他模板\包含同名同姓员工的销售部员工资料表.xlt","包含同名同姓员工的销售部员工资料表.xlt")</f>
        <v>包含同名同姓员工的销售部员工资料表.xlt</v>
      </c>
      <c r="Q3157">
        <v>0.68</v>
      </c>
      <c r="R3157" s="7" t="str">
        <f t="shared" si="63"/>
        <v>E:\附赠：Excel模板\精美EXCEL模板\市场营销素材与模板\其他模板</v>
      </c>
      <c r="S3157" s="9">
        <v>43600.3821759259</v>
      </c>
      <c r="T3157" s="9">
        <v>43390.5191898148</v>
      </c>
    </row>
    <row r="3158" spans="14:20">
      <c r="N3158" s="7" t="str">
        <f>HYPERLINK("E:\附赠：Excel模板\精美EXCEL模板\市场营销素材与模板\其他模板\单据.xlt","单据.xlt")</f>
        <v>单据.xlt</v>
      </c>
      <c r="Q3158">
        <v>0.02</v>
      </c>
      <c r="R3158" s="7" t="str">
        <f t="shared" si="63"/>
        <v>E:\附赠：Excel模板\精美EXCEL模板\市场营销素材与模板\其他模板</v>
      </c>
      <c r="S3158" s="9">
        <v>43600.3821759259</v>
      </c>
      <c r="T3158" s="9">
        <v>43390.5191666667</v>
      </c>
    </row>
    <row r="3159" spans="14:20">
      <c r="N3159" s="7" t="str">
        <f>HYPERLINK("E:\附赠：Excel模板\精美EXCEL模板\市场营销素材与模板\其他模板\员工医疗费用统计表.xlt","员工医疗费用统计表.xlt")</f>
        <v>员工医疗费用统计表.xlt</v>
      </c>
      <c r="Q3159">
        <v>0.02</v>
      </c>
      <c r="R3159" s="7" t="str">
        <f t="shared" si="63"/>
        <v>E:\附赠：Excel模板\精美EXCEL模板\市场营销素材与模板\其他模板</v>
      </c>
      <c r="S3159" s="9">
        <v>43600.3821759259</v>
      </c>
      <c r="T3159" s="9">
        <v>43390.5190972222</v>
      </c>
    </row>
    <row r="3160" spans="14:20">
      <c r="N3160" s="7" t="str">
        <f>HYPERLINK("E:\附赠：Excel模板\精美EXCEL模板\市场营销素材与模板\其他模板\员工名片印制申请单据.xlt","员工名片印制申请单据.xlt")</f>
        <v>员工名片印制申请单据.xlt</v>
      </c>
      <c r="Q3160">
        <v>0.01</v>
      </c>
      <c r="R3160" s="7" t="str">
        <f t="shared" si="63"/>
        <v>E:\附赠：Excel模板\精美EXCEL模板\市场营销素材与模板\其他模板</v>
      </c>
      <c r="S3160" s="9">
        <v>43600.3821759259</v>
      </c>
      <c r="T3160" s="9">
        <v>43390.5190972222</v>
      </c>
    </row>
    <row r="3161" spans="14:20">
      <c r="N3161" s="7" t="str">
        <f>HYPERLINK("E:\附赠：Excel模板\精美EXCEL模板\市场营销素材与模板\其他模板\员工工资数据表.xlt","员工工资数据表.xlt")</f>
        <v>员工工资数据表.xlt</v>
      </c>
      <c r="Q3161">
        <v>0.03</v>
      </c>
      <c r="R3161" s="7" t="str">
        <f t="shared" si="63"/>
        <v>E:\附赠：Excel模板\精美EXCEL模板\市场营销素材与模板\其他模板</v>
      </c>
      <c r="S3161" s="9">
        <v>43600.3821759259</v>
      </c>
      <c r="T3161" s="9">
        <v>43390.5190972222</v>
      </c>
    </row>
    <row r="3162" spans="14:20">
      <c r="N3162" s="7" t="str">
        <f>HYPERLINK("E:\附赠：Excel模板\精美EXCEL模板\市场营销素材与模板\其他模板\员工离职程序表.xlt","员工离职程序表.xlt")</f>
        <v>员工离职程序表.xlt</v>
      </c>
      <c r="Q3162">
        <v>0.03</v>
      </c>
      <c r="R3162" s="7" t="str">
        <f t="shared" si="63"/>
        <v>E:\附赠：Excel模板\精美EXCEL模板\市场营销素材与模板\其他模板</v>
      </c>
      <c r="S3162" s="9">
        <v>43600.3821759259</v>
      </c>
      <c r="T3162" s="9">
        <v>43390.5190972222</v>
      </c>
    </row>
    <row r="3163" spans="14:20">
      <c r="N3163" s="7" t="str">
        <f>HYPERLINK("E:\附赠：Excel模板\精美EXCEL模板\市场营销素材与模板\其他模板\员工过往薪资记录表.xlt","员工过往薪资记录表.xlt")</f>
        <v>员工过往薪资记录表.xlt</v>
      </c>
      <c r="Q3163">
        <v>0.02</v>
      </c>
      <c r="R3163" s="7" t="str">
        <f t="shared" si="63"/>
        <v>E:\附赠：Excel模板\精美EXCEL模板\市场营销素材与模板\其他模板</v>
      </c>
      <c r="S3163" s="9">
        <v>43600.3821759259</v>
      </c>
      <c r="T3163" s="9">
        <v>43390.5190972222</v>
      </c>
    </row>
    <row r="3164" spans="14:20">
      <c r="N3164" s="7" t="str">
        <f>HYPERLINK("E:\附赠：Excel模板\精美EXCEL模板\市场营销素材与模板\其他模板\商品分期付款决策.xlt","商品分期付款决策.xlt")</f>
        <v>商品分期付款决策.xlt</v>
      </c>
      <c r="Q3164">
        <v>0.03</v>
      </c>
      <c r="R3164" s="7" t="str">
        <f t="shared" si="63"/>
        <v>E:\附赠：Excel模板\精美EXCEL模板\市场营销素材与模板\其他模板</v>
      </c>
      <c r="S3164" s="9">
        <v>43600.3821759259</v>
      </c>
      <c r="T3164" s="9">
        <v>43390.5191203704</v>
      </c>
    </row>
    <row r="3165" spans="14:20">
      <c r="N3165" s="7" t="str">
        <f>HYPERLINK("E:\附赠：Excel模板\精美EXCEL模板\市场营销素材与模板\其他模板\商品库存需求分析表.xlt","商品库存需求分析表.xlt")</f>
        <v>商品库存需求分析表.xlt</v>
      </c>
      <c r="Q3165">
        <v>0.03</v>
      </c>
      <c r="R3165" s="7" t="str">
        <f t="shared" si="63"/>
        <v>E:\附赠：Excel模板\精美EXCEL模板\市场营销素材与模板\其他模板</v>
      </c>
      <c r="S3165" s="9">
        <v>43600.3821759259</v>
      </c>
      <c r="T3165" s="9">
        <v>43390.5191203704</v>
      </c>
    </row>
    <row r="3166" spans="14:20">
      <c r="N3166" s="7" t="str">
        <f>HYPERLINK("E:\附赠：Excel模板\精美EXCEL模板\市场营销素材与模板\其他模板\回收期法投资分析表.xlt","回收期法投资分析表.xlt")</f>
        <v>回收期法投资分析表.xlt</v>
      </c>
      <c r="Q3166">
        <v>0.05</v>
      </c>
      <c r="R3166" s="7" t="str">
        <f t="shared" si="63"/>
        <v>E:\附赠：Excel模板\精美EXCEL模板\市场营销素材与模板\其他模板</v>
      </c>
      <c r="S3166" s="9">
        <v>43600.3821759259</v>
      </c>
      <c r="T3166" s="9">
        <v>43390.5191435185</v>
      </c>
    </row>
    <row r="3167" spans="14:20">
      <c r="N3167" s="7" t="str">
        <f>HYPERLINK("E:\附赠：Excel模板\精美EXCEL模板\市场营销素材与模板\其他模板\固定资产清查盘点统计表.xlt","固定资产清查盘点统计表.xlt")</f>
        <v>固定资产清查盘点统计表.xlt</v>
      </c>
      <c r="Q3167">
        <v>0.04</v>
      </c>
      <c r="R3167" s="7" t="str">
        <f t="shared" si="63"/>
        <v>E:\附赠：Excel模板\精美EXCEL模板\市场营销素材与模板\其他模板</v>
      </c>
      <c r="S3167" s="9">
        <v>43600.3821759259</v>
      </c>
      <c r="T3167" s="9">
        <v>43390.5191666667</v>
      </c>
    </row>
    <row r="3168" spans="14:20">
      <c r="N3168" s="7" t="str">
        <f>HYPERLINK("E:\附赠：Excel模板\精美EXCEL模板\市场营销素材与模板\其他模板\固定资产管理.xlt","固定资产管理.xlt")</f>
        <v>固定资产管理.xlt</v>
      </c>
      <c r="Q3168">
        <v>0.03</v>
      </c>
      <c r="R3168" s="7" t="str">
        <f t="shared" si="63"/>
        <v>E:\附赠：Excel模板\精美EXCEL模板\市场营销素材与模板\其他模板</v>
      </c>
      <c r="S3168" s="9">
        <v>43600.3821759259</v>
      </c>
      <c r="T3168" s="9">
        <v>43390.5191666667</v>
      </c>
    </row>
    <row r="3169" spans="14:20">
      <c r="N3169" s="7" t="str">
        <f>HYPERLINK("E:\附赠：Excel模板\精美EXCEL模板\市场营销素材与模板\其他模板\学生信息表.xlt","学生信息表.xlt")</f>
        <v>学生信息表.xlt</v>
      </c>
      <c r="Q3169">
        <v>0.02</v>
      </c>
      <c r="R3169" s="7" t="str">
        <f t="shared" si="63"/>
        <v>E:\附赠：Excel模板\精美EXCEL模板\市场营销素材与模板\其他模板</v>
      </c>
      <c r="S3169" s="9">
        <v>43600.3821759259</v>
      </c>
      <c r="T3169" s="9">
        <v>43390.5190972222</v>
      </c>
    </row>
    <row r="3170" spans="14:20">
      <c r="N3170" s="7" t="str">
        <f>HYPERLINK("E:\附赠：Excel模板\精美EXCEL模板\市场营销素材与模板\其他模板\工作任务分配时间表.xlt","工作任务分配时间表.xlt")</f>
        <v>工作任务分配时间表.xlt</v>
      </c>
      <c r="Q3170">
        <v>0.03</v>
      </c>
      <c r="R3170" s="7" t="str">
        <f t="shared" si="63"/>
        <v>E:\附赠：Excel模板\精美EXCEL模板\市场营销素材与模板\其他模板</v>
      </c>
      <c r="S3170" s="9">
        <v>43600.3821759259</v>
      </c>
      <c r="T3170" s="9">
        <v>43390.5191666667</v>
      </c>
    </row>
    <row r="3171" spans="14:20">
      <c r="N3171" s="7" t="str">
        <f>HYPERLINK("E:\附赠：Excel模板\精美EXCEL模板\市场营销素材与模板\其他模板\工资管理系统.xlt","工资管理系统.xlt")</f>
        <v>工资管理系统.xlt</v>
      </c>
      <c r="Q3171">
        <v>0.25</v>
      </c>
      <c r="R3171" s="7" t="str">
        <f t="shared" si="63"/>
        <v>E:\附赠：Excel模板\精美EXCEL模板\市场营销素材与模板\其他模板</v>
      </c>
      <c r="S3171" s="9">
        <v>43600.3821759259</v>
      </c>
      <c r="T3171" s="9">
        <v>43390.5191666667</v>
      </c>
    </row>
    <row r="3172" spans="14:20">
      <c r="N3172" s="7" t="str">
        <f>HYPERLINK("E:\附赠：Excel模板\精美EXCEL模板\市场营销素材与模板\其他模板\市场调查问卷数据管理.xlt","市场调查问卷数据管理.xlt")</f>
        <v>市场调查问卷数据管理.xlt</v>
      </c>
      <c r="Q3172">
        <v>0.08</v>
      </c>
      <c r="R3172" s="7" t="str">
        <f t="shared" si="63"/>
        <v>E:\附赠：Excel模板\精美EXCEL模板\市场营销素材与模板\其他模板</v>
      </c>
      <c r="S3172" s="9">
        <v>43600.3821759259</v>
      </c>
      <c r="T3172" s="9">
        <v>43390.5191203704</v>
      </c>
    </row>
    <row r="3173" spans="14:20">
      <c r="N3173" s="7" t="str">
        <f>HYPERLINK("E:\附赠：Excel模板\精美EXCEL模板\市场营销素材与模板\其他模板\年度收支预算表.xlt","年度收支预算表.xlt")</f>
        <v>年度收支预算表.xlt</v>
      </c>
      <c r="Q3173">
        <v>0.05</v>
      </c>
      <c r="R3173" s="7" t="str">
        <f t="shared" si="63"/>
        <v>E:\附赠：Excel模板\精美EXCEL模板\市场营销素材与模板\其他模板</v>
      </c>
      <c r="S3173" s="9">
        <v>43600.3821759259</v>
      </c>
      <c r="T3173" s="9">
        <v>43390.5191435185</v>
      </c>
    </row>
    <row r="3174" spans="14:20">
      <c r="N3174" s="7" t="str">
        <f>HYPERLINK("E:\附赠：Excel模板\精美EXCEL模板\市场营销素材与模板\其他模板\广告预算分配方案.xlt","广告预算分配方案.xlt")</f>
        <v>广告预算分配方案.xlt</v>
      </c>
      <c r="Q3174">
        <v>0.02</v>
      </c>
      <c r="R3174" s="7" t="str">
        <f t="shared" si="63"/>
        <v>E:\附赠：Excel模板\精美EXCEL模板\市场营销素材与模板\其他模板</v>
      </c>
      <c r="S3174" s="9">
        <v>43600.3821759259</v>
      </c>
      <c r="T3174" s="9">
        <v>43390.5191435185</v>
      </c>
    </row>
    <row r="3175" spans="14:20">
      <c r="N3175" s="7" t="str">
        <f>HYPERLINK("E:\附赠：Excel模板\精美EXCEL模板\市场营销素材与模板\其他模板\往来账款的处理.xlt","往来账款的处理.xlt")</f>
        <v>往来账款的处理.xlt</v>
      </c>
      <c r="Q3175">
        <v>0.11</v>
      </c>
      <c r="R3175" s="7" t="str">
        <f t="shared" si="63"/>
        <v>E:\附赠：Excel模板\精美EXCEL模板\市场营销素材与模板\其他模板</v>
      </c>
      <c r="S3175" s="9">
        <v>43600.3821759259</v>
      </c>
      <c r="T3175" s="9">
        <v>43390.5191203704</v>
      </c>
    </row>
    <row r="3176" spans="14:20">
      <c r="N3176" s="7" t="str">
        <f>HYPERLINK("E:\附赠：Excel模板\精美EXCEL模板\市场营销素材与模板\其他模板\成本分析.xlt","成本分析.xlt")</f>
        <v>成本分析.xlt</v>
      </c>
      <c r="Q3176">
        <v>0.02</v>
      </c>
      <c r="R3176" s="7" t="str">
        <f t="shared" si="63"/>
        <v>E:\附赠：Excel模板\精美EXCEL模板\市场营销素材与模板\其他模板</v>
      </c>
      <c r="S3176" s="9">
        <v>43600.3821759259</v>
      </c>
      <c r="T3176" s="9">
        <v>43390.5191666667</v>
      </c>
    </row>
    <row r="3177" spans="14:20">
      <c r="N3177" s="7" t="str">
        <f>HYPERLINK("E:\附赠：Excel模板\精美EXCEL模板\市场营销素材与模板\其他模板\成本预测.xlt","成本预测.xlt")</f>
        <v>成本预测.xlt</v>
      </c>
      <c r="Q3177">
        <v>0.02</v>
      </c>
      <c r="R3177" s="7" t="str">
        <f t="shared" si="63"/>
        <v>E:\附赠：Excel模板\精美EXCEL模板\市场营销素材与模板\其他模板</v>
      </c>
      <c r="S3177" s="9">
        <v>43600.3821759259</v>
      </c>
      <c r="T3177" s="9">
        <v>43390.5191666667</v>
      </c>
    </row>
    <row r="3178" spans="14:20">
      <c r="N3178" s="7" t="str">
        <f>HYPERLINK("E:\附赠：Excel模板\精美EXCEL模板\市场营销素材与模板\其他模板\房屋贷款计算器.xlt","房屋贷款计算器.xlt")</f>
        <v>房屋贷款计算器.xlt</v>
      </c>
      <c r="Q3178">
        <v>0.04</v>
      </c>
      <c r="R3178" s="7" t="str">
        <f t="shared" si="63"/>
        <v>E:\附赠：Excel模板\精美EXCEL模板\市场营销素材与模板\其他模板</v>
      </c>
      <c r="S3178" s="9">
        <v>43600.3821759259</v>
      </c>
      <c r="T3178" s="9">
        <v>43390.5191666667</v>
      </c>
    </row>
    <row r="3179" spans="14:20">
      <c r="N3179" s="7" t="str">
        <f>HYPERLINK("E:\附赠：Excel模板\精美EXCEL模板\市场营销素材与模板\其他模板\投资收益模拟测算器.XLT","投资收益模拟测算器.XLT")</f>
        <v>投资收益模拟测算器.XLT</v>
      </c>
      <c r="Q3179">
        <v>0.08</v>
      </c>
      <c r="R3179" s="7" t="str">
        <f t="shared" si="63"/>
        <v>E:\附赠：Excel模板\精美EXCEL模板\市场营销素材与模板\其他模板</v>
      </c>
      <c r="S3179" s="9">
        <v>43600.3821759259</v>
      </c>
      <c r="T3179" s="9">
        <v>43390.5191203704</v>
      </c>
    </row>
    <row r="3180" spans="14:20">
      <c r="N3180" s="7" t="str">
        <f>HYPERLINK("E:\附赠：Excel模板\精美EXCEL模板\市场营销素材与模板\其他模板\折旧计提法.xlt","折旧计提法.xlt")</f>
        <v>折旧计提法.xlt</v>
      </c>
      <c r="Q3180">
        <v>0.02</v>
      </c>
      <c r="R3180" s="7" t="str">
        <f t="shared" si="63"/>
        <v>E:\附赠：Excel模板\精美EXCEL模板\市场营销素材与模板\其他模板</v>
      </c>
      <c r="S3180" s="9">
        <v>43600.3821759259</v>
      </c>
      <c r="T3180" s="9">
        <v>43390.5190740741</v>
      </c>
    </row>
    <row r="3181" spans="14:20">
      <c r="N3181" s="7" t="str">
        <f>HYPERLINK("E:\附赠：Excel模板\精美EXCEL模板\市场营销素材与模板\其他模板\报价单.xlt","报价单.xlt")</f>
        <v>报价单.xlt</v>
      </c>
      <c r="Q3181">
        <v>0.03</v>
      </c>
      <c r="R3181" s="7" t="str">
        <f t="shared" si="63"/>
        <v>E:\附赠：Excel模板\精美EXCEL模板\市场营销素材与模板\其他模板</v>
      </c>
      <c r="S3181" s="9">
        <v>43600.3821759259</v>
      </c>
      <c r="T3181" s="9">
        <v>43390.5191898148</v>
      </c>
    </row>
    <row r="3182" spans="14:20">
      <c r="N3182" s="7" t="str">
        <f>HYPERLINK("E:\附赠：Excel模板\精美EXCEL模板\市场营销素材与模板\其他模板\日常费用统计系统.xlt","日常费用统计系统.xlt")</f>
        <v>日常费用统计系统.xlt</v>
      </c>
      <c r="Q3182">
        <v>0.02</v>
      </c>
      <c r="R3182" s="7" t="str">
        <f t="shared" si="63"/>
        <v>E:\附赠：Excel模板\精美EXCEL模板\市场营销素材与模板\其他模板</v>
      </c>
      <c r="S3182" s="9">
        <v>43600.3821759259</v>
      </c>
      <c r="T3182" s="9">
        <v>43390.5191203704</v>
      </c>
    </row>
    <row r="3183" spans="14:20">
      <c r="N3183" s="7" t="str">
        <f>HYPERLINK("E:\附赠：Excel模板\精美EXCEL模板\市场营销素材与模板\其他模板\月偿还额单变量模拟运算表.xlt","月偿还额单变量模拟运算表.xlt")</f>
        <v>月偿还额单变量模拟运算表.xlt</v>
      </c>
      <c r="Q3183">
        <v>0.01</v>
      </c>
      <c r="R3183" s="7" t="str">
        <f t="shared" si="63"/>
        <v>E:\附赠：Excel模板\精美EXCEL模板\市场营销素材与模板\其他模板</v>
      </c>
      <c r="S3183" s="9">
        <v>43600.3821759259</v>
      </c>
      <c r="T3183" s="9">
        <v>43390.5190972222</v>
      </c>
    </row>
    <row r="3184" spans="14:20">
      <c r="N3184" s="7" t="str">
        <f>HYPERLINK("E:\附赠：Excel模板\精美EXCEL模板\市场营销素材与模板\其他模板\月偿还额双变量模拟运算表.xlt","月偿还额双变量模拟运算表.xlt")</f>
        <v>月偿还额双变量模拟运算表.xlt</v>
      </c>
      <c r="Q3184">
        <v>0.02</v>
      </c>
      <c r="R3184" s="7" t="str">
        <f t="shared" si="63"/>
        <v>E:\附赠：Excel模板\精美EXCEL模板\市场营销素材与模板\其他模板</v>
      </c>
      <c r="S3184" s="9">
        <v>43600.3821759259</v>
      </c>
      <c r="T3184" s="9">
        <v>43390.5190972222</v>
      </c>
    </row>
    <row r="3185" spans="14:20">
      <c r="N3185" s="7" t="str">
        <f>HYPERLINK("E:\附赠：Excel模板\精美EXCEL模板\市场营销素材与模板\其他模板\根据产品销售情况动态统计库存以及奖金提成.xlt","根据产品销售情况动态统计库存以及奖金提成.xlt")</f>
        <v>根据产品销售情况动态统计库存以及奖金提成.xlt</v>
      </c>
      <c r="Q3185">
        <v>0.02</v>
      </c>
      <c r="R3185" s="7" t="str">
        <f t="shared" si="63"/>
        <v>E:\附赠：Excel模板\精美EXCEL模板\市场营销素材与模板\其他模板</v>
      </c>
      <c r="S3185" s="9">
        <v>43600.3821759259</v>
      </c>
      <c r="T3185" s="9">
        <v>43390.5191666667</v>
      </c>
    </row>
    <row r="3186" spans="14:20">
      <c r="N3186" s="7" t="str">
        <f>HYPERLINK("E:\附赠：Excel模板\精美EXCEL模板\市场营销素材与模板\其他模板\现值指数法投资分析表.xlt","现值指数法投资分析表.xlt")</f>
        <v>现值指数法投资分析表.xlt</v>
      </c>
      <c r="Q3186">
        <v>0.04</v>
      </c>
      <c r="R3186" s="7" t="str">
        <f t="shared" si="63"/>
        <v>E:\附赠：Excel模板\精美EXCEL模板\市场营销素材与模板\其他模板</v>
      </c>
      <c r="S3186" s="9">
        <v>43600.3821759259</v>
      </c>
      <c r="T3186" s="9">
        <v>43390.5190972222</v>
      </c>
    </row>
    <row r="3187" spans="14:20">
      <c r="N3187" s="7" t="str">
        <f>HYPERLINK("E:\附赠：Excel模板\精美EXCEL模板\市场营销素材与模板\其他模板\电子邮件发送企业产品清单.xlt","电子邮件发送企业产品清单.xlt")</f>
        <v>电子邮件发送企业产品清单.xlt</v>
      </c>
      <c r="Q3187">
        <v>0.06</v>
      </c>
      <c r="R3187" s="7" t="str">
        <f t="shared" si="63"/>
        <v>E:\附赠：Excel模板\精美EXCEL模板\市场营销素材与模板\其他模板</v>
      </c>
      <c r="S3187" s="9">
        <v>43600.3821759259</v>
      </c>
      <c r="T3187" s="9">
        <v>43390.5191666667</v>
      </c>
    </row>
    <row r="3188" spans="14:20">
      <c r="N3188" s="7" t="str">
        <f>HYPERLINK("E:\附赠：Excel模板\精美EXCEL模板\市场营销素材与模板\其他模板\股票行情.xlt","股票行情.xlt")</f>
        <v>股票行情.xlt</v>
      </c>
      <c r="Q3188">
        <v>0.03</v>
      </c>
      <c r="R3188" s="7" t="str">
        <f t="shared" si="63"/>
        <v>E:\附赠：Excel模板\精美EXCEL模板\市场营销素材与模板\其他模板</v>
      </c>
      <c r="S3188" s="9">
        <v>43600.3821759259</v>
      </c>
      <c r="T3188" s="9">
        <v>43390.5191666667</v>
      </c>
    </row>
    <row r="3189" spans="14:20">
      <c r="N3189" s="7" t="str">
        <f>HYPERLINK("E:\附赠：Excel模板\精美EXCEL模板\市场营销素材与模板\其他模板\访问登记表.xlt","访问登记表.xlt")</f>
        <v>访问登记表.xlt</v>
      </c>
      <c r="Q3189">
        <v>0.02</v>
      </c>
      <c r="R3189" s="7" t="str">
        <f t="shared" si="63"/>
        <v>E:\附赠：Excel模板\精美EXCEL模板\市场营销素材与模板\其他模板</v>
      </c>
      <c r="S3189" s="9">
        <v>43600.3821759259</v>
      </c>
      <c r="T3189" s="9">
        <v>43390.5191666667</v>
      </c>
    </row>
    <row r="3190" spans="14:20">
      <c r="N3190" s="7" t="str">
        <f>HYPERLINK("E:\附赠：Excel模板\精美EXCEL模板\市场营销素材与模板\其他模板\账务处理.xlt","账务处理.xlt")</f>
        <v>账务处理.xlt</v>
      </c>
      <c r="Q3190">
        <v>0.08</v>
      </c>
      <c r="R3190" s="7" t="str">
        <f t="shared" si="63"/>
        <v>E:\附赠：Excel模板\精美EXCEL模板\市场营销素材与模板\其他模板</v>
      </c>
      <c r="S3190" s="9">
        <v>43600.3821759259</v>
      </c>
      <c r="T3190" s="9">
        <v>43390.5190972222</v>
      </c>
    </row>
    <row r="3191" spans="14:20">
      <c r="N3191" s="7" t="str">
        <f>HYPERLINK("E:\附赠：Excel模板\精美EXCEL模板\市场营销素材与模板\其他模板\货币换算.xlt","货币换算.xlt")</f>
        <v>货币换算.xlt</v>
      </c>
      <c r="Q3191">
        <v>0.03</v>
      </c>
      <c r="R3191" s="7" t="str">
        <f t="shared" si="63"/>
        <v>E:\附赠：Excel模板\精美EXCEL模板\市场营销素材与模板\其他模板</v>
      </c>
      <c r="S3191" s="9">
        <v>43600.3821759259</v>
      </c>
      <c r="T3191" s="9">
        <v>43390.5191435185</v>
      </c>
    </row>
    <row r="3192" spans="14:20">
      <c r="N3192" s="7" t="str">
        <f>HYPERLINK("E:\附赠：Excel模板\精美EXCEL模板\市场营销素材与模板\其他模板\资产负债表.xlt","资产负债表.xlt")</f>
        <v>资产负债表.xlt</v>
      </c>
      <c r="Q3192">
        <v>0.03</v>
      </c>
      <c r="R3192" s="7" t="str">
        <f t="shared" si="63"/>
        <v>E:\附赠：Excel模板\精美EXCEL模板\市场营销素材与模板\其他模板</v>
      </c>
      <c r="S3192" s="9">
        <v>43600.3821759259</v>
      </c>
      <c r="T3192" s="9">
        <v>43390.5190740741</v>
      </c>
    </row>
    <row r="3193" spans="14:20">
      <c r="N3193" s="7" t="str">
        <f>HYPERLINK("E:\附赠：Excel模板\精美EXCEL模板\市场营销素材与模板\其他模板\车辆使用管理.xlt","车辆使用管理.xlt")</f>
        <v>车辆使用管理.xlt</v>
      </c>
      <c r="Q3193">
        <v>0.02</v>
      </c>
      <c r="R3193" s="7" t="str">
        <f t="shared" si="63"/>
        <v>E:\附赠：Excel模板\精美EXCEL模板\市场营销素材与模板\其他模板</v>
      </c>
      <c r="S3193" s="9">
        <v>43600.3821759259</v>
      </c>
      <c r="T3193" s="9">
        <v>43390.5191666667</v>
      </c>
    </row>
    <row r="3194" spans="14:20">
      <c r="N3194" s="7" t="str">
        <f>HYPERLINK("E:\附赠：Excel模板\精美EXCEL模板\市场营销素材与模板\其他模板\进销存管理.xlt","进销存管理.xlt")</f>
        <v>进销存管理.xlt</v>
      </c>
      <c r="Q3194">
        <v>0.04</v>
      </c>
      <c r="R3194" s="7" t="str">
        <f t="shared" si="63"/>
        <v>E:\附赠：Excel模板\精美EXCEL模板\市场营销素材与模板\其他模板</v>
      </c>
      <c r="S3194" s="9">
        <v>43600.3821759259</v>
      </c>
      <c r="T3194" s="9">
        <v>43390.5191435185</v>
      </c>
    </row>
    <row r="3195" spans="14:20">
      <c r="N3195" s="7" t="str">
        <f>HYPERLINK("E:\附赠：Excel模板\精美EXCEL模板\市场营销素材与模板\其他模板\通讯录.XLT","通讯录.XLT")</f>
        <v>通讯录.XLT</v>
      </c>
      <c r="Q3195">
        <v>0.02</v>
      </c>
      <c r="R3195" s="7" t="str">
        <f t="shared" ref="R3195:R3200" si="64">HYPERLINK("E:\附赠：Excel模板\精美EXCEL模板\市场营销素材与模板\其他模板","E:\附赠：Excel模板\精美EXCEL模板\市场营销素材与模板\其他模板")</f>
        <v>E:\附赠：Excel模板\精美EXCEL模板\市场营销素材与模板\其他模板</v>
      </c>
      <c r="S3195" s="9">
        <v>43600.3821759259</v>
      </c>
      <c r="T3195" s="9">
        <v>43390.5191203704</v>
      </c>
    </row>
    <row r="3196" spans="14:20">
      <c r="N3196" s="7" t="str">
        <f>HYPERLINK("E:\附赠：Excel模板\精美EXCEL模板\市场营销素材与模板\其他模板\销售数据汇总分析.xlt","销售数据汇总分析.xlt")</f>
        <v>销售数据汇总分析.xlt</v>
      </c>
      <c r="Q3196">
        <v>0.03</v>
      </c>
      <c r="R3196" s="7" t="str">
        <f t="shared" si="64"/>
        <v>E:\附赠：Excel模板\精美EXCEL模板\市场营销素材与模板\其他模板</v>
      </c>
      <c r="S3196" s="9">
        <v>43600.3821759259</v>
      </c>
      <c r="T3196" s="9">
        <v>43390.5190972222</v>
      </c>
    </row>
    <row r="3197" spans="14:20">
      <c r="N3197" s="7" t="str">
        <f>HYPERLINK("E:\附赠：Excel模板\精美EXCEL模板\市场营销素材与模板\其他模板\销售记录单的编辑.xlt","销售记录单的编辑.xlt")</f>
        <v>销售记录单的编辑.xlt</v>
      </c>
      <c r="Q3197">
        <v>0.13</v>
      </c>
      <c r="R3197" s="7" t="str">
        <f t="shared" si="64"/>
        <v>E:\附赠：Excel模板\精美EXCEL模板\市场营销素材与模板\其他模板</v>
      </c>
      <c r="S3197" s="9">
        <v>43600.3821759259</v>
      </c>
      <c r="T3197" s="9">
        <v>43390.5190972222</v>
      </c>
    </row>
    <row r="3198" spans="14:20">
      <c r="N3198" s="7" t="str">
        <f>HYPERLINK("E:\附赠：Excel模板\精美EXCEL模板\市场营销素材与模板\其他模板\销售额预测.xlt","销售额预测.xlt")</f>
        <v>销售额预测.xlt</v>
      </c>
      <c r="Q3198">
        <v>0.03</v>
      </c>
      <c r="R3198" s="7" t="str">
        <f t="shared" si="64"/>
        <v>E:\附赠：Excel模板\精美EXCEL模板\市场营销素材与模板\其他模板</v>
      </c>
      <c r="S3198" s="9">
        <v>43600.3821759259</v>
      </c>
      <c r="T3198" s="9">
        <v>43390.5190972222</v>
      </c>
    </row>
    <row r="3199" spans="14:20">
      <c r="N3199" s="7" t="str">
        <f>HYPERLINK("E:\附赠：Excel模板\精美EXCEL模板\市场营销素材与模板\其他模板\销量提成的计算及相关图表.xlt","销量提成的计算及相关图表.xlt")</f>
        <v>销量提成的计算及相关图表.xlt</v>
      </c>
      <c r="Q3199">
        <v>0.03</v>
      </c>
      <c r="R3199" s="7" t="str">
        <f t="shared" si="64"/>
        <v>E:\附赠：Excel模板\精美EXCEL模板\市场营销素材与模板\其他模板</v>
      </c>
      <c r="S3199" s="9">
        <v>43600.3821759259</v>
      </c>
      <c r="T3199" s="9">
        <v>43390.5190972222</v>
      </c>
    </row>
    <row r="3200" spans="14:20">
      <c r="N3200" s="7" t="str">
        <f>HYPERLINK("E:\附赠：Excel模板\精美EXCEL模板\市场营销素材与模板\其他模板\驱动.xlt","驱动.xlt")</f>
        <v>驱动.xlt</v>
      </c>
      <c r="Q3200">
        <v>0.02</v>
      </c>
      <c r="R3200" s="7" t="str">
        <f t="shared" si="64"/>
        <v>E:\附赠：Excel模板\精美EXCEL模板\市场营销素材与模板\其他模板</v>
      </c>
      <c r="S3200" s="9">
        <v>43600.3821759259</v>
      </c>
      <c r="T3200" s="9">
        <v>43390.5191203704</v>
      </c>
    </row>
    <row r="3201" spans="14:20">
      <c r="N3201" t="s">
        <v>15</v>
      </c>
      <c r="Q3201" t="s">
        <v>15</v>
      </c>
      <c r="R3201" t="s">
        <v>15</v>
      </c>
      <c r="S3201" t="s">
        <v>15</v>
      </c>
      <c r="T3201" t="s">
        <v>15</v>
      </c>
    </row>
    <row r="3202" spans="14:20">
      <c r="N3202" s="7" t="str">
        <f>HYPERLINK("E:\附赠：Excel模板\精美EXCEL模板\网友极力推荐的Excel模板1000例\4622.xls","4622.xls")</f>
        <v>4622.xls</v>
      </c>
      <c r="Q3202">
        <v>0.02</v>
      </c>
      <c r="R3202" s="7" t="str">
        <f t="shared" ref="R3202:R3265" si="65">HYPERLINK("E:\附赠：Excel模板\精美EXCEL模板\网友极力推荐的Excel模板1000例","E:\附赠：Excel模板\精美EXCEL模板\网友极力推荐的Excel模板1000例")</f>
        <v>E:\附赠：Excel模板\精美EXCEL模板\网友极力推荐的Excel模板1000例</v>
      </c>
      <c r="S3202" s="9">
        <v>43600.3821759259</v>
      </c>
      <c r="T3202" s="9">
        <v>43390.5169675926</v>
      </c>
    </row>
    <row r="3203" spans="14:20">
      <c r="N3203" s="7" t="str">
        <f>HYPERLINK("E:\附赠：Excel模板\精美EXCEL模板\网友极力推荐的Excel模板1000例\NFSQ Forecast  by Year.xls","NFSQ Forecast  by Year.xls")</f>
        <v>NFSQ Forecast  by Year.xls</v>
      </c>
      <c r="Q3203">
        <v>0.03</v>
      </c>
      <c r="R3203" s="7" t="str">
        <f t="shared" si="65"/>
        <v>E:\附赠：Excel模板\精美EXCEL模板\网友极力推荐的Excel模板1000例</v>
      </c>
      <c r="S3203" s="9">
        <v>43600.3821759259</v>
      </c>
      <c r="T3203" s="9">
        <v>43390.5169675926</v>
      </c>
    </row>
    <row r="3204" spans="14:20">
      <c r="N3204" s="7" t="str">
        <f>HYPERLINK("E:\附赠：Excel模板\精美EXCEL模板\网友极力推荐的Excel模板1000例\SOLVSAMP.xls","SOLVSAMP.xls")</f>
        <v>SOLVSAMP.xls</v>
      </c>
      <c r="Q3204">
        <v>0.05</v>
      </c>
      <c r="R3204" s="7" t="str">
        <f t="shared" si="65"/>
        <v>E:\附赠：Excel模板\精美EXCEL模板\网友极力推荐的Excel模板1000例</v>
      </c>
      <c r="S3204" s="9">
        <v>43600.3821759259</v>
      </c>
      <c r="T3204" s="9">
        <v>43390.5169675926</v>
      </c>
    </row>
    <row r="3205" spans="14:20">
      <c r="N3205" s="7" t="str">
        <f>HYPERLINK("E:\附赠：Excel模板\精美EXCEL模板\网友极力推荐的Excel模板1000例\××年财政拨款结余资金情况确认表.xls","××年财政拨款结余资金情况确认表.xls")</f>
        <v>××年财政拨款结余资金情况确认表.xls</v>
      </c>
      <c r="Q3205">
        <v>0.02</v>
      </c>
      <c r="R3205" s="7" t="str">
        <f t="shared" si="65"/>
        <v>E:\附赠：Excel模板\精美EXCEL模板\网友极力推荐的Excel模板1000例</v>
      </c>
      <c r="S3205" s="9">
        <v>43600.3821759259</v>
      </c>
      <c r="T3205" s="9">
        <v>43390.5169444444</v>
      </c>
    </row>
    <row r="3206" spans="14:20">
      <c r="N3206" s="7" t="str">
        <f>HYPERLINK("E:\附赠：Excel模板\精美EXCEL模板\网友极力推荐的Excel模板1000例\“黄金周”旅游接待情况城市汇总表.xls","“黄金周”旅游接待情况城市汇总表.xls")</f>
        <v>“黄金周”旅游接待情况城市汇总表.xls</v>
      </c>
      <c r="Q3206">
        <v>0.02</v>
      </c>
      <c r="R3206" s="7" t="str">
        <f t="shared" si="65"/>
        <v>E:\附赠：Excel模板\精美EXCEL模板\网友极力推荐的Excel模板1000例</v>
      </c>
      <c r="S3206" s="9">
        <v>43600.3821759259</v>
      </c>
      <c r="T3206" s="9">
        <v>43390.5169444444</v>
      </c>
    </row>
    <row r="3207" spans="14:20">
      <c r="N3207" s="7" t="str">
        <f>HYPERLINK("E:\附赠：Excel模板\精美EXCEL模板\网友极力推荐的Excel模板1000例\“黄金周”旅游景区（点）接待、收入情况表.xls","“黄金周”旅游景区（点）接待、收入情况表.xls")</f>
        <v>“黄金周”旅游景区（点）接待、收入情况表.xls</v>
      </c>
      <c r="Q3207">
        <v>0.02</v>
      </c>
      <c r="R3207" s="7" t="str">
        <f t="shared" si="65"/>
        <v>E:\附赠：Excel模板\精美EXCEL模板\网友极力推荐的Excel模板1000例</v>
      </c>
      <c r="S3207" s="9">
        <v>43600.3821759259</v>
      </c>
      <c r="T3207" s="9">
        <v>43390.5169444444</v>
      </c>
    </row>
    <row r="3208" spans="14:20">
      <c r="N3208" s="7" t="str">
        <f>HYPERLINK("E:\附赠：Excel模板\精美EXCEL模板\网友极力推荐的Excel模板1000例\“黄金周”旅行社国内旅游接待情况汇总表.xls","“黄金周”旅行社国内旅游接待情况汇总表.xls")</f>
        <v>“黄金周”旅行社国内旅游接待情况汇总表.xls</v>
      </c>
      <c r="Q3208">
        <v>0.01</v>
      </c>
      <c r="R3208" s="7" t="str">
        <f t="shared" si="65"/>
        <v>E:\附赠：Excel模板\精美EXCEL模板\网友极力推荐的Excel模板1000例</v>
      </c>
      <c r="S3208" s="9">
        <v>43600.3821759259</v>
      </c>
      <c r="T3208" s="9">
        <v>43390.5169444444</v>
      </c>
    </row>
    <row r="3209" spans="14:20">
      <c r="N3209" s="7" t="str">
        <f>HYPERLINK("E:\附赠：Excel模板\精美EXCEL模板\网友极力推荐的Excel模板1000例\上市公司半年度主要财务指标.xls","上市公司半年度主要财务指标.xls")</f>
        <v>上市公司半年度主要财务指标.xls</v>
      </c>
      <c r="Q3209">
        <v>0.02</v>
      </c>
      <c r="R3209" s="7" t="str">
        <f t="shared" si="65"/>
        <v>E:\附赠：Excel模板\精美EXCEL模板\网友极力推荐的Excel模板1000例</v>
      </c>
      <c r="S3209" s="9">
        <v>43600.3821759259</v>
      </c>
      <c r="T3209" s="9">
        <v>43390.5161805556</v>
      </c>
    </row>
    <row r="3210" spans="14:20">
      <c r="N3210" s="7" t="str">
        <f>HYPERLINK("E:\附赠：Excel模板\精美EXCEL模板\网友极力推荐的Excel模板1000例\上市公司财务指示.xls","上市公司财务指示.xls")</f>
        <v>上市公司财务指示.xls</v>
      </c>
      <c r="Q3210">
        <v>0.04</v>
      </c>
      <c r="R3210" s="7" t="str">
        <f t="shared" si="65"/>
        <v>E:\附赠：Excel模板\精美EXCEL模板\网友极力推荐的Excel模板1000例</v>
      </c>
      <c r="S3210" s="9">
        <v>43600.3821759259</v>
      </c>
      <c r="T3210" s="9">
        <v>43390.5161805556</v>
      </c>
    </row>
    <row r="3211" spans="14:20">
      <c r="N3211" s="7" t="str">
        <f>HYPERLINK("E:\附赠：Excel模板\精美EXCEL模板\网友极力推荐的Excel模板1000例\专业录取表.xls","专业录取表.xls")</f>
        <v>专业录取表.xls</v>
      </c>
      <c r="Q3211">
        <v>0.15</v>
      </c>
      <c r="R3211" s="7" t="str">
        <f t="shared" si="65"/>
        <v>E:\附赠：Excel模板\精美EXCEL模板\网友极力推荐的Excel模板1000例</v>
      </c>
      <c r="S3211" s="9">
        <v>43600.3821759259</v>
      </c>
      <c r="T3211" s="9">
        <v>43390.515625</v>
      </c>
    </row>
    <row r="3212" spans="14:20">
      <c r="N3212" s="7" t="str">
        <f>HYPERLINK("E:\附赠：Excel模板\精美EXCEL模板\网友极力推荐的Excel模板1000例\专业（专业、课程）责任教师一览表.xls","专业（专业、课程）责任教师一览表.xls")</f>
        <v>专业（专业、课程）责任教师一览表.xls</v>
      </c>
      <c r="Q3212">
        <v>0.02</v>
      </c>
      <c r="R3212" s="7" t="str">
        <f t="shared" si="65"/>
        <v>E:\附赠：Excel模板\精美EXCEL模板\网友极力推荐的Excel模板1000例</v>
      </c>
      <c r="S3212" s="9">
        <v>43600.3821759259</v>
      </c>
      <c r="T3212" s="9">
        <v>43390.515625</v>
      </c>
    </row>
    <row r="3213" spans="14:20">
      <c r="N3213" s="7" t="str">
        <f>HYPERLINK("E:\附赠：Excel模板\精美EXCEL模板\网友极力推荐的Excel模板1000例\专利技术实施情况统计表.xls","专利技术实施情况统计表.xls")</f>
        <v>专利技术实施情况统计表.xls</v>
      </c>
      <c r="Q3213">
        <v>0.02</v>
      </c>
      <c r="R3213" s="7" t="str">
        <f t="shared" si="65"/>
        <v>E:\附赠：Excel模板\精美EXCEL模板\网友极力推荐的Excel模板1000例</v>
      </c>
      <c r="S3213" s="9">
        <v>43600.3821759259</v>
      </c>
      <c r="T3213" s="9">
        <v>43390.5156481481</v>
      </c>
    </row>
    <row r="3214" spans="14:20">
      <c r="N3214" s="7" t="str">
        <f>HYPERLINK("E:\附赠：Excel模板\精美EXCEL模板\网友极力推荐的Excel模板1000例\专用设备明细表.xls","专用设备明细表.xls")</f>
        <v>专用设备明细表.xls</v>
      </c>
      <c r="Q3214">
        <v>0.02</v>
      </c>
      <c r="R3214" s="7" t="str">
        <f t="shared" si="65"/>
        <v>E:\附赠：Excel模板\精美EXCEL模板\网友极力推荐的Excel模板1000例</v>
      </c>
      <c r="S3214" s="9">
        <v>43600.3821759259</v>
      </c>
      <c r="T3214" s="9">
        <v>43390.515625</v>
      </c>
    </row>
    <row r="3215" spans="14:20">
      <c r="N3215" s="7" t="str">
        <f>HYPERLINK("E:\附赠：Excel模板\精美EXCEL模板\网友极力推荐的Excel模板1000例\专项支出用款申请书.xls","专项支出用款申请书.xls")</f>
        <v>专项支出用款申请书.xls</v>
      </c>
      <c r="Q3215">
        <v>0.02</v>
      </c>
      <c r="R3215" s="7" t="str">
        <f t="shared" si="65"/>
        <v>E:\附赠：Excel模板\精美EXCEL模板\网友极力推荐的Excel模板1000例</v>
      </c>
      <c r="S3215" s="9">
        <v>43600.3821759259</v>
      </c>
      <c r="T3215" s="9">
        <v>43390.5156481481</v>
      </c>
    </row>
    <row r="3216" spans="14:20">
      <c r="N3216" s="7" t="str">
        <f>HYPERLINK("E:\附赠：Excel模板\精美EXCEL模板\网友极力推荐的Excel模板1000例\专项资金使用情况汇总表.xls","专项资金使用情况汇总表.xls")</f>
        <v>专项资金使用情况汇总表.xls</v>
      </c>
      <c r="Q3216">
        <v>0.02</v>
      </c>
      <c r="R3216" s="7" t="str">
        <f t="shared" si="65"/>
        <v>E:\附赠：Excel模板\精美EXCEL模板\网友极力推荐的Excel模板1000例</v>
      </c>
      <c r="S3216" s="9">
        <v>43600.3821759259</v>
      </c>
      <c r="T3216" s="9">
        <v>43390.5156481481</v>
      </c>
    </row>
    <row r="3217" spans="14:20">
      <c r="N3217" s="7" t="str">
        <f>HYPERLINK("E:\附赠：Excel模板\精美EXCEL模板\网友极力推荐的Excel模板1000例\专项资金完成项目投资表.xls","专项资金完成项目投资表.xls")</f>
        <v>专项资金完成项目投资表.xls</v>
      </c>
      <c r="Q3217">
        <v>0.01</v>
      </c>
      <c r="R3217" s="7" t="str">
        <f t="shared" si="65"/>
        <v>E:\附赠：Excel模板\精美EXCEL模板\网友极力推荐的Excel模板1000例</v>
      </c>
      <c r="S3217" s="9">
        <v>43600.3821759259</v>
      </c>
      <c r="T3217" s="9">
        <v>43390.515625</v>
      </c>
    </row>
    <row r="3218" spans="14:20">
      <c r="N3218" s="7" t="str">
        <f>HYPERLINK("E:\附赠：Excel模板\精美EXCEL模板\网友极力推荐的Excel模板1000例\专项资金项目申报表.xls","专项资金项目申报表.xls")</f>
        <v>专项资金项目申报表.xls</v>
      </c>
      <c r="Q3218">
        <v>0.02</v>
      </c>
      <c r="R3218" s="7" t="str">
        <f t="shared" si="65"/>
        <v>E:\附赠：Excel模板\精美EXCEL模板\网友极力推荐的Excel模板1000例</v>
      </c>
      <c r="S3218" s="9">
        <v>43600.3821759259</v>
      </c>
      <c r="T3218" s="9">
        <v>43390.515625</v>
      </c>
    </row>
    <row r="3219" spans="14:20">
      <c r="N3219" s="7" t="str">
        <f>HYPERLINK("E:\附赠：Excel模板\精美EXCEL模板\网友极力推荐的Excel模板1000例\业务往来报表.xls","业务往来报表.xls")</f>
        <v>业务往来报表.xls</v>
      </c>
      <c r="Q3219">
        <v>0.02</v>
      </c>
      <c r="R3219" s="7" t="str">
        <f t="shared" si="65"/>
        <v>E:\附赠：Excel模板\精美EXCEL模板\网友极力推荐的Excel模板1000例</v>
      </c>
      <c r="S3219" s="9">
        <v>43600.3821759259</v>
      </c>
      <c r="T3219" s="9">
        <v>43390.515787037</v>
      </c>
    </row>
    <row r="3220" spans="14:20">
      <c r="N3220" s="7" t="str">
        <f>HYPERLINK("E:\附赠：Excel模板\精美EXCEL模板\网友极力推荐的Excel模板1000例\业务联网情况调查表.xls","业务联网情况调查表.xls")</f>
        <v>业务联网情况调查表.xls</v>
      </c>
      <c r="Q3220">
        <v>0.02</v>
      </c>
      <c r="R3220" s="7" t="str">
        <f t="shared" si="65"/>
        <v>E:\附赠：Excel模板\精美EXCEL模板\网友极力推荐的Excel模板1000例</v>
      </c>
      <c r="S3220" s="9">
        <v>43600.3821759259</v>
      </c>
      <c r="T3220" s="9">
        <v>43390.515787037</v>
      </c>
    </row>
    <row r="3221" spans="14:20">
      <c r="N3221" s="7" t="str">
        <f>HYPERLINK("E:\附赠：Excel模板\精美EXCEL模板\网友极力推荐的Excel模板1000例\个体工商户设立登记申请书.xls","个体工商户设立登记申请书.xls")</f>
        <v>个体工商户设立登记申请书.xls</v>
      </c>
      <c r="Q3221">
        <v>0.02</v>
      </c>
      <c r="R3221" s="7" t="str">
        <f t="shared" si="65"/>
        <v>E:\附赠：Excel模板\精美EXCEL模板\网友极力推荐的Excel模板1000例</v>
      </c>
      <c r="S3221" s="9">
        <v>43600.3821759259</v>
      </c>
      <c r="T3221" s="9">
        <v>43390.5166666667</v>
      </c>
    </row>
    <row r="3222" spans="14:20">
      <c r="N3222" s="7" t="str">
        <f>HYPERLINK("E:\附赠：Excel模板\精美EXCEL模板\网友极力推荐的Excel模板1000例\中介单位人员登.xls","中介单位人员登.xls")</f>
        <v>中介单位人员登.xls</v>
      </c>
      <c r="Q3222">
        <v>0.02</v>
      </c>
      <c r="R3222" s="7" t="str">
        <f t="shared" si="65"/>
        <v>E:\附赠：Excel模板\精美EXCEL模板\网友极力推荐的Excel模板1000例</v>
      </c>
      <c r="S3222" s="9">
        <v>43600.3821759259</v>
      </c>
      <c r="T3222" s="9">
        <v>43390.5156712963</v>
      </c>
    </row>
    <row r="3223" spans="14:20">
      <c r="N3223" s="7" t="str">
        <f>HYPERLINK("E:\附赠：Excel模板\精美EXCEL模板\网友极力推荐的Excel模板1000例\中外学者越洋对话日程安排.xls","中外学者越洋对话日程安排.xls")</f>
        <v>中外学者越洋对话日程安排.xls</v>
      </c>
      <c r="Q3223">
        <v>0.02</v>
      </c>
      <c r="R3223" s="7" t="str">
        <f t="shared" si="65"/>
        <v>E:\附赠：Excel模板\精美EXCEL模板\网友极力推荐的Excel模板1000例</v>
      </c>
      <c r="S3223" s="9">
        <v>43600.3821759259</v>
      </c>
      <c r="T3223" s="9">
        <v>43390.5156712963</v>
      </c>
    </row>
    <row r="3224" spans="14:20">
      <c r="N3224" s="7" t="str">
        <f>HYPERLINK("E:\附赠：Excel模板\精美EXCEL模板\网友极力推荐的Excel模板1000例\中央基层预算单位开立银行帐户申请表.xls","中央基层预算单位开立银行帐户申请表.xls")</f>
        <v>中央基层预算单位开立银行帐户申请表.xls</v>
      </c>
      <c r="Q3224">
        <v>0.02</v>
      </c>
      <c r="R3224" s="7" t="str">
        <f t="shared" si="65"/>
        <v>E:\附赠：Excel模板\精美EXCEL模板\网友极力推荐的Excel模板1000例</v>
      </c>
      <c r="S3224" s="9">
        <v>43600.3821759259</v>
      </c>
      <c r="T3224" s="9">
        <v>43390.5156481481</v>
      </c>
    </row>
    <row r="3225" spans="14:20">
      <c r="N3225" s="7" t="str">
        <f>HYPERLINK("E:\附赠：Excel模板\精美EXCEL模板\网友极力推荐的Excel模板1000例\中央基层预算单位财政支出月报表.xls","中央基层预算单位财政支出月报表.xls")</f>
        <v>中央基层预算单位财政支出月报表.xls</v>
      </c>
      <c r="Q3225">
        <v>0.02</v>
      </c>
      <c r="R3225" s="7" t="str">
        <f t="shared" si="65"/>
        <v>E:\附赠：Excel模板\精美EXCEL模板\网友极力推荐的Excel模板1000例</v>
      </c>
      <c r="S3225" s="9">
        <v>43600.3821759259</v>
      </c>
      <c r="T3225" s="9">
        <v>43390.5156481481</v>
      </c>
    </row>
    <row r="3226" spans="14:20">
      <c r="N3226" s="7" t="str">
        <f>HYPERLINK("E:\附赠：Excel模板\精美EXCEL模板\网友极力推荐的Excel模板1000例\中学校小升初报名表.xls","中学校小升初报名表.xls")</f>
        <v>中学校小升初报名表.xls</v>
      </c>
      <c r="Q3226">
        <v>0.02</v>
      </c>
      <c r="R3226" s="7" t="str">
        <f t="shared" si="65"/>
        <v>E:\附赠：Excel模板\精美EXCEL模板\网友极力推荐的Excel模板1000例</v>
      </c>
      <c r="S3226" s="9">
        <v>43600.3821759259</v>
      </c>
      <c r="T3226" s="9">
        <v>43390.5156712963</v>
      </c>
    </row>
    <row r="3227" spans="14:20">
      <c r="N3227" s="7" t="str">
        <f>HYPERLINK("E:\附赠：Excel模板\精美EXCEL模板\网友极力推荐的Excel模板1000例\中小企业国际市场开拓资金申报计划及批复.xls","中小企业国际市场开拓资金申报计划及批复.xls")</f>
        <v>中小企业国际市场开拓资金申报计划及批复.xls</v>
      </c>
      <c r="Q3227">
        <v>0.05</v>
      </c>
      <c r="R3227" s="7" t="str">
        <f t="shared" si="65"/>
        <v>E:\附赠：Excel模板\精美EXCEL模板\网友极力推荐的Excel模板1000例</v>
      </c>
      <c r="S3227" s="9">
        <v>43600.3821759259</v>
      </c>
      <c r="T3227" s="9">
        <v>43390.5156712963</v>
      </c>
    </row>
    <row r="3228" spans="14:20">
      <c r="N3228" s="7" t="str">
        <f>HYPERLINK("E:\附赠：Excel模板\精美EXCEL模板\网友极力推荐的Excel模板1000例\中小企业技术改造项目企业基本情况表.xls","中小企业技术改造项目企业基本情况表.xls")</f>
        <v>中小企业技术改造项目企业基本情况表.xls</v>
      </c>
      <c r="Q3228">
        <v>0.02</v>
      </c>
      <c r="R3228" s="7" t="str">
        <f t="shared" si="65"/>
        <v>E:\附赠：Excel模板\精美EXCEL模板\网友极力推荐的Excel模板1000例</v>
      </c>
      <c r="S3228" s="9">
        <v>43600.3821759259</v>
      </c>
      <c r="T3228" s="9">
        <v>43390.5156712963</v>
      </c>
    </row>
    <row r="3229" spans="14:20">
      <c r="N3229" s="7" t="str">
        <f>HYPERLINK("E:\附赠：Excel模板\精美EXCEL模板\网友极力推荐的Excel模板1000例\中小企业技术改造项目基本情况表.xls","中小企业技术改造项目基本情况表.xls")</f>
        <v>中小企业技术改造项目基本情况表.xls</v>
      </c>
      <c r="Q3229">
        <v>0.02</v>
      </c>
      <c r="R3229" s="7" t="str">
        <f t="shared" si="65"/>
        <v>E:\附赠：Excel模板\精美EXCEL模板\网友极力推荐的Excel模板1000例</v>
      </c>
      <c r="S3229" s="9">
        <v>43600.3821759259</v>
      </c>
      <c r="T3229" s="9">
        <v>43390.5156712963</v>
      </c>
    </row>
    <row r="3230" spans="14:20">
      <c r="N3230" s="7" t="str">
        <f>HYPERLINK("E:\附赠：Excel模板\精美EXCEL模板\网友极力推荐的Excel模板1000例\中小学家庭经济困难学生基本情况调查汇总表.xls","中小学家庭经济困难学生基本情况调查汇总表.xls")</f>
        <v>中小学家庭经济困难学生基本情况调查汇总表.xls</v>
      </c>
      <c r="Q3230">
        <v>0.02</v>
      </c>
      <c r="R3230" s="7" t="str">
        <f t="shared" si="65"/>
        <v>E:\附赠：Excel模板\精美EXCEL模板\网友极力推荐的Excel模板1000例</v>
      </c>
      <c r="S3230" s="9">
        <v>43600.3821759259</v>
      </c>
      <c r="T3230" s="9">
        <v>43390.5156712963</v>
      </c>
    </row>
    <row r="3231" spans="14:20">
      <c r="N3231" s="7" t="str">
        <f>HYPERLINK("E:\附赠：Excel模板\精美EXCEL模板\网友极力推荐的Excel模板1000例\中小學中途輟學學生統計表.xls","中小學中途輟學學生統計表.xls")</f>
        <v>中小學中途輟學學生統計表.xls</v>
      </c>
      <c r="Q3231">
        <v>0.01</v>
      </c>
      <c r="R3231" s="7" t="str">
        <f t="shared" si="65"/>
        <v>E:\附赠：Excel模板\精美EXCEL模板\网友极力推荐的Excel模板1000例</v>
      </c>
      <c r="S3231" s="9">
        <v>43600.3821759259</v>
      </c>
      <c r="T3231" s="9">
        <v>43390.5156712963</v>
      </c>
    </row>
    <row r="3232" spans="14:20">
      <c r="N3232" s="7" t="str">
        <f>HYPERLINK("E:\附赠：Excel模板\精美EXCEL模板\网友极力推荐的Excel模板1000例\中等职业学校教师资格认定试讲教材目录.xls","中等职业学校教师资格认定试讲教材目录.xls")</f>
        <v>中等职业学校教师资格认定试讲教材目录.xls</v>
      </c>
      <c r="Q3232">
        <v>0.02</v>
      </c>
      <c r="R3232" s="7" t="str">
        <f t="shared" si="65"/>
        <v>E:\附赠：Excel模板\精美EXCEL模板\网友极力推荐的Excel模板1000例</v>
      </c>
      <c r="S3232" s="9">
        <v>43600.3821759259</v>
      </c>
      <c r="T3232" s="9">
        <v>43390.5156712963</v>
      </c>
    </row>
    <row r="3233" spans="14:20">
      <c r="N3233" s="7" t="str">
        <f>HYPERLINK("E:\附赠：Excel模板\精美EXCEL模板\网友极力推荐的Excel模板1000例\主营业务生产、销售预算表.xls","主营业务生产、销售预算表.xls")</f>
        <v>主营业务生产、销售预算表.xls</v>
      </c>
      <c r="Q3233">
        <v>0.02</v>
      </c>
      <c r="R3233" s="7" t="str">
        <f t="shared" si="65"/>
        <v>E:\附赠：Excel模板\精美EXCEL模板\网友极力推荐的Excel模板1000例</v>
      </c>
      <c r="S3233" s="9">
        <v>43600.3821759259</v>
      </c>
      <c r="T3233" s="9">
        <v>43390.5156481481</v>
      </c>
    </row>
    <row r="3234" spans="14:20">
      <c r="N3234" s="7" t="str">
        <f>HYPERLINK("E:\附赠：Excel模板\精美EXCEL模板\网友极力推荐的Excel模板1000例\主要旅游景点游人、收入情况.xls","主要旅游景点游人、收入情况.xls")</f>
        <v>主要旅游景点游人、收入情况.xls</v>
      </c>
      <c r="Q3234">
        <v>0.02</v>
      </c>
      <c r="R3234" s="7" t="str">
        <f t="shared" si="65"/>
        <v>E:\附赠：Excel模板\精美EXCEL模板\网友极力推荐的Excel模板1000例</v>
      </c>
      <c r="S3234" s="9">
        <v>43600.3821759259</v>
      </c>
      <c r="T3234" s="9">
        <v>43390.5156481481</v>
      </c>
    </row>
    <row r="3235" spans="14:20">
      <c r="N3235" s="7" t="str">
        <f>HYPERLINK("E:\附赠：Excel模板\精美EXCEL模板\网友极力推荐的Excel模板1000例\主要监测仪器设备情况表.xls","主要监测仪器设备情况表.xls")</f>
        <v>主要监测仪器设备情况表.xls</v>
      </c>
      <c r="Q3235">
        <v>0.02</v>
      </c>
      <c r="R3235" s="7" t="str">
        <f t="shared" si="65"/>
        <v>E:\附赠：Excel模板\精美EXCEL模板\网友极力推荐的Excel模板1000例</v>
      </c>
      <c r="S3235" s="9">
        <v>43600.3821759259</v>
      </c>
      <c r="T3235" s="9">
        <v>43390.5156481481</v>
      </c>
    </row>
    <row r="3236" spans="14:20">
      <c r="N3236" s="7" t="str">
        <f>HYPERLINK("E:\附赠：Excel模板\精美EXCEL模板\网友极力推荐的Excel模板1000例\主要财务指标分析表.xls","主要财务指标分析表.xls")</f>
        <v>主要财务指标分析表.xls</v>
      </c>
      <c r="Q3236">
        <v>0.01</v>
      </c>
      <c r="R3236" s="7" t="str">
        <f t="shared" si="65"/>
        <v>E:\附赠：Excel模板\精美EXCEL模板\网友极力推荐的Excel模板1000例</v>
      </c>
      <c r="S3236" s="9">
        <v>43600.3821759259</v>
      </c>
      <c r="T3236" s="9">
        <v>43390.5156481481</v>
      </c>
    </row>
    <row r="3237" spans="14:20">
      <c r="N3237" s="7" t="str">
        <f>HYPERLINK("E:\附赠：Excel模板\精美EXCEL模板\网友极力推荐的Excel模板1000例\主要财务指标表.xls","主要财务指标表.xls")</f>
        <v>主要财务指标表.xls</v>
      </c>
      <c r="Q3237">
        <v>0.02</v>
      </c>
      <c r="R3237" s="7" t="str">
        <f t="shared" si="65"/>
        <v>E:\附赠：Excel模板\精美EXCEL模板\网友极力推荐的Excel模板1000例</v>
      </c>
      <c r="S3237" s="9">
        <v>43600.3821759259</v>
      </c>
      <c r="T3237" s="9">
        <v>43390.5156481481</v>
      </c>
    </row>
    <row r="3238" spans="14:20">
      <c r="N3238" s="7" t="str">
        <f>HYPERLINK("E:\附赠：Excel模板\精美EXCEL模板\网友极力推荐的Excel模板1000例\义务教育阶段家庭经济困难学生资助金领取表.xls","义务教育阶段家庭经济困难学生资助金领取表.xls")</f>
        <v>义务教育阶段家庭经济困难学生资助金领取表.xls</v>
      </c>
      <c r="Q3238">
        <v>0.02</v>
      </c>
      <c r="R3238" s="7" t="str">
        <f t="shared" si="65"/>
        <v>E:\附赠：Excel模板\精美EXCEL模板\网友极力推荐的Excel模板1000例</v>
      </c>
      <c r="S3238" s="9">
        <v>43600.3821759259</v>
      </c>
      <c r="T3238" s="9">
        <v>43390.5157638889</v>
      </c>
    </row>
    <row r="3239" spans="14:20">
      <c r="N3239" s="7" t="str">
        <f>HYPERLINK("E:\附赠：Excel模板\精美EXCEL模板\网友极力推荐的Excel模板1000例\乡财县管改革工作考核评分表.xls","乡财县管改革工作考核评分表.xls")</f>
        <v>乡财县管改革工作考核评分表.xls</v>
      </c>
      <c r="Q3239">
        <v>0.02</v>
      </c>
      <c r="R3239" s="7" t="str">
        <f t="shared" si="65"/>
        <v>E:\附赠：Excel模板\精美EXCEL模板\网友极力推荐的Excel模板1000例</v>
      </c>
      <c r="S3239" s="9">
        <v>43600.3821759259</v>
      </c>
      <c r="T3239" s="9">
        <v>43390.5159722222</v>
      </c>
    </row>
    <row r="3240" spans="14:20">
      <c r="N3240" s="7" t="str">
        <f>HYPERLINK("E:\附赠：Excel模板\精美EXCEL模板\网友极力推荐的Excel模板1000例\乡镇企业财务情况.xls","乡镇企业财务情况.xls")</f>
        <v>乡镇企业财务情况.xls</v>
      </c>
      <c r="Q3240">
        <v>0.01</v>
      </c>
      <c r="R3240" s="7" t="str">
        <f t="shared" si="65"/>
        <v>E:\附赠：Excel模板\精美EXCEL模板\网友极力推荐的Excel模板1000例</v>
      </c>
      <c r="S3240" s="9">
        <v>43600.3821759259</v>
      </c>
      <c r="T3240" s="9">
        <v>43390.5159490741</v>
      </c>
    </row>
    <row r="3241" spans="14:20">
      <c r="N3241" s="7" t="str">
        <f>HYPERLINK("E:\附赠：Excel模板\精美EXCEL模板\网友极力推荐的Excel模板1000例\乡镇企业财务情况1.xls","乡镇企业财务情况1.xls")</f>
        <v>乡镇企业财务情况1.xls</v>
      </c>
      <c r="Q3241">
        <v>0.01</v>
      </c>
      <c r="R3241" s="7" t="str">
        <f t="shared" si="65"/>
        <v>E:\附赠：Excel模板\精美EXCEL模板\网友极力推荐的Excel模板1000例</v>
      </c>
      <c r="S3241" s="9">
        <v>43600.3821759259</v>
      </c>
      <c r="T3241" s="9">
        <v>43390.5159490741</v>
      </c>
    </row>
    <row r="3242" spans="14:20">
      <c r="N3242" s="7" t="str">
        <f>HYPERLINK("E:\附赠：Excel模板\精美EXCEL模板\网友极力推荐的Excel模板1000例\乡镇党委政府目前承担工作调查表.xls","乡镇党委政府目前承担工作调查表.xls")</f>
        <v>乡镇党委政府目前承担工作调查表.xls</v>
      </c>
      <c r="Q3242">
        <v>0.02</v>
      </c>
      <c r="R3242" s="7" t="str">
        <f t="shared" si="65"/>
        <v>E:\附赠：Excel模板\精美EXCEL模板\网友极力推荐的Excel模板1000例</v>
      </c>
      <c r="S3242" s="9">
        <v>43600.3821759259</v>
      </c>
      <c r="T3242" s="9">
        <v>43390.5159722222</v>
      </c>
    </row>
    <row r="3243" spans="14:20">
      <c r="N3243" s="7" t="str">
        <f>HYPERLINK("E:\附赠：Excel模板\精美EXCEL模板\网友极力推荐的Excel模板1000例\乡镇基本情况调查表.xls","乡镇基本情况调查表.xls")</f>
        <v>乡镇基本情况调查表.xls</v>
      </c>
      <c r="Q3243">
        <v>0.02</v>
      </c>
      <c r="R3243" s="7" t="str">
        <f t="shared" si="65"/>
        <v>E:\附赠：Excel模板\精美EXCEL模板\网友极力推荐的Excel模板1000例</v>
      </c>
      <c r="S3243" s="9">
        <v>43600.3821759259</v>
      </c>
      <c r="T3243" s="9">
        <v>43390.5159722222</v>
      </c>
    </row>
    <row r="3244" spans="14:20">
      <c r="N3244" s="7" t="str">
        <f>HYPERLINK("E:\附赠：Excel模板\精美EXCEL模板\网友极力推荐的Excel模板1000例\乡镇财政供养人员经费调查表.xls","乡镇财政供养人员经费调查表.xls")</f>
        <v>乡镇财政供养人员经费调查表.xls</v>
      </c>
      <c r="Q3244">
        <v>0.02</v>
      </c>
      <c r="R3244" s="7" t="str">
        <f t="shared" si="65"/>
        <v>E:\附赠：Excel模板\精美EXCEL模板\网友极力推荐的Excel模板1000例</v>
      </c>
      <c r="S3244" s="9">
        <v>43600.3821759259</v>
      </c>
      <c r="T3244" s="9">
        <v>43390.5159722222</v>
      </c>
    </row>
    <row r="3245" spans="14:20">
      <c r="N3245" s="7" t="str">
        <f>HYPERLINK("E:\附赠：Excel模板\精美EXCEL模板\网友极力推荐的Excel模板1000例\乡镇财政状况调查表.xls","乡镇财政状况调查表.xls")</f>
        <v>乡镇财政状况调查表.xls</v>
      </c>
      <c r="Q3245">
        <v>0.02</v>
      </c>
      <c r="R3245" s="7" t="str">
        <f t="shared" si="65"/>
        <v>E:\附赠：Excel模板\精美EXCEL模板\网友极力推荐的Excel模板1000例</v>
      </c>
      <c r="S3245" s="9">
        <v>43600.3821759259</v>
      </c>
      <c r="T3245" s="9">
        <v>43390.5159722222</v>
      </c>
    </row>
    <row r="3246" spans="14:20">
      <c r="N3246" s="7" t="str">
        <f>HYPERLINK("E:\附赠：Excel模板\精美EXCEL模板\网友极力推荐的Excel模板1000例\乡镇集体资产管理机构调查表.xls","乡镇集体资产管理机构调查表.xls")</f>
        <v>乡镇集体资产管理机构调查表.xls</v>
      </c>
      <c r="Q3246">
        <v>0.01</v>
      </c>
      <c r="R3246" s="7" t="str">
        <f t="shared" si="65"/>
        <v>E:\附赠：Excel模板\精美EXCEL模板\网友极力推荐的Excel模板1000例</v>
      </c>
      <c r="S3246" s="9">
        <v>43600.3821759259</v>
      </c>
      <c r="T3246" s="9">
        <v>43390.5159490741</v>
      </c>
    </row>
    <row r="3247" spans="14:20">
      <c r="N3247" s="7" t="str">
        <f>HYPERLINK("E:\附赠：Excel模板\精美EXCEL模板\网友极力推荐的Excel模板1000例\事业单位专业技术人员聘任专业技术职务变动一览表.xls","事业单位专业技术人员聘任专业技术职务变动一览表.xls")</f>
        <v>事业单位专业技术人员聘任专业技术职务变动一览表.xls</v>
      </c>
      <c r="Q3247">
        <v>0.01</v>
      </c>
      <c r="R3247" s="7" t="str">
        <f t="shared" si="65"/>
        <v>E:\附赠：Excel模板\精美EXCEL模板\网友极力推荐的Excel模板1000例</v>
      </c>
      <c r="S3247" s="9">
        <v>43600.3821759259</v>
      </c>
      <c r="T3247" s="9">
        <v>43390.5161111111</v>
      </c>
    </row>
    <row r="3248" spans="14:20">
      <c r="N3248" s="7" t="str">
        <f>HYPERLINK("E:\附赠：Excel模板\精美EXCEL模板\网友极力推荐的Excel模板1000例\事业单位人员培训情况表.xls","事业单位人员培训情况表.xls")</f>
        <v>事业单位人员培训情况表.xls</v>
      </c>
      <c r="Q3248">
        <v>0.02</v>
      </c>
      <c r="R3248" s="7" t="str">
        <f t="shared" si="65"/>
        <v>E:\附赠：Excel模板\精美EXCEL模板\网友极力推荐的Excel模板1000例</v>
      </c>
      <c r="S3248" s="9">
        <v>43600.3821759259</v>
      </c>
      <c r="T3248" s="9">
        <v>43390.5161111111</v>
      </c>
    </row>
    <row r="3249" spans="14:20">
      <c r="N3249" s="7" t="str">
        <f>HYPERLINK("E:\附赠：Excel模板\精美EXCEL模板\网友极力推荐的Excel模板1000例\事业单位公开招聘岗位.xls","事业单位公开招聘岗位.xls")</f>
        <v>事业单位公开招聘岗位.xls</v>
      </c>
      <c r="Q3249">
        <v>0.02</v>
      </c>
      <c r="R3249" s="7" t="str">
        <f t="shared" si="65"/>
        <v>E:\附赠：Excel模板\精美EXCEL模板\网友极力推荐的Excel模板1000例</v>
      </c>
      <c r="S3249" s="9">
        <v>43600.3821759259</v>
      </c>
      <c r="T3249" s="9">
        <v>43390.5161111111</v>
      </c>
    </row>
    <row r="3250" spans="14:20">
      <c r="N3250" s="7" t="str">
        <f>HYPERLINK("E:\附赠：Excel模板\精美EXCEL模板\网友极力推荐的Excel模板1000例\事业单位增人计划执行情况统计表.xls","事业单位增人计划执行情况统计表.xls")</f>
        <v>事业单位增人计划执行情况统计表.xls</v>
      </c>
      <c r="Q3250">
        <v>0.02</v>
      </c>
      <c r="R3250" s="7" t="str">
        <f t="shared" si="65"/>
        <v>E:\附赠：Excel模板\精美EXCEL模板\网友极力推荐的Excel模板1000例</v>
      </c>
      <c r="S3250" s="9">
        <v>43600.3821759259</v>
      </c>
      <c r="T3250" s="9">
        <v>43390.5161111111</v>
      </c>
    </row>
    <row r="3251" spans="14:20">
      <c r="N3251" s="7" t="str">
        <f>HYPERLINK("E:\附赠：Excel模板\精美EXCEL模板\网友极力推荐的Excel模板1000例\事业单位工作人员工龄情况.xls","事业单位工作人员工龄情况.xls")</f>
        <v>事业单位工作人员工龄情况.xls</v>
      </c>
      <c r="Q3251">
        <v>0.02</v>
      </c>
      <c r="R3251" s="7" t="str">
        <f t="shared" si="65"/>
        <v>E:\附赠：Excel模板\精美EXCEL模板\网友极力推荐的Excel模板1000例</v>
      </c>
      <c r="S3251" s="9">
        <v>43600.3821759259</v>
      </c>
      <c r="T3251" s="9">
        <v>43390.5161111111</v>
      </c>
    </row>
    <row r="3252" spans="14:20">
      <c r="N3252" s="7" t="str">
        <f>HYPERLINK("E:\附赠：Excel模板\精美EXCEL模板\网友极力推荐的Excel模板1000例\事业单位技术人员基本情况表.xls","事业单位技术人员基本情况表.xls")</f>
        <v>事业单位技术人员基本情况表.xls</v>
      </c>
      <c r="Q3252">
        <v>0.02</v>
      </c>
      <c r="R3252" s="7" t="str">
        <f t="shared" si="65"/>
        <v>E:\附赠：Excel模板\精美EXCEL模板\网友极力推荐的Excel模板1000例</v>
      </c>
      <c r="S3252" s="9">
        <v>43600.3821759259</v>
      </c>
      <c r="T3252" s="9">
        <v>43390.5161111111</v>
      </c>
    </row>
    <row r="3253" spans="14:20">
      <c r="N3253" s="7" t="str">
        <f>HYPERLINK("E:\附赠：Excel模板\精美EXCEL模板\网友极力推荐的Excel模板1000例\事业单位收入支出表.xls","事业单位收入支出表.xls")</f>
        <v>事业单位收入支出表.xls</v>
      </c>
      <c r="Q3253">
        <v>0.02</v>
      </c>
      <c r="R3253" s="7" t="str">
        <f t="shared" si="65"/>
        <v>E:\附赠：Excel模板\精美EXCEL模板\网友极力推荐的Excel模板1000例</v>
      </c>
      <c r="S3253" s="9">
        <v>43600.3821759259</v>
      </c>
      <c r="T3253" s="9">
        <v>43390.5161111111</v>
      </c>
    </row>
    <row r="3254" spans="14:20">
      <c r="N3254" s="7" t="str">
        <f>HYPERLINK("E:\附赠：Excel模板\精美EXCEL模板\网友极力推荐的Excel模板1000例\事业单位机构编制基本情况调查表.xls","事业单位机构编制基本情况调查表.xls")</f>
        <v>事业单位机构编制基本情况调查表.xls</v>
      </c>
      <c r="Q3254">
        <v>0.02</v>
      </c>
      <c r="R3254" s="7" t="str">
        <f t="shared" si="65"/>
        <v>E:\附赠：Excel模板\精美EXCEL模板\网友极力推荐的Excel模板1000例</v>
      </c>
      <c r="S3254" s="9">
        <v>43600.3821759259</v>
      </c>
      <c r="T3254" s="9">
        <v>43390.5161111111</v>
      </c>
    </row>
    <row r="3255" spans="14:20">
      <c r="N3255" s="7" t="str">
        <f>HYPERLINK("E:\附赠：Excel模板\精美EXCEL模板\网友极力推荐的Excel模板1000例\事业单位法人基本情况表.xls","事业单位法人基本情况表.xls")</f>
        <v>事业单位法人基本情况表.xls</v>
      </c>
      <c r="Q3255">
        <v>0.02</v>
      </c>
      <c r="R3255" s="7" t="str">
        <f t="shared" si="65"/>
        <v>E:\附赠：Excel模板\精美EXCEL模板\网友极力推荐的Excel模板1000例</v>
      </c>
      <c r="S3255" s="9">
        <v>43600.3821759259</v>
      </c>
      <c r="T3255" s="9">
        <v>43390.5161342593</v>
      </c>
    </row>
    <row r="3256" spans="14:20">
      <c r="N3256" s="7" t="str">
        <f>HYPERLINK("E:\附赠：Excel模板\精美EXCEL模板\网友极力推荐的Excel模板1000例\事业单位法人年度报告.xls","事业单位法人年度报告.xls")</f>
        <v>事业单位法人年度报告.xls</v>
      </c>
      <c r="Q3256">
        <v>0.01</v>
      </c>
      <c r="R3256" s="7" t="str">
        <f t="shared" si="65"/>
        <v>E:\附赠：Excel模板\精美EXCEL模板\网友极力推荐的Excel模板1000例</v>
      </c>
      <c r="S3256" s="9">
        <v>43600.3821759259</v>
      </c>
      <c r="T3256" s="9">
        <v>43390.5161342593</v>
      </c>
    </row>
    <row r="3257" spans="14:20">
      <c r="N3257" s="7" t="str">
        <f>HYPERLINK("E:\附赠：Excel模板\精美EXCEL模板\网友极力推荐的Excel模板1000例\事业单位法人设立登记（备案）申请书.xls","事业单位法人设立登记（备案）申请书.xls")</f>
        <v>事业单位法人设立登记（备案）申请书.xls</v>
      </c>
      <c r="Q3257">
        <v>0.02</v>
      </c>
      <c r="R3257" s="7" t="str">
        <f t="shared" si="65"/>
        <v>E:\附赠：Excel模板\精美EXCEL模板\网友极力推荐的Excel模板1000例</v>
      </c>
      <c r="S3257" s="9">
        <v>43600.3821759259</v>
      </c>
      <c r="T3257" s="9">
        <v>43390.5161111111</v>
      </c>
    </row>
    <row r="3258" spans="14:20">
      <c r="N3258" s="7" t="str">
        <f>HYPERLINK("E:\附赠：Excel模板\精美EXCEL模板\网友极力推荐的Excel模板1000例\事业单位特殊专业技术人才基本情况表.xls","事业单位特殊专业技术人才基本情况表.xls")</f>
        <v>事业单位特殊专业技术人才基本情况表.xls</v>
      </c>
      <c r="Q3258">
        <v>0.02</v>
      </c>
      <c r="R3258" s="7" t="str">
        <f t="shared" si="65"/>
        <v>E:\附赠：Excel模板\精美EXCEL模板\网友极力推荐的Excel模板1000例</v>
      </c>
      <c r="S3258" s="9">
        <v>43600.3821759259</v>
      </c>
      <c r="T3258" s="9">
        <v>43390.5161111111</v>
      </c>
    </row>
    <row r="3259" spans="14:20">
      <c r="N3259" s="7" t="str">
        <f>HYPERLINK("E:\附赠：Excel模板\精美EXCEL模板\网友极力推荐的Excel模板1000例\事业单位管理人员基本情况表.xls","事业单位管理人员基本情况表.xls")</f>
        <v>事业单位管理人员基本情况表.xls</v>
      </c>
      <c r="Q3259">
        <v>0.02</v>
      </c>
      <c r="R3259" s="7" t="str">
        <f t="shared" si="65"/>
        <v>E:\附赠：Excel模板\精美EXCEL模板\网友极力推荐的Excel模板1000例</v>
      </c>
      <c r="S3259" s="9">
        <v>43600.3821759259</v>
      </c>
      <c r="T3259" s="9">
        <v>43390.5161111111</v>
      </c>
    </row>
    <row r="3260" spans="14:20">
      <c r="N3260" s="7" t="str">
        <f>HYPERLINK("E:\附赠：Excel模板\精美EXCEL模板\网友极力推荐的Excel模板1000例\事业单位财务月报.xls","事业单位财务月报.xls")</f>
        <v>事业单位财务月报.xls</v>
      </c>
      <c r="Q3260">
        <v>0.02</v>
      </c>
      <c r="R3260" s="7" t="str">
        <f t="shared" si="65"/>
        <v>E:\附赠：Excel模板\精美EXCEL模板\网友极力推荐的Excel模板1000例</v>
      </c>
      <c r="S3260" s="9">
        <v>43600.3821759259</v>
      </c>
      <c r="T3260" s="9">
        <v>43390.5161342593</v>
      </c>
    </row>
    <row r="3261" spans="14:20">
      <c r="N3261" s="7" t="str">
        <f>HYPERLINK("E:\附赠：Excel模板\精美EXCEL模板\网友极力推荐的Excel模板1000例\事业单位资产负债表.xls","事业单位资产负债表.xls")</f>
        <v>事业单位资产负债表.xls</v>
      </c>
      <c r="Q3261">
        <v>0.02</v>
      </c>
      <c r="R3261" s="7" t="str">
        <f t="shared" si="65"/>
        <v>E:\附赠：Excel模板\精美EXCEL模板\网友极力推荐的Excel模板1000例</v>
      </c>
      <c r="S3261" s="9">
        <v>43600.3821759259</v>
      </c>
      <c r="T3261" s="9">
        <v>43390.5161111111</v>
      </c>
    </row>
    <row r="3262" spans="14:20">
      <c r="N3262" s="7" t="str">
        <f>HYPERLINK("E:\附赠：Excel模板\精美EXCEL模板\网友极力推荐的Excel模板1000例\事业支出明细表.xls","事业支出明细表.xls")</f>
        <v>事业支出明细表.xls</v>
      </c>
      <c r="Q3262">
        <v>0.05</v>
      </c>
      <c r="R3262" s="7" t="str">
        <f t="shared" si="65"/>
        <v>E:\附赠：Excel模板\精美EXCEL模板\网友极力推荐的Excel模板1000例</v>
      </c>
      <c r="S3262" s="9">
        <v>43600.3821759259</v>
      </c>
      <c r="T3262" s="9">
        <v>43390.5161111111</v>
      </c>
    </row>
    <row r="3263" spans="14:20">
      <c r="N3263" s="7" t="str">
        <f>HYPERLINK("E:\附赠：Excel模板\精美EXCEL模板\网友极力推荐的Excel模板1000例\事业部经理、副经理应聘报名表.xls","事业部经理、副经理应聘报名表.xls")</f>
        <v>事业部经理、副经理应聘报名表.xls</v>
      </c>
      <c r="Q3263">
        <v>0.02</v>
      </c>
      <c r="R3263" s="7" t="str">
        <f t="shared" si="65"/>
        <v>E:\附赠：Excel模板\精美EXCEL模板\网友极力推荐的Excel模板1000例</v>
      </c>
      <c r="S3263" s="9">
        <v>43600.3821759259</v>
      </c>
      <c r="T3263" s="9">
        <v>43390.5161342593</v>
      </c>
    </row>
    <row r="3264" spans="14:20">
      <c r="N3264" s="7" t="str">
        <f>HYPERLINK("E:\附赠：Excel模板\精美EXCEL模板\网友极力推荐的Excel模板1000例\交通基础设施建设情况主要统计指标年报.xls","交通基础设施建设情况主要统计指标年报.xls")</f>
        <v>交通基础设施建设情况主要统计指标年报.xls</v>
      </c>
      <c r="Q3264">
        <v>0.02</v>
      </c>
      <c r="R3264" s="7" t="str">
        <f t="shared" si="65"/>
        <v>E:\附赠：Excel模板\精美EXCEL模板\网友极力推荐的Excel模板1000例</v>
      </c>
      <c r="S3264" s="9">
        <v>43600.3821759259</v>
      </c>
      <c r="T3264" s="9">
        <v>43390.5164814815</v>
      </c>
    </row>
    <row r="3265" spans="14:20">
      <c r="N3265" s="7" t="str">
        <f>HYPERLINK("E:\附赠：Excel模板\精美EXCEL模板\网友极力推荐的Excel模板1000例\交通基础设施建设计划完成情况表.xls","交通基础设施建设计划完成情况表.xls")</f>
        <v>交通基础设施建设计划完成情况表.xls</v>
      </c>
      <c r="Q3265">
        <v>0.02</v>
      </c>
      <c r="R3265" s="7" t="str">
        <f t="shared" si="65"/>
        <v>E:\附赠：Excel模板\精美EXCEL模板\网友极力推荐的Excel模板1000例</v>
      </c>
      <c r="S3265" s="9">
        <v>43600.3821759259</v>
      </c>
      <c r="T3265" s="9">
        <v>43390.5164814815</v>
      </c>
    </row>
    <row r="3266" spans="14:20">
      <c r="N3266" s="7" t="str">
        <f>HYPERLINK("E:\附赠：Excel模板\精美EXCEL模板\网友极力推荐的Excel模板1000例\交通工具明细表.xls","交通工具明细表.xls")</f>
        <v>交通工具明细表.xls</v>
      </c>
      <c r="Q3266">
        <v>0.02</v>
      </c>
      <c r="R3266" s="7" t="str">
        <f t="shared" ref="R3266:R3329" si="66">HYPERLINK("E:\附赠：Excel模板\精美EXCEL模板\网友极力推荐的Excel模板1000例","E:\附赠：Excel模板\精美EXCEL模板\网友极力推荐的Excel模板1000例")</f>
        <v>E:\附赠：Excel模板\精美EXCEL模板\网友极力推荐的Excel模板1000例</v>
      </c>
      <c r="S3266" s="9">
        <v>43600.3821759259</v>
      </c>
      <c r="T3266" s="9">
        <v>43390.5164814815</v>
      </c>
    </row>
    <row r="3267" spans="14:20">
      <c r="N3267" s="7" t="str">
        <f>HYPERLINK("E:\附赠：Excel模板\精美EXCEL模板\网友极力推荐的Excel模板1000例\交通经营情况明细表.xls","交通经营情况明细表.xls")</f>
        <v>交通经营情况明细表.xls</v>
      </c>
      <c r="Q3267">
        <v>0.02</v>
      </c>
      <c r="R3267" s="7" t="str">
        <f t="shared" si="66"/>
        <v>E:\附赠：Excel模板\精美EXCEL模板\网友极力推荐的Excel模板1000例</v>
      </c>
      <c r="S3267" s="9">
        <v>43600.3821759259</v>
      </c>
      <c r="T3267" s="9">
        <v>43390.5164814815</v>
      </c>
    </row>
    <row r="3268" spans="14:20">
      <c r="N3268" s="7" t="str">
        <f>HYPERLINK("E:\附赠：Excel模板\精美EXCEL模板\网友极力推荐的Excel模板1000例\产品分析表.xls","产品分析表.xls")</f>
        <v>产品分析表.xls</v>
      </c>
      <c r="Q3268">
        <v>0.02</v>
      </c>
      <c r="R3268" s="7" t="str">
        <f t="shared" si="66"/>
        <v>E:\附赠：Excel模板\精美EXCEL模板\网友极力推荐的Excel模板1000例</v>
      </c>
      <c r="S3268" s="9">
        <v>43600.3821759259</v>
      </c>
      <c r="T3268" s="9">
        <v>43390.5168287037</v>
      </c>
    </row>
    <row r="3269" spans="14:20">
      <c r="N3269" s="7" t="str">
        <f>HYPERLINK("E:\附赠：Excel模板\精美EXCEL模板\网友极力推荐的Excel模板1000例\产权界定申报表.xls","产权界定申报表.xls")</f>
        <v>产权界定申报表.xls</v>
      </c>
      <c r="Q3269">
        <v>0.02</v>
      </c>
      <c r="R3269" s="7" t="str">
        <f t="shared" si="66"/>
        <v>E:\附赠：Excel模板\精美EXCEL模板\网友极力推荐的Excel模板1000例</v>
      </c>
      <c r="S3269" s="9">
        <v>43600.3821759259</v>
      </c>
      <c r="T3269" s="9">
        <v>43390.5168287037</v>
      </c>
    </row>
    <row r="3270" spans="14:20">
      <c r="N3270" s="7" t="str">
        <f>HYPERLINK("E:\附赠：Excel模板\精美EXCEL模板\网友极力推荐的Excel模板1000例\人力资源状况普查汇总表.xls","人力资源状况普查汇总表.xls")</f>
        <v>人力资源状况普查汇总表.xls</v>
      </c>
      <c r="Q3270">
        <v>0.02</v>
      </c>
      <c r="R3270" s="7" t="str">
        <f t="shared" si="66"/>
        <v>E:\附赠：Excel模板\精美EXCEL模板\网友极力推荐的Excel模板1000例</v>
      </c>
      <c r="S3270" s="9">
        <v>43600.3821759259</v>
      </c>
      <c r="T3270" s="9">
        <v>43390.5162037037</v>
      </c>
    </row>
    <row r="3271" spans="14:20">
      <c r="N3271" s="7" t="str">
        <f>HYPERLINK("E:\附赠：Excel模板\精美EXCEL模板\网友极力推荐的Excel模板1000例\人均工资情况对比表.xls","人均工资情况对比表.xls")</f>
        <v>人均工资情况对比表.xls</v>
      </c>
      <c r="Q3271">
        <v>0.02</v>
      </c>
      <c r="R3271" s="7" t="str">
        <f t="shared" si="66"/>
        <v>E:\附赠：Excel模板\精美EXCEL模板\网友极力推荐的Excel模板1000例</v>
      </c>
      <c r="S3271" s="9">
        <v>43600.3821759259</v>
      </c>
      <c r="T3271" s="9">
        <v>43390.5162037037</v>
      </c>
    </row>
    <row r="3272" spans="14:20">
      <c r="N3272" s="7" t="str">
        <f>HYPERLINK("E:\附赠：Excel模板\精美EXCEL模板\网友极力推荐的Excel模板1000例\人才中介许可.xls","人才中介许可.xls")</f>
        <v>人才中介许可.xls</v>
      </c>
      <c r="Q3272">
        <v>0.02</v>
      </c>
      <c r="R3272" s="7" t="str">
        <f t="shared" si="66"/>
        <v>E:\附赠：Excel模板\精美EXCEL模板\网友极力推荐的Excel模板1000例</v>
      </c>
      <c r="S3272" s="9">
        <v>43600.3821759259</v>
      </c>
      <c r="T3272" s="9">
        <v>43390.5162037037</v>
      </c>
    </row>
    <row r="3273" spans="14:20">
      <c r="N3273" s="7" t="str">
        <f>HYPERLINK("E:\附赠：Excel模板\精美EXCEL模板\网友极力推荐的Excel模板1000例\人才中介许可登.xls","人才中介许可登.xls")</f>
        <v>人才中介许可登.xls</v>
      </c>
      <c r="Q3273">
        <v>0.02</v>
      </c>
      <c r="R3273" s="7" t="str">
        <f t="shared" si="66"/>
        <v>E:\附赠：Excel模板\精美EXCEL模板\网友极力推荐的Excel模板1000例</v>
      </c>
      <c r="S3273" s="9">
        <v>43600.3821759259</v>
      </c>
      <c r="T3273" s="9">
        <v>43390.5162037037</v>
      </c>
    </row>
    <row r="3274" spans="14:20">
      <c r="N3274" s="7" t="str">
        <f>HYPERLINK("E:\附赠：Excel模板\精美EXCEL模板\网友极力推荐的Excel模板1000例\人才培训课程表.xls","人才培训课程表.xls")</f>
        <v>人才培训课程表.xls</v>
      </c>
      <c r="Q3274">
        <v>0.12</v>
      </c>
      <c r="R3274" s="7" t="str">
        <f t="shared" si="66"/>
        <v>E:\附赠：Excel模板\精美EXCEL模板\网友极力推荐的Excel模板1000例</v>
      </c>
      <c r="S3274" s="9">
        <v>43600.3821759259</v>
      </c>
      <c r="T3274" s="9">
        <v>43390.5162037037</v>
      </c>
    </row>
    <row r="3275" spans="14:20">
      <c r="N3275" s="7" t="str">
        <f>HYPERLINK("E:\附赠：Excel模板\精美EXCEL模板\网友极力推荐的Excel模板1000例\人才招聘会企业名单.xls","人才招聘会企业名单.xls")</f>
        <v>人才招聘会企业名单.xls</v>
      </c>
      <c r="Q3275">
        <v>0.03</v>
      </c>
      <c r="R3275" s="7" t="str">
        <f t="shared" si="66"/>
        <v>E:\附赠：Excel模板\精美EXCEL模板\网友极力推荐的Excel模板1000例</v>
      </c>
      <c r="S3275" s="9">
        <v>43600.3821759259</v>
      </c>
      <c r="T3275" s="9">
        <v>43390.5162037037</v>
      </c>
    </row>
    <row r="3276" spans="14:20">
      <c r="N3276" s="7" t="str">
        <f>HYPERLINK("E:\附赠：Excel模板\精美EXCEL模板\网友极力推荐的Excel模板1000例\人民币贷款明细表.xls","人民币贷款明细表.xls")</f>
        <v>人民币贷款明细表.xls</v>
      </c>
      <c r="Q3276">
        <v>0.02</v>
      </c>
      <c r="R3276" s="7" t="str">
        <f t="shared" si="66"/>
        <v>E:\附赠：Excel模板\精美EXCEL模板\网友极力推荐的Excel模板1000例</v>
      </c>
      <c r="S3276" s="9">
        <v>43600.3821759259</v>
      </c>
      <c r="T3276" s="9">
        <v>43390.5162037037</v>
      </c>
    </row>
    <row r="3277" spans="14:20">
      <c r="N3277" s="7" t="str">
        <f>HYPERLINK("E:\附赠：Excel模板\精美EXCEL模板\网友极力推荐的Excel模板1000例\人身保险公司业务统计表.xls","人身保险公司业务统计表.xls")</f>
        <v>人身保险公司业务统计表.xls</v>
      </c>
      <c r="Q3277">
        <v>0.02</v>
      </c>
      <c r="R3277" s="7" t="str">
        <f t="shared" si="66"/>
        <v>E:\附赠：Excel模板\精美EXCEL模板\网友极力推荐的Excel模板1000例</v>
      </c>
      <c r="S3277" s="9">
        <v>43600.3821759259</v>
      </c>
      <c r="T3277" s="9">
        <v>43390.5161805556</v>
      </c>
    </row>
    <row r="3278" spans="14:20">
      <c r="N3278" s="7" t="str">
        <f>HYPERLINK("E:\附赠：Excel模板\精美EXCEL模板\网友极力推荐的Excel模板1000例\仓库、通讯、财务(银行除外)及商用服务业指标.xls","仓库、通讯、财务(银行除外)及商用服务业指标.xls")</f>
        <v>仓库、通讯、财务(银行除外)及商用服务业指标.xls</v>
      </c>
      <c r="Q3278">
        <v>0.03</v>
      </c>
      <c r="R3278" s="7" t="str">
        <f t="shared" si="66"/>
        <v>E:\附赠：Excel模板\精美EXCEL模板\网友极力推荐的Excel模板1000例</v>
      </c>
      <c r="S3278" s="9">
        <v>43600.3821759259</v>
      </c>
      <c r="T3278" s="9">
        <v>43390.5168518519</v>
      </c>
    </row>
    <row r="3279" spans="14:20">
      <c r="N3279" s="7" t="str">
        <f>HYPERLINK("E:\附赠：Excel模板\精美EXCEL模板\网友极力推荐的Excel模板1000例\代理记账机构基础信息核对表.xls","代理记账机构基础信息核对表.xls")</f>
        <v>代理记账机构基础信息核对表.xls</v>
      </c>
      <c r="Q3279">
        <v>0.01</v>
      </c>
      <c r="R3279" s="7" t="str">
        <f t="shared" si="66"/>
        <v>E:\附赠：Excel模板\精美EXCEL模板\网友极力推荐的Excel模板1000例</v>
      </c>
      <c r="S3279" s="9">
        <v>43600.3821759259</v>
      </c>
      <c r="T3279" s="9">
        <v>43390.5167592593</v>
      </c>
    </row>
    <row r="3280" spans="14:20">
      <c r="N3280" s="7" t="str">
        <f>HYPERLINK("E:\附赠：Excel模板\精美EXCEL模板\网友极力推荐的Excel模板1000例\仪器设备使用费预算明细表.xls","仪器设备使用费预算明细表.xls")</f>
        <v>仪器设备使用费预算明细表.xls</v>
      </c>
      <c r="Q3280">
        <v>0.02</v>
      </c>
      <c r="R3280" s="7" t="str">
        <f t="shared" si="66"/>
        <v>E:\附赠：Excel模板\精美EXCEL模板\网友极力推荐的Excel模板1000例</v>
      </c>
      <c r="S3280" s="9">
        <v>43600.3821759259</v>
      </c>
      <c r="T3280" s="9">
        <v>43390.5157638889</v>
      </c>
    </row>
    <row r="3281" spans="14:20">
      <c r="N3281" s="7" t="str">
        <f>HYPERLINK("E:\附赠：Excel模板\精美EXCEL模板\网友极力推荐的Excel模板1000例\价格指数.xls","价格指数.xls")</f>
        <v>价格指数.xls</v>
      </c>
      <c r="Q3281">
        <v>0.03</v>
      </c>
      <c r="R3281" s="7" t="str">
        <f t="shared" si="66"/>
        <v>E:\附赠：Excel模板\精美EXCEL模板\网友极力推荐的Excel模板1000例</v>
      </c>
      <c r="S3281" s="9">
        <v>43600.3821759259</v>
      </c>
      <c r="T3281" s="9">
        <v>43390.5165046296</v>
      </c>
    </row>
    <row r="3282" spans="14:20">
      <c r="N3282" s="7" t="str">
        <f>HYPERLINK("E:\附赠：Excel模板\精美EXCEL模板\网友极力推荐的Excel模板1000例\价格查找.xls","价格查找.xls")</f>
        <v>价格查找.xls</v>
      </c>
      <c r="Q3282">
        <v>0.04</v>
      </c>
      <c r="R3282" s="7" t="str">
        <f t="shared" si="66"/>
        <v>E:\附赠：Excel模板\精美EXCEL模板\网友极力推荐的Excel模板1000例</v>
      </c>
      <c r="S3282" s="9">
        <v>43600.3821759259</v>
      </c>
      <c r="T3282" s="9">
        <v>43390.5165046296</v>
      </c>
    </row>
    <row r="3283" spans="14:20">
      <c r="N3283" s="7" t="str">
        <f>HYPERLINK("E:\附赠：Excel模板\精美EXCEL模板\网友极力推荐的Excel模板1000例\价格检查统计表.xls","价格检查统计表.xls")</f>
        <v>价格检查统计表.xls</v>
      </c>
      <c r="Q3283">
        <v>0.02</v>
      </c>
      <c r="R3283" s="7" t="str">
        <f t="shared" si="66"/>
        <v>E:\附赠：Excel模板\精美EXCEL模板\网友极力推荐的Excel模板1000例</v>
      </c>
      <c r="S3283" s="9">
        <v>43600.3821759259</v>
      </c>
      <c r="T3283" s="9">
        <v>43390.5165046296</v>
      </c>
    </row>
    <row r="3284" spans="14:20">
      <c r="N3284" s="7" t="str">
        <f>HYPERLINK("E:\附赠：Excel模板\精美EXCEL模板\网友极力推荐的Excel模板1000例\价格社会监督统计表.xls","价格社会监督统计表.xls")</f>
        <v>价格社会监督统计表.xls</v>
      </c>
      <c r="Q3284">
        <v>0.02</v>
      </c>
      <c r="R3284" s="7" t="str">
        <f t="shared" si="66"/>
        <v>E:\附赠：Excel模板\精美EXCEL模板\网友极力推荐的Excel模板1000例</v>
      </c>
      <c r="S3284" s="9">
        <v>43600.3821759259</v>
      </c>
      <c r="T3284" s="9">
        <v>43390.5165046296</v>
      </c>
    </row>
    <row r="3285" spans="14:20">
      <c r="N3285" s="7" t="str">
        <f>HYPERLINK("E:\附赠：Excel模板\精美EXCEL模板\网友极力推荐的Excel模板1000例\任职资格培训学员登记表.xls","任职资格培训学员登记表.xls")</f>
        <v>任职资格培训学员登记表.xls</v>
      </c>
      <c r="Q3285">
        <v>0.02</v>
      </c>
      <c r="R3285" s="7" t="str">
        <f t="shared" si="66"/>
        <v>E:\附赠：Excel模板\精美EXCEL模板\网友极力推荐的Excel模板1000例</v>
      </c>
      <c r="S3285" s="9">
        <v>43600.3821759259</v>
      </c>
      <c r="T3285" s="9">
        <v>43390.5161805556</v>
      </c>
    </row>
    <row r="3286" spans="14:20">
      <c r="N3286" s="7" t="str">
        <f>HYPERLINK("E:\附赠：Excel模板\精美EXCEL模板\网友极力推荐的Excel模板1000例\任职资格考试合格人员登记表.xls","任职资格考试合格人员登记表.xls")</f>
        <v>任职资格考试合格人员登记表.xls</v>
      </c>
      <c r="Q3286">
        <v>0.02</v>
      </c>
      <c r="R3286" s="7" t="str">
        <f t="shared" si="66"/>
        <v>E:\附赠：Excel模板\精美EXCEL模板\网友极力推荐的Excel模板1000例</v>
      </c>
      <c r="S3286" s="9">
        <v>43600.3821759259</v>
      </c>
      <c r="T3286" s="9">
        <v>43390.5161805556</v>
      </c>
    </row>
    <row r="3287" spans="14:20">
      <c r="N3287" s="7" t="str">
        <f>HYPERLINK("E:\附赠：Excel模板\精美EXCEL模板\网友极力推荐的Excel模板1000例\任课教师领书记录.xls","任课教师领书记录.xls")</f>
        <v>任课教师领书记录.xls</v>
      </c>
      <c r="Q3287">
        <v>0.01</v>
      </c>
      <c r="R3287" s="7" t="str">
        <f t="shared" si="66"/>
        <v>E:\附赠：Excel模板\精美EXCEL模板\网友极力推荐的Excel模板1000例</v>
      </c>
      <c r="S3287" s="9">
        <v>43600.3821759259</v>
      </c>
      <c r="T3287" s="9">
        <v>43390.5162037037</v>
      </c>
    </row>
    <row r="3288" spans="14:20">
      <c r="N3288" s="7" t="str">
        <f>HYPERLINK("E:\附赠：Excel模板\精美EXCEL模板\网友极力推荐的Excel模板1000例\企业专业技术人员基本情况表.xls","企业专业技术人员基本情况表.xls")</f>
        <v>企业专业技术人员基本情况表.xls</v>
      </c>
      <c r="Q3288">
        <v>0.02</v>
      </c>
      <c r="R3288" s="7" t="str">
        <f t="shared" si="66"/>
        <v>E:\附赠：Excel模板\精美EXCEL模板\网友极力推荐的Excel模板1000例</v>
      </c>
      <c r="S3288" s="9">
        <v>43600.3821759259</v>
      </c>
      <c r="T3288" s="9">
        <v>43390.5162268519</v>
      </c>
    </row>
    <row r="3289" spans="14:20">
      <c r="N3289" s="7" t="str">
        <f>HYPERLINK("E:\附赠：Excel模板\精美EXCEL模板\网友极力推荐的Excel模板1000例\企业人员培训情况表.xls","企业人员培训情况表.xls")</f>
        <v>企业人员培训情况表.xls</v>
      </c>
      <c r="Q3289">
        <v>0.02</v>
      </c>
      <c r="R3289" s="7" t="str">
        <f t="shared" si="66"/>
        <v>E:\附赠：Excel模板\精美EXCEL模板\网友极力推荐的Excel模板1000例</v>
      </c>
      <c r="S3289" s="9">
        <v>43600.3821759259</v>
      </c>
      <c r="T3289" s="9">
        <v>43390.51625</v>
      </c>
    </row>
    <row r="3290" spans="14:20">
      <c r="N3290" s="7" t="str">
        <f>HYPERLINK("E:\附赠：Excel模板\精美EXCEL模板\网友极力推荐的Excel模板1000例\企业利润表.xls","企业利润表.xls")</f>
        <v>企业利润表.xls</v>
      </c>
      <c r="Q3290">
        <v>0.02</v>
      </c>
      <c r="R3290" s="7" t="str">
        <f t="shared" si="66"/>
        <v>E:\附赠：Excel模板\精美EXCEL模板\网友极力推荐的Excel模板1000例</v>
      </c>
      <c r="S3290" s="9">
        <v>43600.3821759259</v>
      </c>
      <c r="T3290" s="9">
        <v>43390.51625</v>
      </c>
    </row>
    <row r="3291" spans="14:20">
      <c r="N3291" s="7" t="str">
        <f>HYPERLINK("E:\附赠：Excel模板\精美EXCEL模板\网友极力推荐的Excel模板1000例\企业商贸旅游业发展和网点建设财政资助项目审批表.xls","企业商贸旅游业发展和网点建设财政资助项目审批表.xls")</f>
        <v>企业商贸旅游业发展和网点建设财政资助项目审批表.xls</v>
      </c>
      <c r="Q3291">
        <v>0.02</v>
      </c>
      <c r="R3291" s="7" t="str">
        <f t="shared" si="66"/>
        <v>E:\附赠：Excel模板\精美EXCEL模板\网友极力推荐的Excel模板1000例</v>
      </c>
      <c r="S3291" s="9">
        <v>43600.3821759259</v>
      </c>
      <c r="T3291" s="9">
        <v>43390.51625</v>
      </c>
    </row>
    <row r="3292" spans="14:20">
      <c r="N3292" s="7" t="str">
        <f>HYPERLINK("E:\附赠：Excel模板\精美EXCEL模板\网友极力推荐的Excel模板1000例\企业年报.xls","企业年报.xls")</f>
        <v>企业年报.xls</v>
      </c>
      <c r="Q3292">
        <v>0.04</v>
      </c>
      <c r="R3292" s="7" t="str">
        <f t="shared" si="66"/>
        <v>E:\附赠：Excel模板\精美EXCEL模板\网友极力推荐的Excel模板1000例</v>
      </c>
      <c r="S3292" s="9">
        <v>43600.3821759259</v>
      </c>
      <c r="T3292" s="9">
        <v>43390.51625</v>
      </c>
    </row>
    <row r="3293" spans="14:20">
      <c r="N3293" s="7" t="str">
        <f>HYPERLINK("E:\附赠：Excel模板\精美EXCEL模板\网友极力推荐的Excel模板1000例\企业所得税纳税申报表.xls","企业所得税纳税申报表.xls")</f>
        <v>企业所得税纳税申报表.xls</v>
      </c>
      <c r="Q3293">
        <v>0.02</v>
      </c>
      <c r="R3293" s="7" t="str">
        <f t="shared" si="66"/>
        <v>E:\附赠：Excel模板\精美EXCEL模板\网友极力推荐的Excel模板1000例</v>
      </c>
      <c r="S3293" s="9">
        <v>43600.3821759259</v>
      </c>
      <c r="T3293" s="9">
        <v>43390.51625</v>
      </c>
    </row>
    <row r="3294" spans="14:20">
      <c r="N3294" s="7" t="str">
        <f>HYPERLINK("E:\附赠：Excel模板\精美EXCEL模板\网友极力推荐的Excel模板1000例\企业报告与出口收汇核销.xls","企业报告与出口收汇核销.xls")</f>
        <v>企业报告与出口收汇核销.xls</v>
      </c>
      <c r="Q3294">
        <v>0.03</v>
      </c>
      <c r="R3294" s="7" t="str">
        <f t="shared" si="66"/>
        <v>E:\附赠：Excel模板\精美EXCEL模板\网友极力推荐的Excel模板1000例</v>
      </c>
      <c r="S3294" s="9">
        <v>43600.3821759259</v>
      </c>
      <c r="T3294" s="9">
        <v>43390.51625</v>
      </c>
    </row>
    <row r="3295" spans="14:20">
      <c r="N3295" s="7" t="str">
        <f>HYPERLINK("E:\附赠：Excel模板\精美EXCEL模板\网友极力推荐的Excel模板1000例\企业报税总表.xls","企业报税总表.xls")</f>
        <v>企业报税总表.xls</v>
      </c>
      <c r="Q3295">
        <v>0.02</v>
      </c>
      <c r="R3295" s="7" t="str">
        <f t="shared" si="66"/>
        <v>E:\附赠：Excel模板\精美EXCEL模板\网友极力推荐的Excel模板1000例</v>
      </c>
      <c r="S3295" s="9">
        <v>43600.3821759259</v>
      </c>
      <c r="T3295" s="9">
        <v>43390.51625</v>
      </c>
    </row>
    <row r="3296" spans="14:20">
      <c r="N3296" s="7" t="str">
        <f>HYPERLINK("E:\附赠：Excel模板\精美EXCEL模板\网友极力推荐的Excel模板1000例\企业法人基本情况表.xls","企业法人基本情况表.xls")</f>
        <v>企业法人基本情况表.xls</v>
      </c>
      <c r="Q3296">
        <v>0.02</v>
      </c>
      <c r="R3296" s="7" t="str">
        <f t="shared" si="66"/>
        <v>E:\附赠：Excel模板\精美EXCEL模板\网友极力推荐的Excel模板1000例</v>
      </c>
      <c r="S3296" s="9">
        <v>43600.3821759259</v>
      </c>
      <c r="T3296" s="9">
        <v>43390.51625</v>
      </c>
    </row>
    <row r="3297" spans="14:20">
      <c r="N3297" s="7" t="str">
        <f>HYPERLINK("E:\附赠：Excel模板\精美EXCEL模板\网友极力推荐的Excel模板1000例\企业特殊技术人才基本情况表.xls","企业特殊技术人才基本情况表.xls")</f>
        <v>企业特殊技术人才基本情况表.xls</v>
      </c>
      <c r="Q3297">
        <v>0.02</v>
      </c>
      <c r="R3297" s="7" t="str">
        <f t="shared" si="66"/>
        <v>E:\附赠：Excel模板\精美EXCEL模板\网友极力推荐的Excel模板1000例</v>
      </c>
      <c r="S3297" s="9">
        <v>43600.3821759259</v>
      </c>
      <c r="T3297" s="9">
        <v>43390.5162268519</v>
      </c>
    </row>
    <row r="3298" spans="14:20">
      <c r="N3298" s="7" t="str">
        <f>HYPERLINK("E:\附赠：Excel模板\精美EXCEL模板\网友极力推荐的Excel模板1000例\企业现金流量表.xls","企业现金流量表.xls")</f>
        <v>企业现金流量表.xls</v>
      </c>
      <c r="Q3298">
        <v>0.02</v>
      </c>
      <c r="R3298" s="7" t="str">
        <f t="shared" si="66"/>
        <v>E:\附赠：Excel模板\精美EXCEL模板\网友极力推荐的Excel模板1000例</v>
      </c>
      <c r="S3298" s="9">
        <v>43600.3821759259</v>
      </c>
      <c r="T3298" s="9">
        <v>43390.5162268519</v>
      </c>
    </row>
    <row r="3299" spans="14:20">
      <c r="N3299" s="7" t="str">
        <f>HYPERLINK("E:\附赠：Excel模板\精美EXCEL模板\网友极力推荐的Excel模板1000例\企业申报说明.xls","企业申报说明.xls")</f>
        <v>企业申报说明.xls</v>
      </c>
      <c r="Q3299">
        <v>0.02</v>
      </c>
      <c r="R3299" s="7" t="str">
        <f t="shared" si="66"/>
        <v>E:\附赠：Excel模板\精美EXCEL模板\网友极力推荐的Excel模板1000例</v>
      </c>
      <c r="S3299" s="9">
        <v>43600.3821759259</v>
      </c>
      <c r="T3299" s="9">
        <v>43390.5162268519</v>
      </c>
    </row>
    <row r="3300" spans="14:20">
      <c r="N3300" s="7" t="str">
        <f>HYPERLINK("E:\附赠：Excel模板\精美EXCEL模板\网友极力推荐的Excel模板1000例\企业经营管理人员基本情况表.xls","企业经营管理人员基本情况表.xls")</f>
        <v>企业经营管理人员基本情况表.xls</v>
      </c>
      <c r="Q3300">
        <v>0.03</v>
      </c>
      <c r="R3300" s="7" t="str">
        <f t="shared" si="66"/>
        <v>E:\附赠：Excel模板\精美EXCEL模板\网友极力推荐的Excel模板1000例</v>
      </c>
      <c r="S3300" s="9">
        <v>43600.3821759259</v>
      </c>
      <c r="T3300" s="9">
        <v>43390.51625</v>
      </c>
    </row>
    <row r="3301" spans="14:20">
      <c r="N3301" s="7" t="str">
        <f>HYPERLINK("E:\附赠：Excel模板\精美EXCEL模板\网友极力推荐的Excel模板1000例\企业财务会计主要指标快报表.xls","企业财务会计主要指标快报表.xls")</f>
        <v>企业财务会计主要指标快报表.xls</v>
      </c>
      <c r="Q3301">
        <v>0.01</v>
      </c>
      <c r="R3301" s="7" t="str">
        <f t="shared" si="66"/>
        <v>E:\附赠：Excel模板\精美EXCEL模板\网友极力推荐的Excel模板1000例</v>
      </c>
      <c r="S3301" s="9">
        <v>43600.3821759259</v>
      </c>
      <c r="T3301" s="9">
        <v>43390.51625</v>
      </c>
    </row>
    <row r="3302" spans="14:20">
      <c r="N3302" s="7" t="str">
        <f>HYPERLINK("E:\附赠：Excel模板\精美EXCEL模板\网友极力推荐的Excel模板1000例\企业财务会计月报主要指标表.xls","企业财务会计月报主要指标表.xls")</f>
        <v>企业财务会计月报主要指标表.xls</v>
      </c>
      <c r="Q3302">
        <v>0.02</v>
      </c>
      <c r="R3302" s="7" t="str">
        <f t="shared" si="66"/>
        <v>E:\附赠：Excel模板\精美EXCEL模板\网友极力推荐的Excel模板1000例</v>
      </c>
      <c r="S3302" s="9">
        <v>43600.3821759259</v>
      </c>
      <c r="T3302" s="9">
        <v>43390.51625</v>
      </c>
    </row>
    <row r="3303" spans="14:20">
      <c r="N3303" s="7" t="str">
        <f>HYPERLINK("E:\附赠：Excel模板\精美EXCEL模板\网友极力推荐的Excel模板1000例\企业财务会计月报附列指标表.xls","企业财务会计月报附列指标表.xls")</f>
        <v>企业财务会计月报附列指标表.xls</v>
      </c>
      <c r="Q3303">
        <v>0.03</v>
      </c>
      <c r="R3303" s="7" t="str">
        <f t="shared" si="66"/>
        <v>E:\附赠：Excel模板\精美EXCEL模板\网友极力推荐的Excel模板1000例</v>
      </c>
      <c r="S3303" s="9">
        <v>43600.3821759259</v>
      </c>
      <c r="T3303" s="9">
        <v>43390.51625</v>
      </c>
    </row>
    <row r="3304" spans="14:20">
      <c r="N3304" s="7" t="str">
        <f>HYPERLINK("E:\附赠：Excel模板\精美EXCEL模板\网友极力推荐的Excel模板1000例\企业财务快报汇总表.xls","企业财务快报汇总表.xls")</f>
        <v>企业财务快报汇总表.xls</v>
      </c>
      <c r="Q3304">
        <v>0.03</v>
      </c>
      <c r="R3304" s="7" t="str">
        <f t="shared" si="66"/>
        <v>E:\附赠：Excel模板\精美EXCEL模板\网友极力推荐的Excel模板1000例</v>
      </c>
      <c r="S3304" s="9">
        <v>43600.3821759259</v>
      </c>
      <c r="T3304" s="9">
        <v>43390.51625</v>
      </c>
    </row>
    <row r="3305" spans="14:20">
      <c r="N3305" s="7" t="str">
        <f>HYPERLINK("E:\附赠：Excel模板\精美EXCEL模板\网友极力推荐的Excel模板1000例\企业进料对帐表.xls","企业进料对帐表.xls")</f>
        <v>企业进料对帐表.xls</v>
      </c>
      <c r="Q3305">
        <v>0.05</v>
      </c>
      <c r="R3305" s="7" t="str">
        <f t="shared" si="66"/>
        <v>E:\附赠：Excel模板\精美EXCEL模板\网友极力推荐的Excel模板1000例</v>
      </c>
      <c r="S3305" s="9">
        <v>43600.3821759259</v>
      </c>
      <c r="T3305" s="9">
        <v>43390.51625</v>
      </c>
    </row>
    <row r="3306" spans="14:20">
      <c r="N3306" s="7" t="str">
        <f>HYPERLINK("E:\附赠：Excel模板\精美EXCEL模板\网友极力推荐的Excel模板1000例\企业银行资金回笼表.xls","企业银行资金回笼表.xls")</f>
        <v>企业银行资金回笼表.xls</v>
      </c>
      <c r="Q3306">
        <v>0.02</v>
      </c>
      <c r="R3306" s="7" t="str">
        <f t="shared" si="66"/>
        <v>E:\附赠：Excel模板\精美EXCEL模板\网友极力推荐的Excel模板1000例</v>
      </c>
      <c r="S3306" s="9">
        <v>43600.3821759259</v>
      </c>
      <c r="T3306" s="9">
        <v>43390.5162268519</v>
      </c>
    </row>
    <row r="3307" spans="14:20">
      <c r="N3307" s="7" t="str">
        <f>HYPERLINK("E:\附赠：Excel模板\精美EXCEL模板\网友极力推荐的Excel模板1000例\企管生产管理类课程安排.xls","企管生产管理类课程安排.xls")</f>
        <v>企管生产管理类课程安排.xls</v>
      </c>
      <c r="Q3307">
        <v>0.02</v>
      </c>
      <c r="R3307" s="7" t="str">
        <f t="shared" si="66"/>
        <v>E:\附赠：Excel模板\精美EXCEL模板\网友极力推荐的Excel模板1000例</v>
      </c>
      <c r="S3307" s="9">
        <v>43600.3821759259</v>
      </c>
      <c r="T3307" s="9">
        <v>43390.51625</v>
      </c>
    </row>
    <row r="3308" spans="14:20">
      <c r="N3308" s="7" t="str">
        <f>HYPERLINK("E:\附赠：Excel模板\精美EXCEL模板\网友极力推荐的Excel模板1000例\会员费用结算表.xls","会员费用结算表.xls")</f>
        <v>会员费用结算表.xls</v>
      </c>
      <c r="Q3308">
        <v>0.02</v>
      </c>
      <c r="R3308" s="7" t="str">
        <f t="shared" si="66"/>
        <v>E:\附赠：Excel模板\精美EXCEL模板\网友极力推荐的Excel模板1000例</v>
      </c>
      <c r="S3308" s="9">
        <v>43600.3821759259</v>
      </c>
      <c r="T3308" s="9">
        <v>43390.5165740741</v>
      </c>
    </row>
    <row r="3309" spans="14:20">
      <c r="N3309" s="7" t="str">
        <f>HYPERLINK("E:\附赠：Excel模板\精美EXCEL模板\网友极力推荐的Excel模板1000例\会计从业资格信息登记表.xls","会计从业资格信息登记表.xls")</f>
        <v>会计从业资格信息登记表.xls</v>
      </c>
      <c r="Q3309">
        <v>0.04</v>
      </c>
      <c r="R3309" s="7" t="str">
        <f t="shared" si="66"/>
        <v>E:\附赠：Excel模板\精美EXCEL模板\网友极力推荐的Excel模板1000例</v>
      </c>
      <c r="S3309" s="9">
        <v>43600.3821759259</v>
      </c>
      <c r="T3309" s="9">
        <v>43390.5165740741</v>
      </c>
    </row>
    <row r="3310" spans="14:20">
      <c r="N3310" s="7" t="str">
        <f>HYPERLINK("E:\附赠：Excel模板\精美EXCEL模板\网友极力推荐的Excel模板1000例\会计学专业教学计划进程表.xls","会计学专业教学计划进程表.xls")</f>
        <v>会计学专业教学计划进程表.xls</v>
      </c>
      <c r="Q3310">
        <v>0.02</v>
      </c>
      <c r="R3310" s="7" t="str">
        <f t="shared" si="66"/>
        <v>E:\附赠：Excel模板\精美EXCEL模板\网友极力推荐的Excel模板1000例</v>
      </c>
      <c r="S3310" s="9">
        <v>43600.3821759259</v>
      </c>
      <c r="T3310" s="9">
        <v>43390.5165740741</v>
      </c>
    </row>
    <row r="3311" spans="14:20">
      <c r="N3311" s="7" t="str">
        <f>HYPERLINK("E:\附赠：Excel模板\精美EXCEL模板\网友极力推荐的Excel模板1000例\低保家庭救助名册.xls","低保家庭救助名册.xls")</f>
        <v>低保家庭救助名册.xls</v>
      </c>
      <c r="Q3311">
        <v>0.06</v>
      </c>
      <c r="R3311" s="7" t="str">
        <f t="shared" si="66"/>
        <v>E:\附赠：Excel模板\精美EXCEL模板\网友极力推荐的Excel模板1000例</v>
      </c>
      <c r="S3311" s="9">
        <v>43600.3821759259</v>
      </c>
      <c r="T3311" s="9">
        <v>43390.5167361111</v>
      </c>
    </row>
    <row r="3312" spans="14:20">
      <c r="N3312" s="7" t="str">
        <f>HYPERLINK("E:\附赠：Excel模板\精美EXCEL模板\网友极力推荐的Excel模板1000例\住房公积金信息情况核对登记表.xls","住房公积金信息情况核对登记表.xls")</f>
        <v>住房公积金信息情况核对登记表.xls</v>
      </c>
      <c r="Q3312">
        <v>0.02</v>
      </c>
      <c r="R3312" s="7" t="str">
        <f t="shared" si="66"/>
        <v>E:\附赠：Excel模板\精美EXCEL模板\网友极力推荐的Excel模板1000例</v>
      </c>
      <c r="S3312" s="9">
        <v>43600.3821759259</v>
      </c>
      <c r="T3312" s="9">
        <v>43390.5156481481</v>
      </c>
    </row>
    <row r="3313" spans="14:20">
      <c r="N3313" s="7" t="str">
        <f>HYPERLINK("E:\附赠：Excel模板\精美EXCEL模板\网友极力推荐的Excel模板1000例\住房公积金汇缴清册.xls","住房公积金汇缴清册.xls")</f>
        <v>住房公积金汇缴清册.xls</v>
      </c>
      <c r="Q3313">
        <v>0.26</v>
      </c>
      <c r="R3313" s="7" t="str">
        <f t="shared" si="66"/>
        <v>E:\附赠：Excel模板\精美EXCEL模板\网友极力推荐的Excel模板1000例</v>
      </c>
      <c r="S3313" s="9">
        <v>43600.3821759259</v>
      </c>
      <c r="T3313" s="9">
        <v>43608.9516898148</v>
      </c>
    </row>
    <row r="3314" spans="14:20">
      <c r="N3314" s="7" t="str">
        <f>HYPERLINK("E:\附赠：Excel模板\精美EXCEL模板\网友极力推荐的Excel模板1000例\住房补贴支出预算明细表.xls","住房补贴支出预算明细表.xls")</f>
        <v>住房补贴支出预算明细表.xls</v>
      </c>
      <c r="Q3314">
        <v>0.02</v>
      </c>
      <c r="R3314" s="7" t="str">
        <f t="shared" si="66"/>
        <v>E:\附赠：Excel模板\精美EXCEL模板\网友极力推荐的Excel模板1000例</v>
      </c>
      <c r="S3314" s="9">
        <v>43600.3821759259</v>
      </c>
      <c r="T3314" s="9">
        <v>43390.5156481481</v>
      </c>
    </row>
    <row r="3315" spans="14:20">
      <c r="N3315" s="7" t="str">
        <f>HYPERLINK("E:\附赠：Excel模板\精美EXCEL模板\网友极力推荐的Excel模板1000例\住房补贴资金职工提取情况表.xls","住房补贴资金职工提取情况表.xls")</f>
        <v>住房补贴资金职工提取情况表.xls</v>
      </c>
      <c r="Q3315">
        <v>0.02</v>
      </c>
      <c r="R3315" s="7" t="str">
        <f t="shared" si="66"/>
        <v>E:\附赠：Excel模板\精美EXCEL模板\网友极力推荐的Excel模板1000例</v>
      </c>
      <c r="S3315" s="9">
        <v>43600.3821759259</v>
      </c>
      <c r="T3315" s="9">
        <v>43390.5156481481</v>
      </c>
    </row>
    <row r="3316" spans="14:20">
      <c r="N3316" s="7" t="str">
        <f>HYPERLINK("E:\附赠：Excel模板\精美EXCEL模板\网友极力推荐的Excel模板1000例\使用双语授课的课程一览表.xls","使用双语授课的课程一览表.xls")</f>
        <v>使用双语授课的课程一览表.xls</v>
      </c>
      <c r="Q3316">
        <v>0.02</v>
      </c>
      <c r="R3316" s="7" t="str">
        <f t="shared" si="66"/>
        <v>E:\附赠：Excel模板\精美EXCEL模板\网友极力推荐的Excel模板1000例</v>
      </c>
      <c r="S3316" s="9">
        <v>43600.3821759259</v>
      </c>
      <c r="T3316" s="9">
        <v>43390.5161342593</v>
      </c>
    </row>
    <row r="3317" spans="14:20">
      <c r="N3317" s="7" t="str">
        <f>HYPERLINK("E:\附赠：Excel模板\精美EXCEL模板\网友极力推荐的Excel模板1000例\供应商发展策略和计划.xls","供应商发展策略和计划.xls")</f>
        <v>供应商发展策略和计划.xls</v>
      </c>
      <c r="Q3317">
        <v>0.01</v>
      </c>
      <c r="R3317" s="7" t="str">
        <f t="shared" si="66"/>
        <v>E:\附赠：Excel模板\精美EXCEL模板\网友极力推荐的Excel模板1000例</v>
      </c>
      <c r="S3317" s="9">
        <v>43600.3821759259</v>
      </c>
      <c r="T3317" s="9">
        <v>43390.5166435185</v>
      </c>
    </row>
    <row r="3318" spans="14:20">
      <c r="N3318" s="7" t="str">
        <f>HYPERLINK("E:\附赠：Excel模板\精美EXCEL模板\网友极力推荐的Excel模板1000例\供应商资料.xls","供应商资料.xls")</f>
        <v>供应商资料.xls</v>
      </c>
      <c r="Q3318">
        <v>0.02</v>
      </c>
      <c r="R3318" s="7" t="str">
        <f t="shared" si="66"/>
        <v>E:\附赠：Excel模板\精美EXCEL模板\网友极力推荐的Excel模板1000例</v>
      </c>
      <c r="S3318" s="9">
        <v>43600.3821759259</v>
      </c>
      <c r="T3318" s="9">
        <v>43390.5166666667</v>
      </c>
    </row>
    <row r="3319" spans="14:20">
      <c r="N3319" s="7" t="str">
        <f>HYPERLINK("E:\附赠：Excel模板\精美EXCEL模板\网友极力推荐的Excel模板1000例\供热企业收耗存煤日报表.xls","供热企业收耗存煤日报表.xls")</f>
        <v>供热企业收耗存煤日报表.xls</v>
      </c>
      <c r="Q3319">
        <v>0.04</v>
      </c>
      <c r="R3319" s="7" t="str">
        <f t="shared" si="66"/>
        <v>E:\附赠：Excel模板\精美EXCEL模板\网友极力推荐的Excel模板1000例</v>
      </c>
      <c r="S3319" s="9">
        <v>43600.3821759259</v>
      </c>
      <c r="T3319" s="9">
        <v>43390.5166435185</v>
      </c>
    </row>
    <row r="3320" spans="14:20">
      <c r="N3320" s="7" t="str">
        <f>HYPERLINK("E:\附赠：Excel模板\精美EXCEL模板\网友极力推荐的Excel模板1000例\供销合作社企业补充指标表.xls","供销合作社企业补充指标表.xls")</f>
        <v>供销合作社企业补充指标表.xls</v>
      </c>
      <c r="Q3320">
        <v>0.02</v>
      </c>
      <c r="R3320" s="7" t="str">
        <f t="shared" si="66"/>
        <v>E:\附赠：Excel模板\精美EXCEL模板\网友极力推荐的Excel模板1000例</v>
      </c>
      <c r="S3320" s="9">
        <v>43600.3821759259</v>
      </c>
      <c r="T3320" s="9">
        <v>43390.5166435185</v>
      </c>
    </row>
    <row r="3321" spans="14:20">
      <c r="N3321" s="7" t="str">
        <f>HYPERLINK("E:\附赠：Excel模板\精美EXCEL模板\网友极力推荐的Excel模板1000例\保证类房贷险业务统计表.xls","保证类房贷险业务统计表.xls")</f>
        <v>保证类房贷险业务统计表.xls</v>
      </c>
      <c r="Q3321">
        <v>0.02</v>
      </c>
      <c r="R3321" s="7" t="str">
        <f t="shared" si="66"/>
        <v>E:\附赠：Excel模板\精美EXCEL模板\网友极力推荐的Excel模板1000例</v>
      </c>
      <c r="S3321" s="9">
        <v>43600.3821759259</v>
      </c>
      <c r="T3321" s="9">
        <v>43390.5169212963</v>
      </c>
    </row>
    <row r="3322" spans="14:20">
      <c r="N3322" s="7" t="str">
        <f>HYPERLINK("E:\附赠：Excel模板\精美EXCEL模板\网友极力推荐的Excel模板1000例\保险业利润费用表.xls","保险业利润费用表.xls")</f>
        <v>保险业利润费用表.xls</v>
      </c>
      <c r="Q3322">
        <v>0.02</v>
      </c>
      <c r="R3322" s="7" t="str">
        <f t="shared" si="66"/>
        <v>E:\附赠：Excel模板\精美EXCEL模板\网友极力推荐的Excel模板1000例</v>
      </c>
      <c r="S3322" s="9">
        <v>43600.3821759259</v>
      </c>
      <c r="T3322" s="9">
        <v>43390.5169212963</v>
      </c>
    </row>
    <row r="3323" spans="14:20">
      <c r="N3323" s="7" t="str">
        <f>HYPERLINK("E:\附赠：Excel模板\精美EXCEL模板\网友极力推荐的Excel模板1000例\保险业资产负债表.xls","保险业资产负债表.xls")</f>
        <v>保险业资产负债表.xls</v>
      </c>
      <c r="Q3323">
        <v>0.02</v>
      </c>
      <c r="R3323" s="7" t="str">
        <f t="shared" si="66"/>
        <v>E:\附赠：Excel模板\精美EXCEL模板\网友极力推荐的Excel模板1000例</v>
      </c>
      <c r="S3323" s="9">
        <v>43600.3821759259</v>
      </c>
      <c r="T3323" s="9">
        <v>43390.5169212963</v>
      </c>
    </row>
    <row r="3324" spans="14:20">
      <c r="N3324" s="7" t="str">
        <f>HYPERLINK("E:\附赠：Excel模板\精美EXCEL模板\网友极力推荐的Excel模板1000例\保险公司分支机构变更事项明细表.xls","保险公司分支机构变更事项明细表.xls")</f>
        <v>保险公司分支机构变更事项明细表.xls</v>
      </c>
      <c r="Q3324">
        <v>0.02</v>
      </c>
      <c r="R3324" s="7" t="str">
        <f t="shared" si="66"/>
        <v>E:\附赠：Excel模板\精美EXCEL模板\网友极力推荐的Excel模板1000例</v>
      </c>
      <c r="S3324" s="9">
        <v>43600.3821759259</v>
      </c>
      <c r="T3324" s="9">
        <v>43390.5169444444</v>
      </c>
    </row>
    <row r="3325" spans="14:20">
      <c r="N3325" s="7" t="str">
        <f>HYPERLINK("E:\附赠：Excel模板\精美EXCEL模板\网友极力推荐的Excel模板1000例\保险公司分支机构合并事项明细表.xls","保险公司分支机构合并事项明细表.xls")</f>
        <v>保险公司分支机构合并事项明细表.xls</v>
      </c>
      <c r="Q3325">
        <v>0.02</v>
      </c>
      <c r="R3325" s="7" t="str">
        <f t="shared" si="66"/>
        <v>E:\附赠：Excel模板\精美EXCEL模板\网友极力推荐的Excel模板1000例</v>
      </c>
      <c r="S3325" s="9">
        <v>43600.3821759259</v>
      </c>
      <c r="T3325" s="9">
        <v>43390.5169212963</v>
      </c>
    </row>
    <row r="3326" spans="14:20">
      <c r="N3326" s="7" t="str">
        <f>HYPERLINK("E:\附赠：Excel模板\精美EXCEL模板\网友极力推荐的Excel模板1000例\保险公司分支机构撤销事项明细表.xls","保险公司分支机构撤销事项明细表.xls")</f>
        <v>保险公司分支机构撤销事项明细表.xls</v>
      </c>
      <c r="Q3326">
        <v>0.02</v>
      </c>
      <c r="R3326" s="7" t="str">
        <f t="shared" si="66"/>
        <v>E:\附赠：Excel模板\精美EXCEL模板\网友极力推荐的Excel模板1000例</v>
      </c>
      <c r="S3326" s="9">
        <v>43600.3821759259</v>
      </c>
      <c r="T3326" s="9">
        <v>43390.5169212963</v>
      </c>
    </row>
    <row r="3327" spans="14:20">
      <c r="N3327" s="7" t="str">
        <f>HYPERLINK("E:\附赠：Excel模板\精美EXCEL模板\网友极力推荐的Excel模板1000例\保险公司分支机构设立明细表.xls","保险公司分支机构设立明细表.xls")</f>
        <v>保险公司分支机构设立明细表.xls</v>
      </c>
      <c r="Q3327">
        <v>0.02</v>
      </c>
      <c r="R3327" s="7" t="str">
        <f t="shared" si="66"/>
        <v>E:\附赠：Excel模板\精美EXCEL模板\网友极力推荐的Excel模板1000例</v>
      </c>
      <c r="S3327" s="9">
        <v>43600.3821759259</v>
      </c>
      <c r="T3327" s="9">
        <v>43390.5169212963</v>
      </c>
    </row>
    <row r="3328" spans="14:20">
      <c r="N3328" s="7" t="str">
        <f>HYPERLINK("E:\附赠：Excel模板\精美EXCEL模板\网友极力推荐的Excel模板1000例\信息服务企业情况调查表.xls","信息服务企业情况调查表.xls")</f>
        <v>信息服务企业情况调查表.xls</v>
      </c>
      <c r="Q3328">
        <v>0.02</v>
      </c>
      <c r="R3328" s="7" t="str">
        <f t="shared" si="66"/>
        <v>E:\附赠：Excel模板\精美EXCEL模板\网友极力推荐的Excel模板1000例</v>
      </c>
      <c r="S3328" s="9">
        <v>43600.3821759259</v>
      </c>
      <c r="T3328" s="9">
        <v>43390.5159027778</v>
      </c>
    </row>
    <row r="3329" spans="14:20">
      <c r="N3329" s="7" t="str">
        <f>HYPERLINK("E:\附赠：Excel模板\精美EXCEL模板\网友极力推荐的Excel模板1000例\信用管理企业业绩情况统计表.xls","信用管理企业业绩情况统计表.xls")</f>
        <v>信用管理企业业绩情况统计表.xls</v>
      </c>
      <c r="Q3329">
        <v>0.03</v>
      </c>
      <c r="R3329" s="7" t="str">
        <f t="shared" si="66"/>
        <v>E:\附赠：Excel模板\精美EXCEL模板\网友极力推荐的Excel模板1000例</v>
      </c>
      <c r="S3329" s="9">
        <v>43600.3821759259</v>
      </c>
      <c r="T3329" s="9">
        <v>43390.5159027778</v>
      </c>
    </row>
    <row r="3330" spans="14:20">
      <c r="N3330" s="7" t="str">
        <f>HYPERLINK("E:\附赠：Excel模板\精美EXCEL模板\网友极力推荐的Excel模板1000例\俱乐部入会申请表.xls","俱乐部入会申请表.xls")</f>
        <v>俱乐部入会申请表.xls</v>
      </c>
      <c r="Q3330">
        <v>0.02</v>
      </c>
      <c r="R3330" s="7" t="str">
        <f t="shared" ref="R3330:R3393" si="67">HYPERLINK("E:\附赠：Excel模板\精美EXCEL模板\网友极力推荐的Excel模板1000例","E:\附赠：Excel模板\精美EXCEL模板\网友极力推荐的Excel模板1000例")</f>
        <v>E:\附赠：Excel模板\精美EXCEL模板\网友极力推荐的Excel模板1000例</v>
      </c>
      <c r="S3330" s="9">
        <v>43600.3821759259</v>
      </c>
      <c r="T3330" s="9">
        <v>43390.5164351852</v>
      </c>
    </row>
    <row r="3331" spans="14:20">
      <c r="N3331" s="7" t="str">
        <f>HYPERLINK("E:\附赠：Excel模板\精美EXCEL模板\网友极力推荐的Excel模板1000例\候选人名单.xls","候选人名单.xls")</f>
        <v>候选人名单.xls</v>
      </c>
      <c r="Q3331">
        <v>0.05</v>
      </c>
      <c r="R3331" s="7" t="str">
        <f t="shared" si="67"/>
        <v>E:\附赠：Excel模板\精美EXCEL模板\网友极力推荐的Excel模板1000例</v>
      </c>
      <c r="S3331" s="9">
        <v>43600.3821759259</v>
      </c>
      <c r="T3331" s="9">
        <v>43390.5165740741</v>
      </c>
    </row>
    <row r="3332" spans="14:20">
      <c r="N3332" s="7" t="str">
        <f>HYPERLINK("E:\附赠：Excel模板\精美EXCEL模板\网友极力推荐的Excel模板1000例\债权资产调查表.xls","债权资产调查表.xls")</f>
        <v>债权资产调查表.xls</v>
      </c>
      <c r="Q3332">
        <v>0.02</v>
      </c>
      <c r="R3332" s="7" t="str">
        <f t="shared" si="67"/>
        <v>E:\附赠：Excel模板\精美EXCEL模板\网友极力推荐的Excel模板1000例</v>
      </c>
      <c r="S3332" s="9">
        <v>43600.3821759259</v>
      </c>
      <c r="T3332" s="9">
        <v>43390.5157175926</v>
      </c>
    </row>
    <row r="3333" spans="14:20">
      <c r="N3333" s="7" t="str">
        <f>HYPERLINK("E:\附赠：Excel模板\精美EXCEL模板\网友极力推荐的Excel模板1000例\值班表.xls","值班表.xls")</f>
        <v>值班表.xls</v>
      </c>
      <c r="Q3333">
        <v>0.02</v>
      </c>
      <c r="R3333" s="7" t="str">
        <f t="shared" si="67"/>
        <v>E:\附赠：Excel模板\精美EXCEL模板\网友极力推荐的Excel模板1000例</v>
      </c>
      <c r="S3333" s="9">
        <v>43600.3821759259</v>
      </c>
      <c r="T3333" s="9">
        <v>43390.5156712963</v>
      </c>
    </row>
    <row r="3334" spans="14:20">
      <c r="N3334" s="7" t="str">
        <f>HYPERLINK("E:\附赠：Excel模板\精美EXCEL模板\网友极力推荐的Excel模板1000例\值班表2.xls","值班表2.xls")</f>
        <v>值班表2.xls</v>
      </c>
      <c r="Q3334">
        <v>0.02</v>
      </c>
      <c r="R3334" s="7" t="str">
        <f t="shared" si="67"/>
        <v>E:\附赠：Excel模板\精美EXCEL模板\网友极力推荐的Excel模板1000例</v>
      </c>
      <c r="S3334" s="9">
        <v>43600.3821759259</v>
      </c>
      <c r="T3334" s="9">
        <v>43390.5156712963</v>
      </c>
    </row>
    <row r="3335" spans="14:20">
      <c r="N3335" s="7" t="str">
        <f>HYPERLINK("E:\附赠：Excel模板\精美EXCEL模板\网友极力推荐的Excel模板1000例\假期值班安排表.xls","假期值班安排表.xls")</f>
        <v>假期值班安排表.xls</v>
      </c>
      <c r="Q3335">
        <v>0.01</v>
      </c>
      <c r="R3335" s="7" t="str">
        <f t="shared" si="67"/>
        <v>E:\附赠：Excel模板\精美EXCEL模板\网友极力推荐的Excel模板1000例</v>
      </c>
      <c r="S3335" s="9">
        <v>43600.3821759259</v>
      </c>
      <c r="T3335" s="9">
        <v>43390.5165046296</v>
      </c>
    </row>
    <row r="3336" spans="14:20">
      <c r="N3336" s="7" t="str">
        <f>HYPERLINK("E:\附赠：Excel模板\精美EXCEL模板\网友极力推荐的Excel模板1000例\党政机关基本情况.xls","党政机关基本情况.xls")</f>
        <v>党政机关基本情况.xls</v>
      </c>
      <c r="Q3336">
        <v>0.02</v>
      </c>
      <c r="R3336" s="7" t="str">
        <f t="shared" si="67"/>
        <v>E:\附赠：Excel模板\精美EXCEL模板\网友极力推荐的Excel模板1000例</v>
      </c>
      <c r="S3336" s="9">
        <v>43600.3821759259</v>
      </c>
      <c r="T3336" s="9">
        <v>43390.5167361111</v>
      </c>
    </row>
    <row r="3337" spans="14:20">
      <c r="N3337" s="7" t="str">
        <f>HYPERLINK("E:\附赠：Excel模板\精美EXCEL模板\网友极力推荐的Excel模板1000例\全国农村计划生育家庭奖励扶助对象申报表.xls","全国农村计划生育家庭奖励扶助对象申报表.xls")</f>
        <v>全国农村计划生育家庭奖励扶助对象申报表.xls</v>
      </c>
      <c r="Q3337">
        <v>0.02</v>
      </c>
      <c r="R3337" s="7" t="str">
        <f t="shared" si="67"/>
        <v>E:\附赠：Excel模板\精美EXCEL模板\网友极力推荐的Excel模板1000例</v>
      </c>
      <c r="S3337" s="9">
        <v>43600.3821759259</v>
      </c>
      <c r="T3337" s="9">
        <v>43390.5162268519</v>
      </c>
    </row>
    <row r="3338" spans="14:20">
      <c r="N3338" s="7" t="str">
        <f>HYPERLINK("E:\附赠：Excel模板\精美EXCEL模板\网友极力推荐的Excel模板1000例\全国文明风景旅游区暂行标准.xls","全国文明风景旅游区暂行标准.xls")</f>
        <v>全国文明风景旅游区暂行标准.xls</v>
      </c>
      <c r="Q3338">
        <v>0.11</v>
      </c>
      <c r="R3338" s="7" t="str">
        <f t="shared" si="67"/>
        <v>E:\附赠：Excel模板\精美EXCEL模板\网友极力推荐的Excel模板1000例</v>
      </c>
      <c r="S3338" s="9">
        <v>43600.3821759259</v>
      </c>
      <c r="T3338" s="9">
        <v>43390.5162268519</v>
      </c>
    </row>
    <row r="3339" spans="14:20">
      <c r="N3339" s="7" t="str">
        <f>HYPERLINK("E:\附赠：Excel模板\精美EXCEL模板\网友极力推荐的Excel模板1000例\全国翻译专业资格(水平)考试报名表.xls","全国翻译专业资格(水平)考试报名表.xls")</f>
        <v>全国翻译专业资格(水平)考试报名表.xls</v>
      </c>
      <c r="Q3339">
        <v>0.02</v>
      </c>
      <c r="R3339" s="7" t="str">
        <f t="shared" si="67"/>
        <v>E:\附赠：Excel模板\精美EXCEL模板\网友极力推荐的Excel模板1000例</v>
      </c>
      <c r="S3339" s="9">
        <v>43600.3821759259</v>
      </c>
      <c r="T3339" s="9">
        <v>43390.5162268519</v>
      </c>
    </row>
    <row r="3340" spans="14:20">
      <c r="N3340" s="7" t="str">
        <f>HYPERLINK("E:\附赠：Excel模板\精美EXCEL模板\网友极力推荐的Excel模板1000例\全省主要经济指标.xls","全省主要经济指标.xls")</f>
        <v>全省主要经济指标.xls</v>
      </c>
      <c r="Q3340">
        <v>0.02</v>
      </c>
      <c r="R3340" s="7" t="str">
        <f t="shared" si="67"/>
        <v>E:\附赠：Excel模板\精美EXCEL模板\网友极力推荐的Excel模板1000例</v>
      </c>
      <c r="S3340" s="9">
        <v>43600.3821759259</v>
      </c>
      <c r="T3340" s="9">
        <v>43390.5162037037</v>
      </c>
    </row>
    <row r="3341" spans="14:20">
      <c r="N3341" s="7" t="str">
        <f>HYPERLINK("E:\附赠：Excel模板\精美EXCEL模板\网友极力推荐的Excel模板1000例\全省国土资源部门行政事业性收费及政府性基金情况表.xls","全省国土资源部门行政事业性收费及政府性基金情况表.xls")</f>
        <v>全省国土资源部门行政事业性收费及政府性基金情况表.xls</v>
      </c>
      <c r="Q3341">
        <v>0.02</v>
      </c>
      <c r="R3341" s="7" t="str">
        <f t="shared" si="67"/>
        <v>E:\附赠：Excel模板\精美EXCEL模板\网友极力推荐的Excel模板1000例</v>
      </c>
      <c r="S3341" s="9">
        <v>43600.3821759259</v>
      </c>
      <c r="T3341" s="9">
        <v>43390.5162037037</v>
      </c>
    </row>
    <row r="3342" spans="14:20">
      <c r="N3342" s="7" t="str">
        <f>HYPERLINK("E:\附赠：Excel模板\精美EXCEL模板\网友极力推荐的Excel模板1000例\全省工业企业财务快报.xls","全省工业企业财务快报.xls")</f>
        <v>全省工业企业财务快报.xls</v>
      </c>
      <c r="Q3342">
        <v>0.02</v>
      </c>
      <c r="R3342" s="7" t="str">
        <f t="shared" si="67"/>
        <v>E:\附赠：Excel模板\精美EXCEL模板\网友极力推荐的Excel模板1000例</v>
      </c>
      <c r="S3342" s="9">
        <v>43600.3821759259</v>
      </c>
      <c r="T3342" s="9">
        <v>43390.5162037037</v>
      </c>
    </row>
    <row r="3343" spans="14:20">
      <c r="N3343" s="7" t="str">
        <f>HYPERLINK("E:\附赠：Excel模板\精美EXCEL模板\网友极力推荐的Excel模板1000例\全省工业增加值完成情况.xls","全省工业增加值完成情况.xls")</f>
        <v>全省工业增加值完成情况.xls</v>
      </c>
      <c r="Q3343">
        <v>0.02</v>
      </c>
      <c r="R3343" s="7" t="str">
        <f t="shared" si="67"/>
        <v>E:\附赠：Excel模板\精美EXCEL模板\网友极力推荐的Excel模板1000例</v>
      </c>
      <c r="S3343" s="9">
        <v>43600.3821759259</v>
      </c>
      <c r="T3343" s="9">
        <v>43390.5162037037</v>
      </c>
    </row>
    <row r="3344" spans="14:20">
      <c r="N3344" s="7" t="str">
        <f>HYPERLINK("E:\附赠：Excel模板\精美EXCEL模板\网友极力推荐的Excel模板1000例\全省部门外债情况表.xls","全省部门外债情况表.xls")</f>
        <v>全省部门外债情况表.xls</v>
      </c>
      <c r="Q3344">
        <v>0.02</v>
      </c>
      <c r="R3344" s="7" t="str">
        <f t="shared" si="67"/>
        <v>E:\附赠：Excel模板\精美EXCEL模板\网友极力推荐的Excel模板1000例</v>
      </c>
      <c r="S3344" s="9">
        <v>43600.3821759259</v>
      </c>
      <c r="T3344" s="9">
        <v>43390.5162037037</v>
      </c>
    </row>
    <row r="3345" spans="14:20">
      <c r="N3345" s="7" t="str">
        <f>HYPERLINK("E:\附赠：Excel模板\精美EXCEL模板\网友极力推荐的Excel模板1000例\全省部门机构人员表.xls","全省部门机构人员表.xls")</f>
        <v>全省部门机构人员表.xls</v>
      </c>
      <c r="Q3345">
        <v>0.02</v>
      </c>
      <c r="R3345" s="7" t="str">
        <f t="shared" si="67"/>
        <v>E:\附赠：Excel模板\精美EXCEL模板\网友极力推荐的Excel模板1000例</v>
      </c>
      <c r="S3345" s="9">
        <v>43600.3821759259</v>
      </c>
      <c r="T3345" s="9">
        <v>43390.5162037037</v>
      </c>
    </row>
    <row r="3346" spans="14:20">
      <c r="N3346" s="7" t="str">
        <f>HYPERLINK("E:\附赠：Excel模板\精美EXCEL模板\网友极力推荐的Excel模板1000例\全省部门财政收入表.xls","全省部门财政收入表.xls")</f>
        <v>全省部门财政收入表.xls</v>
      </c>
      <c r="Q3346">
        <v>0.02</v>
      </c>
      <c r="R3346" s="7" t="str">
        <f t="shared" si="67"/>
        <v>E:\附赠：Excel模板\精美EXCEL模板\网友极力推荐的Excel模板1000例</v>
      </c>
      <c r="S3346" s="9">
        <v>43600.3821759259</v>
      </c>
      <c r="T3346" s="9">
        <v>43390.5162268519</v>
      </c>
    </row>
    <row r="3347" spans="14:20">
      <c r="N3347" s="7" t="str">
        <f>HYPERLINK("E:\附赠：Excel模板\精美EXCEL模板\网友极力推荐的Excel模板1000例\全院××周岁以下教师名册.xls","全院××周岁以下教师名册.xls")</f>
        <v>全院××周岁以下教师名册.xls</v>
      </c>
      <c r="Q3347">
        <v>0.02</v>
      </c>
      <c r="R3347" s="7" t="str">
        <f t="shared" si="67"/>
        <v>E:\附赠：Excel模板\精美EXCEL模板\网友极力推荐的Excel模板1000例</v>
      </c>
      <c r="S3347" s="9">
        <v>43600.3821759259</v>
      </c>
      <c r="T3347" s="9">
        <v>43390.5162037037</v>
      </c>
    </row>
    <row r="3348" spans="14:20">
      <c r="N3348" s="7" t="str">
        <f>HYPERLINK("E:\附赠：Excel模板\精美EXCEL模板\网友极力推荐的Excel模板1000例\全院××周岁以下教师学缘结构分析.xls","全院××周岁以下教师学缘结构分析.xls")</f>
        <v>全院××周岁以下教师学缘结构分析.xls</v>
      </c>
      <c r="Q3348">
        <v>0.02</v>
      </c>
      <c r="R3348" s="7" t="str">
        <f t="shared" si="67"/>
        <v>E:\附赠：Excel模板\精美EXCEL模板\网友极力推荐的Excel模板1000例</v>
      </c>
      <c r="S3348" s="9">
        <v>43600.3821759259</v>
      </c>
      <c r="T3348" s="9">
        <v>43390.5162037037</v>
      </c>
    </row>
    <row r="3349" spans="14:20">
      <c r="N3349" s="7" t="str">
        <f>HYPERLINK("E:\附赠：Excel模板\精美EXCEL模板\网友极力推荐的Excel模板1000例\全院××岁以下教师获博士学位的教师名册.xls","全院××岁以下教师获博士学位的教师名册.xls")</f>
        <v>全院××岁以下教师获博士学位的教师名册.xls</v>
      </c>
      <c r="Q3349">
        <v>0.02</v>
      </c>
      <c r="R3349" s="7" t="str">
        <f t="shared" si="67"/>
        <v>E:\附赠：Excel模板\精美EXCEL模板\网友极力推荐的Excel模板1000例</v>
      </c>
      <c r="S3349" s="9">
        <v>43600.3821759259</v>
      </c>
      <c r="T3349" s="9">
        <v>43390.5162037037</v>
      </c>
    </row>
    <row r="3350" spans="14:20">
      <c r="N3350" s="7" t="str">
        <f>HYPERLINK("E:\附赠：Excel模板\精美EXCEL模板\网友极力推荐的Excel模板1000例\全院教师学科结构分析.xls","全院教师学科结构分析.xls")</f>
        <v>全院教师学科结构分析.xls</v>
      </c>
      <c r="Q3350">
        <v>0.02</v>
      </c>
      <c r="R3350" s="7" t="str">
        <f t="shared" si="67"/>
        <v>E:\附赠：Excel模板\精美EXCEL模板\网友极力推荐的Excel模板1000例</v>
      </c>
      <c r="S3350" s="9">
        <v>43600.3821759259</v>
      </c>
      <c r="T3350" s="9">
        <v>43390.5162037037</v>
      </c>
    </row>
    <row r="3351" spans="14:20">
      <c r="N3351" s="7" t="str">
        <f>HYPERLINK("E:\附赠：Excel模板\精美EXCEL模板\网友极力推荐的Excel模板1000例\公共管理专业学生名册.xls","公共管理专业学生名册.xls")</f>
        <v>公共管理专业学生名册.xls</v>
      </c>
      <c r="Q3351">
        <v>0.03</v>
      </c>
      <c r="R3351" s="7" t="str">
        <f t="shared" si="67"/>
        <v>E:\附赠：Excel模板\精美EXCEL模板\网友极力推荐的Excel模板1000例</v>
      </c>
      <c r="S3351" s="9">
        <v>43600.3821759259</v>
      </c>
      <c r="T3351" s="9">
        <v>43390.5166203704</v>
      </c>
    </row>
    <row r="3352" spans="14:20">
      <c r="N3352" s="7" t="str">
        <f>HYPERLINK("E:\附赠：Excel模板\精美EXCEL模板\网友极力推荐的Excel模板1000例\公务员转入养老保险基金处理通知.xls","公务员转入养老保险基金处理通知.xls")</f>
        <v>公务员转入养老保险基金处理通知.xls</v>
      </c>
      <c r="Q3352">
        <v>0.02</v>
      </c>
      <c r="R3352" s="7" t="str">
        <f t="shared" si="67"/>
        <v>E:\附赠：Excel模板\精美EXCEL模板\网友极力推荐的Excel模板1000例</v>
      </c>
      <c r="S3352" s="9">
        <v>43600.3821759259</v>
      </c>
      <c r="T3352" s="9">
        <v>43390.5166203704</v>
      </c>
    </row>
    <row r="3353" spans="14:20">
      <c r="N3353" s="7" t="str">
        <f>HYPERLINK("E:\附赠：Excel模板\精美EXCEL模板\网友极力推荐的Excel模板1000例\公务用车非财政核拨经费分配表.xls","公务用车非财政核拨经费分配表.xls")</f>
        <v>公务用车非财政核拨经费分配表.xls</v>
      </c>
      <c r="Q3353">
        <v>0.02</v>
      </c>
      <c r="R3353" s="7" t="str">
        <f t="shared" si="67"/>
        <v>E:\附赠：Excel模板\精美EXCEL模板\网友极力推荐的Excel模板1000例</v>
      </c>
      <c r="S3353" s="9">
        <v>43600.3821759259</v>
      </c>
      <c r="T3353" s="9">
        <v>43390.5166203704</v>
      </c>
    </row>
    <row r="3354" spans="14:20">
      <c r="N3354" s="7" t="str">
        <f>HYPERLINK("E:\附赠：Excel模板\精美EXCEL模板\网友极力推荐的Excel模板1000例\公司各部门拟聘人员表.xls","公司各部门拟聘人员表.xls")</f>
        <v>公司各部门拟聘人员表.xls</v>
      </c>
      <c r="Q3354">
        <v>0.02</v>
      </c>
      <c r="R3354" s="7" t="str">
        <f t="shared" si="67"/>
        <v>E:\附赠：Excel模板\精美EXCEL模板\网友极力推荐的Excel模板1000例</v>
      </c>
      <c r="S3354" s="9">
        <v>43600.3821759259</v>
      </c>
      <c r="T3354" s="9">
        <v>43390.5166203704</v>
      </c>
    </row>
    <row r="3355" spans="14:20">
      <c r="N3355" s="7" t="str">
        <f>HYPERLINK("E:\附赠：Excel模板\精美EXCEL模板\网友极力推荐的Excel模板1000例\公司年度奖项申报审批表.xls","公司年度奖项申报审批表.xls")</f>
        <v>公司年度奖项申报审批表.xls</v>
      </c>
      <c r="Q3355">
        <v>0.02</v>
      </c>
      <c r="R3355" s="7" t="str">
        <f t="shared" si="67"/>
        <v>E:\附赠：Excel模板\精美EXCEL模板\网友极力推荐的Excel模板1000例</v>
      </c>
      <c r="S3355" s="9">
        <v>43600.3821759259</v>
      </c>
      <c r="T3355" s="9">
        <v>43390.5166203704</v>
      </c>
    </row>
    <row r="3356" spans="14:20">
      <c r="N3356" s="7" t="str">
        <f>HYPERLINK("E:\附赠：Excel模板\精美EXCEL模板\网友极力推荐的Excel模板1000例\公司年度财务分析统计表.xls","公司年度财务分析统计表.xls")</f>
        <v>公司年度财务分析统计表.xls</v>
      </c>
      <c r="Q3356">
        <v>0.02</v>
      </c>
      <c r="R3356" s="7" t="str">
        <f t="shared" si="67"/>
        <v>E:\附赠：Excel模板\精美EXCEL模板\网友极力推荐的Excel模板1000例</v>
      </c>
      <c r="S3356" s="9">
        <v>43600.3821759259</v>
      </c>
      <c r="T3356" s="9">
        <v>43390.5166203704</v>
      </c>
    </row>
    <row r="3357" spans="14:20">
      <c r="N3357" s="7" t="str">
        <f>HYPERLINK("E:\附赠：Excel模板\精美EXCEL模板\网友极力推荐的Excel模板1000例\公司机关部门经理绩效考核等级.xls","公司机关部门经理绩效考核等级.xls")</f>
        <v>公司机关部门经理绩效考核等级.xls</v>
      </c>
      <c r="Q3357">
        <v>0.02</v>
      </c>
      <c r="R3357" s="7" t="str">
        <f t="shared" si="67"/>
        <v>E:\附赠：Excel模板\精美EXCEL模板\网友极力推荐的Excel模板1000例</v>
      </c>
      <c r="S3357" s="9">
        <v>43600.3821759259</v>
      </c>
      <c r="T3357" s="9">
        <v>43390.5166435185</v>
      </c>
    </row>
    <row r="3358" spans="14:20">
      <c r="N3358" s="7" t="str">
        <f>HYPERLINK("E:\附赠：Excel模板\精美EXCEL模板\网友极力推荐的Excel模板1000例\公寓（或写字楼）经营情况明细表.xls","公寓（或写字楼）经营情况明细表.xls")</f>
        <v>公寓（或写字楼）经营情况明细表.xls</v>
      </c>
      <c r="Q3358">
        <v>0.02</v>
      </c>
      <c r="R3358" s="7" t="str">
        <f t="shared" si="67"/>
        <v>E:\附赠：Excel模板\精美EXCEL模板\网友极力推荐的Excel模板1000例</v>
      </c>
      <c r="S3358" s="9">
        <v>43600.3821759259</v>
      </c>
      <c r="T3358" s="9">
        <v>43390.5166203704</v>
      </c>
    </row>
    <row r="3359" spans="14:20">
      <c r="N3359" s="7" t="str">
        <f>HYPERLINK("E:\附赠：Excel模板\精美EXCEL模板\网友极力推荐的Excel模板1000例\公民出境旅游商务考察申请表.xls","公民出境旅游商务考察申请表.xls")</f>
        <v>公民出境旅游商务考察申请表.xls</v>
      </c>
      <c r="Q3359">
        <v>0.02</v>
      </c>
      <c r="R3359" s="7" t="str">
        <f t="shared" si="67"/>
        <v>E:\附赠：Excel模板\精美EXCEL模板\网友极力推荐的Excel模板1000例</v>
      </c>
      <c r="S3359" s="9">
        <v>43600.3821759259</v>
      </c>
      <c r="T3359" s="9">
        <v>43390.5166435185</v>
      </c>
    </row>
    <row r="3360" spans="14:20">
      <c r="N3360" s="7" t="str">
        <f>HYPERLINK("E:\附赠：Excel模板\精美EXCEL模板\网友极力推荐的Excel模板1000例\共建高校基础实验室现状及建设目标汇总表.xls","共建高校基础实验室现状及建设目标汇总表.xls")</f>
        <v>共建高校基础实验室现状及建设目标汇总表.xls</v>
      </c>
      <c r="Q3360">
        <v>0.03</v>
      </c>
      <c r="R3360" s="7" t="str">
        <f t="shared" si="67"/>
        <v>E:\附赠：Excel模板\精美EXCEL模板\网友极力推荐的Excel模板1000例</v>
      </c>
      <c r="S3360" s="9">
        <v>43600.3821759259</v>
      </c>
      <c r="T3360" s="9">
        <v>43390.5166203704</v>
      </c>
    </row>
    <row r="3361" spans="14:20">
      <c r="N3361" s="7" t="str">
        <f>HYPERLINK("E:\附赠：Excel模板\精美EXCEL模板\网友极力推荐的Excel模板1000例\其他房改资金账户开户登记表.xls","其他房改资金账户开户登记表.xls")</f>
        <v>其他房改资金账户开户登记表.xls</v>
      </c>
      <c r="Q3361">
        <v>0.02</v>
      </c>
      <c r="R3361" s="7" t="str">
        <f t="shared" si="67"/>
        <v>E:\附赠：Excel模板\精美EXCEL模板\网友极力推荐的Excel模板1000例</v>
      </c>
      <c r="S3361" s="9">
        <v>43600.3821759259</v>
      </c>
      <c r="T3361" s="9">
        <v>43390.51625</v>
      </c>
    </row>
    <row r="3362" spans="14:20">
      <c r="N3362" s="7" t="str">
        <f>HYPERLINK("E:\附赠：Excel模板\精美EXCEL模板\网友极力推荐的Excel模板1000例\内部调货单.xls","内部调货单.xls")</f>
        <v>内部调货单.xls</v>
      </c>
      <c r="Q3362">
        <v>0.02</v>
      </c>
      <c r="R3362" s="7" t="str">
        <f t="shared" si="67"/>
        <v>E:\附赠：Excel模板\精美EXCEL模板\网友极力推荐的Excel模板1000例</v>
      </c>
      <c r="S3362" s="9">
        <v>43600.3821759259</v>
      </c>
      <c r="T3362" s="9">
        <v>43390.5163194444</v>
      </c>
    </row>
    <row r="3363" spans="14:20">
      <c r="N3363" s="7" t="str">
        <f>HYPERLINK("E:\附赠：Excel模板\精美EXCEL模板\网友极力推荐的Excel模板1000例\内部财务会计报表一览表.xls","内部财务会计报表一览表.xls")</f>
        <v>内部财务会计报表一览表.xls</v>
      </c>
      <c r="Q3363">
        <v>0.02</v>
      </c>
      <c r="R3363" s="7" t="str">
        <f t="shared" si="67"/>
        <v>E:\附赠：Excel模板\精美EXCEL模板\网友极力推荐的Excel模板1000例</v>
      </c>
      <c r="S3363" s="9">
        <v>43600.3821759259</v>
      </c>
      <c r="T3363" s="9">
        <v>43390.5163194444</v>
      </c>
    </row>
    <row r="3364" spans="14:20">
      <c r="N3364" s="7" t="str">
        <f>HYPERLINK("E:\附赠：Excel模板\精美EXCEL模板\网友极力推荐的Excel模板1000例\再就业培训情况表.xls","再就业培训情况表.xls")</f>
        <v>再就业培训情况表.xls</v>
      </c>
      <c r="Q3364">
        <v>0.03</v>
      </c>
      <c r="R3364" s="7" t="str">
        <f t="shared" si="67"/>
        <v>E:\附赠：Excel模板\精美EXCEL模板\网友极力推荐的Excel模板1000例</v>
      </c>
      <c r="S3364" s="9">
        <v>43600.3821759259</v>
      </c>
      <c r="T3364" s="9">
        <v>43390.5157175926</v>
      </c>
    </row>
    <row r="3365" spans="14:20">
      <c r="N3365" s="7" t="str">
        <f>HYPERLINK("E:\附赠：Excel模板\精美EXCEL模板\网友极力推荐的Excel模板1000例\军区国防生选拔报名表.xls","军区国防生选拔报名表.xls")</f>
        <v>军区国防生选拔报名表.xls</v>
      </c>
      <c r="Q3365">
        <v>0.02</v>
      </c>
      <c r="R3365" s="7" t="str">
        <f t="shared" si="67"/>
        <v>E:\附赠：Excel模板\精美EXCEL模板\网友极力推荐的Excel模板1000例</v>
      </c>
      <c r="S3365" s="9">
        <v>43600.3821759259</v>
      </c>
      <c r="T3365" s="9">
        <v>43390.516412037</v>
      </c>
    </row>
    <row r="3366" spans="14:20">
      <c r="N3366" s="7" t="str">
        <f>HYPERLINK("E:\附赠：Excel模板\精美EXCEL模板\网友极力推荐的Excel模板1000例\农业发展资金定补项目汇总表.xls","农业发展资金定补项目汇总表.xls")</f>
        <v>农业发展资金定补项目汇总表.xls</v>
      </c>
      <c r="Q3366">
        <v>0.01</v>
      </c>
      <c r="R3366" s="7" t="str">
        <f t="shared" si="67"/>
        <v>E:\附赠：Excel模板\精美EXCEL模板\网友极力推荐的Excel模板1000例</v>
      </c>
      <c r="S3366" s="9">
        <v>43600.3821759259</v>
      </c>
      <c r="T3366" s="9">
        <v>43390.5163194444</v>
      </c>
    </row>
    <row r="3367" spans="14:20">
      <c r="N3367" s="7" t="str">
        <f>HYPERLINK("E:\附赠：Excel模板\精美EXCEL模板\网友极力推荐的Excel模板1000例\农业改革主要指标统计表.xls","农业改革主要指标统计表.xls")</f>
        <v>农业改革主要指标统计表.xls</v>
      </c>
      <c r="Q3367">
        <v>0.02</v>
      </c>
      <c r="R3367" s="7" t="str">
        <f t="shared" si="67"/>
        <v>E:\附赠：Excel模板\精美EXCEL模板\网友极力推荐的Excel模板1000例</v>
      </c>
      <c r="S3367" s="9">
        <v>43600.3821759259</v>
      </c>
      <c r="T3367" s="9">
        <v>43390.5162962963</v>
      </c>
    </row>
    <row r="3368" spans="14:20">
      <c r="N3368" s="7" t="str">
        <f>HYPERLINK("E:\附赠：Excel模板\精美EXCEL模板\网友极力推荐的Excel模板1000例\农业机械购置补贴产品目录表.xls","农业机械购置补贴产品目录表.xls")</f>
        <v>农业机械购置补贴产品目录表.xls</v>
      </c>
      <c r="Q3368">
        <v>0.03</v>
      </c>
      <c r="R3368" s="7" t="str">
        <f t="shared" si="67"/>
        <v>E:\附赠：Excel模板\精美EXCEL模板\网友极力推荐的Excel模板1000例</v>
      </c>
      <c r="S3368" s="9">
        <v>43600.3821759259</v>
      </c>
      <c r="T3368" s="9">
        <v>43390.5162962963</v>
      </c>
    </row>
    <row r="3369" spans="14:20">
      <c r="N3369" s="7" t="str">
        <f>HYPERLINK("E:\附赠：Excel模板\精美EXCEL模板\网友极力推荐的Excel模板1000例\农业综合专项项目任务(效益)投资主要指标汇总表.xls","农业综合专项项目任务(效益)投资主要指标汇总表.xls")</f>
        <v>农业综合专项项目任务(效益)投资主要指标汇总表.xls</v>
      </c>
      <c r="Q3369">
        <v>0.03</v>
      </c>
      <c r="R3369" s="7" t="str">
        <f t="shared" si="67"/>
        <v>E:\附赠：Excel模板\精美EXCEL模板\网友极力推荐的Excel模板1000例</v>
      </c>
      <c r="S3369" s="9">
        <v>43600.3821759259</v>
      </c>
      <c r="T3369" s="9">
        <v>43390.5162731481</v>
      </c>
    </row>
    <row r="3370" spans="14:20">
      <c r="N3370" s="7" t="str">
        <f>HYPERLINK("E:\附赠：Excel模板\精美EXCEL模板\网友极力推荐的Excel模板1000例\农业适用技术推广示范培训情况统计表.xls","农业适用技术推广示范培训情况统计表.xls")</f>
        <v>农业适用技术推广示范培训情况统计表.xls</v>
      </c>
      <c r="Q3370">
        <v>0.02</v>
      </c>
      <c r="R3370" s="7" t="str">
        <f t="shared" si="67"/>
        <v>E:\附赠：Excel模板\精美EXCEL模板\网友极力推荐的Excel模板1000例</v>
      </c>
      <c r="S3370" s="9">
        <v>43600.3821759259</v>
      </c>
      <c r="T3370" s="9">
        <v>43390.5162731481</v>
      </c>
    </row>
    <row r="3371" spans="14:20">
      <c r="N3371" s="7" t="str">
        <f>HYPERLINK("E:\附赠：Excel模板\精美EXCEL模板\网友极力推荐的Excel模板1000例\农业适用技术推广项目落实情况统计表.xls","农业适用技术推广项目落实情况统计表.xls")</f>
        <v>农业适用技术推广项目落实情况统计表.xls</v>
      </c>
      <c r="Q3371">
        <v>0.05</v>
      </c>
      <c r="R3371" s="7" t="str">
        <f t="shared" si="67"/>
        <v>E:\附赠：Excel模板\精美EXCEL模板\网友极力推荐的Excel模板1000例</v>
      </c>
      <c r="S3371" s="9">
        <v>43600.3821759259</v>
      </c>
      <c r="T3371" s="9">
        <v>43390.5162731481</v>
      </c>
    </row>
    <row r="3372" spans="14:20">
      <c r="N3372" s="7" t="str">
        <f>HYPERLINK("E:\附赠：Excel模板\精美EXCEL模板\网友极力推荐的Excel模板1000例\农业项目国家投资类表.xls","农业项目国家投资类表.xls")</f>
        <v>农业项目国家投资类表.xls</v>
      </c>
      <c r="Q3372">
        <v>0.02</v>
      </c>
      <c r="R3372" s="7" t="str">
        <f t="shared" si="67"/>
        <v>E:\附赠：Excel模板\精美EXCEL模板\网友极力推荐的Excel模板1000例</v>
      </c>
      <c r="S3372" s="9">
        <v>43600.3821759259</v>
      </c>
      <c r="T3372" s="9">
        <v>43390.5162731481</v>
      </c>
    </row>
    <row r="3373" spans="14:20">
      <c r="N3373" s="7" t="str">
        <f>HYPERLINK("E:\附赠：Excel模板\精美EXCEL模板\网友极力推荐的Excel模板1000例\农业项目招商引资类表.xls","农业项目招商引资类表.xls")</f>
        <v>农业项目招商引资类表.xls</v>
      </c>
      <c r="Q3373">
        <v>0.02</v>
      </c>
      <c r="R3373" s="7" t="str">
        <f t="shared" si="67"/>
        <v>E:\附赠：Excel模板\精美EXCEL模板\网友极力推荐的Excel模板1000例</v>
      </c>
      <c r="S3373" s="9">
        <v>43600.3821759259</v>
      </c>
      <c r="T3373" s="9">
        <v>43390.5162731481</v>
      </c>
    </row>
    <row r="3374" spans="14:20">
      <c r="N3374" s="7" t="str">
        <f>HYPERLINK("E:\附赠：Excel模板\精美EXCEL模板\网友极力推荐的Excel模板1000例\农机作业服务单位效益情况表.xls","农机作业服务单位效益情况表.xls")</f>
        <v>农机作业服务单位效益情况表.xls</v>
      </c>
      <c r="Q3374">
        <v>0.02</v>
      </c>
      <c r="R3374" s="7" t="str">
        <f t="shared" si="67"/>
        <v>E:\附赠：Excel模板\精美EXCEL模板\网友极力推荐的Excel模板1000例</v>
      </c>
      <c r="S3374" s="9">
        <v>43600.3821759259</v>
      </c>
      <c r="T3374" s="9">
        <v>43390.5162962963</v>
      </c>
    </row>
    <row r="3375" spans="14:20">
      <c r="N3375" s="7" t="str">
        <f>HYPERLINK("E:\附赠：Excel模板\精美EXCEL模板\网友极力推荐的Excel模板1000例\农村义务教育贫困家庭学生免杂费资金分配表.xls","农村义务教育贫困家庭学生免杂费资金分配表.xls")</f>
        <v>农村义务教育贫困家庭学生免杂费资金分配表.xls</v>
      </c>
      <c r="Q3375">
        <v>0.02</v>
      </c>
      <c r="R3375" s="7" t="str">
        <f t="shared" si="67"/>
        <v>E:\附赠：Excel模板\精美EXCEL模板\网友极力推荐的Excel模板1000例</v>
      </c>
      <c r="S3375" s="9">
        <v>43600.3821759259</v>
      </c>
      <c r="T3375" s="9">
        <v>43390.5162962963</v>
      </c>
    </row>
    <row r="3376" spans="14:20">
      <c r="N3376" s="7" t="str">
        <f>HYPERLINK("E:\附赠：Excel模板\精美EXCEL模板\网友极力推荐的Excel模板1000例\农村卫生建设执行情况汇总表.xls","农村卫生建设执行情况汇总表.xls")</f>
        <v>农村卫生建设执行情况汇总表.xls</v>
      </c>
      <c r="Q3376">
        <v>0.02</v>
      </c>
      <c r="R3376" s="7" t="str">
        <f t="shared" si="67"/>
        <v>E:\附赠：Excel模板\精美EXCEL模板\网友极力推荐的Excel模板1000例</v>
      </c>
      <c r="S3376" s="9">
        <v>43600.3821759259</v>
      </c>
      <c r="T3376" s="9">
        <v>43390.5162962963</v>
      </c>
    </row>
    <row r="3377" spans="14:20">
      <c r="N3377" s="7" t="str">
        <f>HYPERLINK("E:\附赠：Excel模板\精美EXCEL模板\网友极力推荐的Excel模板1000例\农村居民最低生活保障家庭备案表.xls","农村居民最低生活保障家庭备案表.xls")</f>
        <v>农村居民最低生活保障家庭备案表.xls</v>
      </c>
      <c r="Q3377">
        <v>0.08</v>
      </c>
      <c r="R3377" s="7" t="str">
        <f t="shared" si="67"/>
        <v>E:\附赠：Excel模板\精美EXCEL模板\网友极力推荐的Excel模板1000例</v>
      </c>
      <c r="S3377" s="9">
        <v>43600.3821759259</v>
      </c>
      <c r="T3377" s="9">
        <v>43390.5162962963</v>
      </c>
    </row>
    <row r="3378" spans="14:20">
      <c r="N3378" s="7" t="str">
        <f>HYPERLINK("E:\附赠：Excel模板\精美EXCEL模板\网友极力推荐的Excel模板1000例\出口收汇差额核销.xls","出口收汇差额核销.xls")</f>
        <v>出口收汇差额核销.xls</v>
      </c>
      <c r="Q3378">
        <v>0.03</v>
      </c>
      <c r="R3378" s="7" t="str">
        <f t="shared" si="67"/>
        <v>E:\附赠：Excel模板\精美EXCEL模板\网友极力推荐的Excel模板1000例</v>
      </c>
      <c r="S3378" s="9">
        <v>43600.3821759259</v>
      </c>
      <c r="T3378" s="9">
        <v>43390.5168055556</v>
      </c>
    </row>
    <row r="3379" spans="14:20">
      <c r="N3379" s="7" t="str">
        <f>HYPERLINK("E:\附赠：Excel模板\精美EXCEL模板\网友极力推荐的Excel模板1000例\出口收汇核销出口单位登记及核销人员管理.xls","出口收汇核销出口单位登记及核销人员管理.xls")</f>
        <v>出口收汇核销出口单位登记及核销人员管理.xls</v>
      </c>
      <c r="Q3379">
        <v>0.02</v>
      </c>
      <c r="R3379" s="7" t="str">
        <f t="shared" si="67"/>
        <v>E:\附赠：Excel模板\精美EXCEL模板\网友极力推荐的Excel模板1000例</v>
      </c>
      <c r="S3379" s="9">
        <v>43600.3821759259</v>
      </c>
      <c r="T3379" s="9">
        <v>43390.5168055556</v>
      </c>
    </row>
    <row r="3380" spans="14:20">
      <c r="N3380" s="7" t="str">
        <f>HYPERLINK("E:\附赠：Excel模板\精美EXCEL模板\网友极力推荐的Excel模板1000例\出口收汇核销单管理.xls","出口收汇核销单管理.xls")</f>
        <v>出口收汇核销单管理.xls</v>
      </c>
      <c r="Q3380">
        <v>0.02</v>
      </c>
      <c r="R3380" s="7" t="str">
        <f t="shared" si="67"/>
        <v>E:\附赠：Excel模板\精美EXCEL模板\网友极力推荐的Excel模板1000例</v>
      </c>
      <c r="S3380" s="9">
        <v>43600.3821759259</v>
      </c>
      <c r="T3380" s="9">
        <v>43390.5168055556</v>
      </c>
    </row>
    <row r="3381" spans="14:20">
      <c r="N3381" s="7" t="str">
        <f>HYPERLINK("E:\附赠：Excel模板\精美EXCEL模板\网友极力推荐的Excel模板1000例\出口收汇核销备查.xls","出口收汇核销备查.xls")</f>
        <v>出口收汇核销备查.xls</v>
      </c>
      <c r="Q3381">
        <v>0.02</v>
      </c>
      <c r="R3381" s="7" t="str">
        <f t="shared" si="67"/>
        <v>E:\附赠：Excel模板\精美EXCEL模板\网友极力推荐的Excel模板1000例</v>
      </c>
      <c r="S3381" s="9">
        <v>43600.3821759259</v>
      </c>
      <c r="T3381" s="9">
        <v>43390.5168055556</v>
      </c>
    </row>
    <row r="3382" spans="14:20">
      <c r="N3382" s="7" t="str">
        <f>HYPERLINK("E:\附赠：Excel模板\精美EXCEL模板\网友极力推荐的Excel模板1000例\出口收汇核销考核.xls","出口收汇核销考核.xls")</f>
        <v>出口收汇核销考核.xls</v>
      </c>
      <c r="Q3382">
        <v>0.02</v>
      </c>
      <c r="R3382" s="7" t="str">
        <f t="shared" si="67"/>
        <v>E:\附赠：Excel模板\精美EXCEL模板\网友极力推荐的Excel模板1000例</v>
      </c>
      <c r="S3382" s="9">
        <v>43600.3821759259</v>
      </c>
      <c r="T3382" s="9">
        <v>43390.5168055556</v>
      </c>
    </row>
    <row r="3383" spans="14:20">
      <c r="N3383" s="7" t="str">
        <f>HYPERLINK("E:\附赠：Excel模板\精美EXCEL模板\网友极力推荐的Excel模板1000例\出租、出借、内部经营等情况调查表.xls","出租、出借、内部经营等情况调查表.xls")</f>
        <v>出租、出借、内部经营等情况调查表.xls</v>
      </c>
      <c r="Q3383">
        <v>0.02</v>
      </c>
      <c r="R3383" s="7" t="str">
        <f t="shared" si="67"/>
        <v>E:\附赠：Excel模板\精美EXCEL模板\网友极力推荐的Excel模板1000例</v>
      </c>
      <c r="S3383" s="9">
        <v>43600.3821759259</v>
      </c>
      <c r="T3383" s="9">
        <v>43390.5168055556</v>
      </c>
    </row>
    <row r="3384" spans="14:20">
      <c r="N3384" s="7" t="str">
        <f>HYPERLINK("E:\附赠：Excel模板\精美EXCEL模板\网友极力推荐的Excel模板1000例\出资情况表.xls","出资情况表.xls")</f>
        <v>出资情况表.xls</v>
      </c>
      <c r="Q3384">
        <v>0.02</v>
      </c>
      <c r="R3384" s="7" t="str">
        <f t="shared" si="67"/>
        <v>E:\附赠：Excel模板\精美EXCEL模板\网友极力推荐的Excel模板1000例</v>
      </c>
      <c r="S3384" s="9">
        <v>43600.3821759259</v>
      </c>
      <c r="T3384" s="9">
        <v>43390.5168055556</v>
      </c>
    </row>
    <row r="3385" spans="14:20">
      <c r="N3385" s="7" t="str">
        <f>HYPERLINK("E:\附赠：Excel模板\精美EXCEL模板\网友极力推荐的Excel模板1000例\出进货单.xls","出进货单.xls")</f>
        <v>出进货单.xls</v>
      </c>
      <c r="Q3385">
        <v>0.02</v>
      </c>
      <c r="R3385" s="7" t="str">
        <f t="shared" si="67"/>
        <v>E:\附赠：Excel模板\精美EXCEL模板\网友极力推荐的Excel模板1000例</v>
      </c>
      <c r="S3385" s="9">
        <v>43600.3821759259</v>
      </c>
      <c r="T3385" s="9">
        <v>43390.5168055556</v>
      </c>
    </row>
    <row r="3386" spans="14:20">
      <c r="N3386" s="7" t="str">
        <f>HYPERLINK("E:\附赠：Excel模板\精美EXCEL模板\网友极力推荐的Excel模板1000例\分产品（业务）收入成本预算表.xls","分产品（业务）收入成本预算表.xls")</f>
        <v>分产品（业务）收入成本预算表.xls</v>
      </c>
      <c r="Q3386">
        <v>0.02</v>
      </c>
      <c r="R3386" s="7" t="str">
        <f t="shared" si="67"/>
        <v>E:\附赠：Excel模板\精美EXCEL模板\网友极力推荐的Excel模板1000例</v>
      </c>
      <c r="S3386" s="9">
        <v>43600.3821759259</v>
      </c>
      <c r="T3386" s="9">
        <v>43390.5166898148</v>
      </c>
    </row>
    <row r="3387" spans="14:20">
      <c r="N3387" s="7" t="str">
        <f>HYPERLINK("E:\附赠：Excel模板\精美EXCEL模板\网友极力推荐的Excel模板1000例\分散采购统计表.xls","分散采购统计表.xls")</f>
        <v>分散采购统计表.xls</v>
      </c>
      <c r="Q3387">
        <v>0.03</v>
      </c>
      <c r="R3387" s="7" t="str">
        <f t="shared" si="67"/>
        <v>E:\附赠：Excel模板\精美EXCEL模板\网友极力推荐的Excel模板1000例</v>
      </c>
      <c r="S3387" s="9">
        <v>43600.3821759259</v>
      </c>
      <c r="T3387" s="9">
        <v>43390.5166898148</v>
      </c>
    </row>
    <row r="3388" spans="14:20">
      <c r="N3388" s="7" t="str">
        <f>HYPERLINK("E:\附赠：Excel模板\精美EXCEL模板\网友极力推荐的Excel模板1000例\分部报表.xls","分部报表.xls")</f>
        <v>分部报表.xls</v>
      </c>
      <c r="Q3388">
        <v>0.02</v>
      </c>
      <c r="R3388" s="7" t="str">
        <f t="shared" si="67"/>
        <v>E:\附赠：Excel模板\精美EXCEL模板\网友极力推荐的Excel模板1000例</v>
      </c>
      <c r="S3388" s="9">
        <v>43600.3821759259</v>
      </c>
      <c r="T3388" s="9">
        <v>43390.5166898148</v>
      </c>
    </row>
    <row r="3389" spans="14:20">
      <c r="N3389" s="7" t="str">
        <f>HYPERLINK("E:\附赠：Excel模板\精美EXCEL模板\网友极力推荐的Excel模板1000例\初中教育技术装备统计汇总表.xls","初中教育技术装备统计汇总表.xls")</f>
        <v>初中教育技术装备统计汇总表.xls</v>
      </c>
      <c r="Q3389">
        <v>0.03</v>
      </c>
      <c r="R3389" s="7" t="str">
        <f t="shared" si="67"/>
        <v>E:\附赠：Excel模板\精美EXCEL模板\网友极力推荐的Excel模板1000例</v>
      </c>
      <c r="S3389" s="9">
        <v>43600.3821759259</v>
      </c>
      <c r="T3389" s="9">
        <v>43390.5168055556</v>
      </c>
    </row>
    <row r="3390" spans="14:20">
      <c r="N3390" s="7" t="str">
        <f>HYPERLINK("E:\附赠：Excel模板\精美EXCEL模板\网友极力推荐的Excel模板1000例\利润分配表.xls","利润分配表.xls")</f>
        <v>利润分配表.xls</v>
      </c>
      <c r="Q3390">
        <v>0.02</v>
      </c>
      <c r="R3390" s="7" t="str">
        <f t="shared" si="67"/>
        <v>E:\附赠：Excel模板\精美EXCEL模板\网友极力推荐的Excel模板1000例</v>
      </c>
      <c r="S3390" s="9">
        <v>43600.3821759259</v>
      </c>
      <c r="T3390" s="9">
        <v>43390.5163657407</v>
      </c>
    </row>
    <row r="3391" spans="14:20">
      <c r="N3391" s="7" t="str">
        <f>HYPERLINK("E:\附赠：Excel模板\精美EXCEL模板\网友极力推荐的Excel模板1000例\利润及利润分配表.xls","利润及利润分配表.xls")</f>
        <v>利润及利润分配表.xls</v>
      </c>
      <c r="Q3391">
        <v>0.08</v>
      </c>
      <c r="R3391" s="7" t="str">
        <f t="shared" si="67"/>
        <v>E:\附赠：Excel模板\精美EXCEL模板\网友极力推荐的Excel模板1000例</v>
      </c>
      <c r="S3391" s="9">
        <v>43600.3821759259</v>
      </c>
      <c r="T3391" s="9">
        <v>43390.5163657407</v>
      </c>
    </row>
    <row r="3392" spans="14:20">
      <c r="N3392" s="7" t="str">
        <f>HYPERLINK("E:\附赠：Excel模板\精美EXCEL模板\网友极力推荐的Excel模板1000例\利润及利润分配表2.xls","利润及利润分配表2.xls")</f>
        <v>利润及利润分配表2.xls</v>
      </c>
      <c r="Q3392">
        <v>0.02</v>
      </c>
      <c r="R3392" s="7" t="str">
        <f t="shared" si="67"/>
        <v>E:\附赠：Excel模板\精美EXCEL模板\网友极力推荐的Excel模板1000例</v>
      </c>
      <c r="S3392" s="9">
        <v>43600.3821759259</v>
      </c>
      <c r="T3392" s="9">
        <v>43390.5163657407</v>
      </c>
    </row>
    <row r="3393" spans="14:20">
      <c r="N3393" s="7" t="str">
        <f>HYPERLINK("E:\附赠：Excel模板\精美EXCEL模板\网友极力推荐的Excel模板1000例\利润及利润分配表（旅游类）.xls","利润及利润分配表（旅游类）.xls")</f>
        <v>利润及利润分配表（旅游类）.xls</v>
      </c>
      <c r="Q3393">
        <v>0.02</v>
      </c>
      <c r="R3393" s="7" t="str">
        <f t="shared" si="67"/>
        <v>E:\附赠：Excel模板\精美EXCEL模板\网友极力推荐的Excel模板1000例</v>
      </c>
      <c r="S3393" s="9">
        <v>43600.3821759259</v>
      </c>
      <c r="T3393" s="9">
        <v>43390.5163657407</v>
      </c>
    </row>
    <row r="3394" spans="14:20">
      <c r="N3394" s="7" t="str">
        <f>HYPERLINK("E:\附赠：Excel模板\精美EXCEL模板\网友极力推荐的Excel模板1000例\利润表.xls","利润表.xls")</f>
        <v>利润表.xls</v>
      </c>
      <c r="Q3394">
        <v>0.02</v>
      </c>
      <c r="R3394" s="7" t="str">
        <f t="shared" ref="R3394:R3457" si="68">HYPERLINK("E:\附赠：Excel模板\精美EXCEL模板\网友极力推荐的Excel模板1000例","E:\附赠：Excel模板\精美EXCEL模板\网友极力推荐的Excel模板1000例")</f>
        <v>E:\附赠：Excel模板\精美EXCEL模板\网友极力推荐的Excel模板1000例</v>
      </c>
      <c r="S3394" s="9">
        <v>43600.3821759259</v>
      </c>
      <c r="T3394" s="9">
        <v>43390.5163888889</v>
      </c>
    </row>
    <row r="3395" spans="14:20">
      <c r="N3395" s="7" t="str">
        <f>HYPERLINK("E:\附赠：Excel模板\精美EXCEL模板\网友极力推荐的Excel模板1000例\利润表2.xls","利润表2.xls")</f>
        <v>利润表2.xls</v>
      </c>
      <c r="Q3395">
        <v>0.02</v>
      </c>
      <c r="R3395" s="7" t="str">
        <f t="shared" si="68"/>
        <v>E:\附赠：Excel模板\精美EXCEL模板\网友极力推荐的Excel模板1000例</v>
      </c>
      <c r="S3395" s="9">
        <v>43600.3821759259</v>
      </c>
      <c r="T3395" s="9">
        <v>43390.5163888889</v>
      </c>
    </row>
    <row r="3396" spans="14:20">
      <c r="N3396" s="7" t="str">
        <f>HYPERLINK("E:\附赠：Excel模板\精美EXCEL模板\网友极力推荐的Excel模板1000例\利润表3.xls","利润表3.xls")</f>
        <v>利润表3.xls</v>
      </c>
      <c r="Q3396">
        <v>0.02</v>
      </c>
      <c r="R3396" s="7" t="str">
        <f t="shared" si="68"/>
        <v>E:\附赠：Excel模板\精美EXCEL模板\网友极力推荐的Excel模板1000例</v>
      </c>
      <c r="S3396" s="9">
        <v>43600.3821759259</v>
      </c>
      <c r="T3396" s="9">
        <v>43390.5163888889</v>
      </c>
    </row>
    <row r="3397" spans="14:20">
      <c r="N3397" s="7" t="str">
        <f>HYPERLINK("E:\附赠：Excel模板\精美EXCEL模板\网友极力推荐的Excel模板1000例\利润表4.xls","利润表4.xls")</f>
        <v>利润表4.xls</v>
      </c>
      <c r="Q3397">
        <v>0.02</v>
      </c>
      <c r="R3397" s="7" t="str">
        <f t="shared" si="68"/>
        <v>E:\附赠：Excel模板\精美EXCEL模板\网友极力推荐的Excel模板1000例</v>
      </c>
      <c r="S3397" s="9">
        <v>43600.3821759259</v>
      </c>
      <c r="T3397" s="9">
        <v>43390.5163888889</v>
      </c>
    </row>
    <row r="3398" spans="14:20">
      <c r="N3398" s="7" t="str">
        <f>HYPERLINK("E:\附赠：Excel模板\精美EXCEL模板\网友极力推荐的Excel模板1000例\利润预算表.xls","利润预算表.xls")</f>
        <v>利润预算表.xls</v>
      </c>
      <c r="Q3398">
        <v>0.02</v>
      </c>
      <c r="R3398" s="7" t="str">
        <f t="shared" si="68"/>
        <v>E:\附赠：Excel模板\精美EXCEL模板\网友极力推荐的Excel模板1000例</v>
      </c>
      <c r="S3398" s="9">
        <v>43600.3821759259</v>
      </c>
      <c r="T3398" s="9">
        <v>43390.5163657407</v>
      </c>
    </row>
    <row r="3399" spans="14:20">
      <c r="N3399" s="7" t="str">
        <f>HYPERLINK("E:\附赠：Excel模板\精美EXCEL模板\网友极力推荐的Excel模板1000例\前期物业管理服务等级证明申请表.xls","前期物业管理服务等级证明申请表.xls")</f>
        <v>前期物业管理服务等级证明申请表.xls</v>
      </c>
      <c r="Q3399">
        <v>0.02</v>
      </c>
      <c r="R3399" s="7" t="str">
        <f t="shared" si="68"/>
        <v>E:\附赠：Excel模板\精美EXCEL模板\网友极力推荐的Excel模板1000例</v>
      </c>
      <c r="S3399" s="9">
        <v>43600.3821759259</v>
      </c>
      <c r="T3399" s="9">
        <v>43390.5162268519</v>
      </c>
    </row>
    <row r="3400" spans="14:20">
      <c r="N3400" s="7" t="str">
        <f>HYPERLINK("E:\附赠：Excel模板\精美EXCEL模板\网友极力推荐的Excel模板1000例\加工贸易生产能力证明.xls","加工贸易生产能力证明.xls")</f>
        <v>加工贸易生产能力证明.xls</v>
      </c>
      <c r="Q3400">
        <v>0.03</v>
      </c>
      <c r="R3400" s="7" t="str">
        <f t="shared" si="68"/>
        <v>E:\附赠：Excel模板\精美EXCEL模板\网友极力推荐的Excel模板1000例</v>
      </c>
      <c r="S3400" s="9">
        <v>43600.3821759259</v>
      </c>
      <c r="T3400" s="9">
        <v>43390.5165046296</v>
      </c>
    </row>
    <row r="3401" spans="14:20">
      <c r="N3401" s="7" t="str">
        <f>HYPERLINK("E:\附赠：Excel模板\精美EXCEL模板\网友极力推荐的Excel模板1000例\加工贸易经营状况.xls","加工贸易经营状况.xls")</f>
        <v>加工贸易经营状况.xls</v>
      </c>
      <c r="Q3401">
        <v>0.03</v>
      </c>
      <c r="R3401" s="7" t="str">
        <f t="shared" si="68"/>
        <v>E:\附赠：Excel模板\精美EXCEL模板\网友极力推荐的Excel模板1000例</v>
      </c>
      <c r="S3401" s="9">
        <v>43600.3821759259</v>
      </c>
      <c r="T3401" s="9">
        <v>43390.5165046296</v>
      </c>
    </row>
    <row r="3402" spans="14:20">
      <c r="N3402" s="7" t="str">
        <f>HYPERLINK("E:\附赠：Excel模板\精美EXCEL模板\网友极力推荐的Excel模板1000例\劳动者就业登记表.xls","劳动者就业登记表.xls")</f>
        <v>劳动者就业登记表.xls</v>
      </c>
      <c r="Q3402">
        <v>0.02</v>
      </c>
      <c r="R3402" s="7" t="str">
        <f t="shared" si="68"/>
        <v>E:\附赠：Excel模板\精美EXCEL模板\网友极力推荐的Excel模板1000例</v>
      </c>
      <c r="S3402" s="9">
        <v>43600.3821759259</v>
      </c>
      <c r="T3402" s="9">
        <v>43390.5163888889</v>
      </c>
    </row>
    <row r="3403" spans="14:20">
      <c r="N3403" s="7" t="str">
        <f>HYPERLINK("E:\附赠：Excel模板\精美EXCEL模板\网友极力推荐的Excel模板1000例\勘查许可证、采矿许可证发放情况.xls","勘查许可证、采矿许可证发放情况.xls")</f>
        <v>勘查许可证、采矿许可证发放情况.xls</v>
      </c>
      <c r="Q3403">
        <v>0.02</v>
      </c>
      <c r="R3403" s="7" t="str">
        <f t="shared" si="68"/>
        <v>E:\附赠：Excel模板\精美EXCEL模板\网友极力推荐的Excel模板1000例</v>
      </c>
      <c r="S3403" s="9">
        <v>43600.3821759259</v>
      </c>
      <c r="T3403" s="9">
        <v>43390.516412037</v>
      </c>
    </row>
    <row r="3404" spans="14:20">
      <c r="N3404" s="7" t="str">
        <f>HYPERLINK("E:\附赠：Excel模板\精美EXCEL模板\网友极力推荐的Excel模板1000例\勘测设计企业财务状况.xls","勘测设计企业财务状况.xls")</f>
        <v>勘测设计企业财务状况.xls</v>
      </c>
      <c r="Q3404">
        <v>0.02</v>
      </c>
      <c r="R3404" s="7" t="str">
        <f t="shared" si="68"/>
        <v>E:\附赠：Excel模板\精美EXCEL模板\网友极力推荐的Excel模板1000例</v>
      </c>
      <c r="S3404" s="9">
        <v>43600.3821759259</v>
      </c>
      <c r="T3404" s="9">
        <v>43390.516412037</v>
      </c>
    </row>
    <row r="3405" spans="14:20">
      <c r="N3405" s="7" t="str">
        <f>HYPERLINK("E:\附赠：Excel模板\精美EXCEL模板\网友极力推荐的Excel模板1000例\区县妇女儿童发展规划统计监测基本情况表.xls","区县妇女儿童发展规划统计监测基本情况表.xls")</f>
        <v>区县妇女儿童发展规划统计监测基本情况表.xls</v>
      </c>
      <c r="Q3405">
        <v>0.24</v>
      </c>
      <c r="R3405" s="7" t="str">
        <f t="shared" si="68"/>
        <v>E:\附赠：Excel模板\精美EXCEL模板\网友极力推荐的Excel模板1000例</v>
      </c>
      <c r="S3405" s="9">
        <v>43600.3821759259</v>
      </c>
      <c r="T3405" s="9">
        <v>43390.5162268519</v>
      </c>
    </row>
    <row r="3406" spans="14:20">
      <c r="N3406" s="7" t="str">
        <f>HYPERLINK("E:\附赠：Excel模板\精美EXCEL模板\网友极力推荐的Excel模板1000例\区自行、分散采购资金财政直接拨付申请表.xls","区自行、分散采购资金财政直接拨付申请表.xls")</f>
        <v>区自行、分散采购资金财政直接拨付申请表.xls</v>
      </c>
      <c r="Q3406">
        <v>0.02</v>
      </c>
      <c r="R3406" s="7" t="str">
        <f t="shared" si="68"/>
        <v>E:\附赠：Excel模板\精美EXCEL模板\网友极力推荐的Excel模板1000例</v>
      </c>
      <c r="S3406" s="9">
        <v>43600.3821759259</v>
      </c>
      <c r="T3406" s="9">
        <v>43390.5162268519</v>
      </c>
    </row>
    <row r="3407" spans="14:20">
      <c r="N3407" s="7" t="str">
        <f>HYPERLINK("E:\附赠：Excel模板\精美EXCEL模板\网友极力推荐的Excel模板1000例\医疗单位物流.xls","医疗单位物流.xls")</f>
        <v>医疗单位物流.xls</v>
      </c>
      <c r="Q3407">
        <v>0.02</v>
      </c>
      <c r="R3407" s="7" t="str">
        <f t="shared" si="68"/>
        <v>E:\附赠：Excel模板\精美EXCEL模板\网友极力推荐的Excel模板1000例</v>
      </c>
      <c r="S3407" s="9">
        <v>43600.3821759259</v>
      </c>
      <c r="T3407" s="9">
        <v>43390.515787037</v>
      </c>
    </row>
    <row r="3408" spans="14:20">
      <c r="N3408" s="7" t="str">
        <f>HYPERLINK("E:\附赠：Excel模板\精美EXCEL模板\网友极力推荐的Excel模板1000例\医疗机构医疗收支明细表.xls","医疗机构医疗收支明细表.xls")</f>
        <v>医疗机构医疗收支明细表.xls</v>
      </c>
      <c r="Q3408">
        <v>0.02</v>
      </c>
      <c r="R3408" s="7" t="str">
        <f t="shared" si="68"/>
        <v>E:\附赠：Excel模板\精美EXCEL模板\网友极力推荐的Excel模板1000例</v>
      </c>
      <c r="S3408" s="9">
        <v>43600.3821759259</v>
      </c>
      <c r="T3408" s="9">
        <v>43390.515787037</v>
      </c>
    </row>
    <row r="3409" spans="14:20">
      <c r="N3409" s="7" t="str">
        <f>HYPERLINK("E:\附赠：Excel模板\精美EXCEL模板\网友极力推荐的Excel模板1000例\医疗机构基本数字表.xls","医疗机构基本数字表.xls")</f>
        <v>医疗机构基本数字表.xls</v>
      </c>
      <c r="Q3409">
        <v>0.02</v>
      </c>
      <c r="R3409" s="7" t="str">
        <f t="shared" si="68"/>
        <v>E:\附赠：Excel模板\精美EXCEL模板\网友极力推荐的Excel模板1000例</v>
      </c>
      <c r="S3409" s="9">
        <v>43600.3821759259</v>
      </c>
      <c r="T3409" s="9">
        <v>43390.515787037</v>
      </c>
    </row>
    <row r="3410" spans="14:20">
      <c r="N3410" s="7" t="str">
        <f>HYPERLINK("E:\附赠：Excel模板\精美EXCEL模板\网友极力推荐的Excel模板1000例\医疗机构基金变动情况表.xls","医疗机构基金变动情况表.xls")</f>
        <v>医疗机构基金变动情况表.xls</v>
      </c>
      <c r="Q3410">
        <v>0.02</v>
      </c>
      <c r="R3410" s="7" t="str">
        <f t="shared" si="68"/>
        <v>E:\附赠：Excel模板\精美EXCEL模板\网友极力推荐的Excel模板1000例</v>
      </c>
      <c r="S3410" s="9">
        <v>43600.3821759259</v>
      </c>
      <c r="T3410" s="9">
        <v>43390.515787037</v>
      </c>
    </row>
    <row r="3411" spans="14:20">
      <c r="N3411" s="7" t="str">
        <f>HYPERLINK("E:\附赠：Excel模板\精美EXCEL模板\网友极力推荐的Excel模板1000例\医疗机构收入支出总表.xls","医疗机构收入支出总表.xls")</f>
        <v>医疗机构收入支出总表.xls</v>
      </c>
      <c r="Q3411">
        <v>0.02</v>
      </c>
      <c r="R3411" s="7" t="str">
        <f t="shared" si="68"/>
        <v>E:\附赠：Excel模板\精美EXCEL模板\网友极力推荐的Excel模板1000例</v>
      </c>
      <c r="S3411" s="9">
        <v>43600.3821759259</v>
      </c>
      <c r="T3411" s="9">
        <v>43390.515787037</v>
      </c>
    </row>
    <row r="3412" spans="14:20">
      <c r="N3412" s="7" t="str">
        <f>HYPERLINK("E:\附赠：Excel模板\精美EXCEL模板\网友极力推荐的Excel模板1000例\医疗机构药品收支明细表.xls","医疗机构药品收支明细表.xls")</f>
        <v>医疗机构药品收支明细表.xls</v>
      </c>
      <c r="Q3412">
        <v>0.02</v>
      </c>
      <c r="R3412" s="7" t="str">
        <f t="shared" si="68"/>
        <v>E:\附赠：Excel模板\精美EXCEL模板\网友极力推荐的Excel模板1000例</v>
      </c>
      <c r="S3412" s="9">
        <v>43600.3821759259</v>
      </c>
      <c r="T3412" s="9">
        <v>43390.515787037</v>
      </c>
    </row>
    <row r="3413" spans="14:20">
      <c r="N3413" s="7" t="str">
        <f>HYPERLINK("E:\附赠：Excel模板\精美EXCEL模板\网友极力推荐的Excel模板1000例\医疗机构资产负债表.xls","医疗机构资产负债表.xls")</f>
        <v>医疗机构资产负债表.xls</v>
      </c>
      <c r="Q3413">
        <v>0.02</v>
      </c>
      <c r="R3413" s="7" t="str">
        <f t="shared" si="68"/>
        <v>E:\附赠：Excel模板\精美EXCEL模板\网友极力推荐的Excel模板1000例</v>
      </c>
      <c r="S3413" s="9">
        <v>43600.3821759259</v>
      </c>
      <c r="T3413" s="9">
        <v>43390.5157638889</v>
      </c>
    </row>
    <row r="3414" spans="14:20">
      <c r="N3414" s="7" t="str">
        <f>HYPERLINK("E:\附赠：Excel模板\精美EXCEL模板\网友极力推荐的Excel模板1000例\单位人员车辆基本信息表.xls","单位人员车辆基本信息表.xls")</f>
        <v>单位人员车辆基本信息表.xls</v>
      </c>
      <c r="Q3414">
        <v>0.02</v>
      </c>
      <c r="R3414" s="7" t="str">
        <f t="shared" si="68"/>
        <v>E:\附赠：Excel模板\精美EXCEL模板\网友极力推荐的Excel模板1000例</v>
      </c>
      <c r="S3414" s="9">
        <v>43600.3821759259</v>
      </c>
      <c r="T3414" s="9">
        <v>43390.5167361111</v>
      </c>
    </row>
    <row r="3415" spans="14:20">
      <c r="N3415" s="7" t="str">
        <f>HYPERLINK("E:\附赠：Excel模板\精美EXCEL模板\网友极力推荐的Excel模板1000例\单位基本情况表.xls","单位基本情况表.xls")</f>
        <v>单位基本情况表.xls</v>
      </c>
      <c r="Q3415">
        <v>0.02</v>
      </c>
      <c r="R3415" s="7" t="str">
        <f t="shared" si="68"/>
        <v>E:\附赠：Excel模板\精美EXCEL模板\网友极力推荐的Excel模板1000例</v>
      </c>
      <c r="S3415" s="9">
        <v>43600.3821759259</v>
      </c>
      <c r="T3415" s="9">
        <v>43390.5167361111</v>
      </c>
    </row>
    <row r="3416" spans="14:20">
      <c r="N3416" s="7" t="str">
        <f>HYPERLINK("E:\附赠：Excel模板\精美EXCEL模板\网友极力推荐的Excel模板1000例\单位帮困救助情况表.xls","单位帮困救助情况表.xls")</f>
        <v>单位帮困救助情况表.xls</v>
      </c>
      <c r="Q3416">
        <v>0.02</v>
      </c>
      <c r="R3416" s="7" t="str">
        <f t="shared" si="68"/>
        <v>E:\附赠：Excel模板\精美EXCEL模板\网友极力推荐的Excel模板1000例</v>
      </c>
      <c r="S3416" s="9">
        <v>43600.3821759259</v>
      </c>
      <c r="T3416" s="9">
        <v>43390.5167592593</v>
      </c>
    </row>
    <row r="3417" spans="14:20">
      <c r="N3417" s="7" t="str">
        <f>HYPERLINK("E:\附赠：Excel模板\精美EXCEL模板\网友极力推荐的Excel模板1000例\单位改制企业职工情况表.xls","单位改制企业职工情况表.xls")</f>
        <v>单位改制企业职工情况表.xls</v>
      </c>
      <c r="Q3417">
        <v>0.03</v>
      </c>
      <c r="R3417" s="7" t="str">
        <f t="shared" si="68"/>
        <v>E:\附赠：Excel模板\精美EXCEL模板\网友极力推荐的Excel模板1000例</v>
      </c>
      <c r="S3417" s="9">
        <v>43600.3821759259</v>
      </c>
      <c r="T3417" s="9">
        <v>43390.5167361111</v>
      </c>
    </row>
    <row r="3418" spans="14:20">
      <c r="N3418" s="7" t="str">
        <f>HYPERLINK("E:\附赠：Excel模板\精美EXCEL模板\网友极力推荐的Excel模板1000例\单位清欠劳动债务情况表.xls","单位清欠劳动债务情况表.xls")</f>
        <v>单位清欠劳动债务情况表.xls</v>
      </c>
      <c r="Q3418">
        <v>0.02</v>
      </c>
      <c r="R3418" s="7" t="str">
        <f t="shared" si="68"/>
        <v>E:\附赠：Excel模板\精美EXCEL模板\网友极力推荐的Excel模板1000例</v>
      </c>
      <c r="S3418" s="9">
        <v>43600.3821759259</v>
      </c>
      <c r="T3418" s="9">
        <v>43390.5167361111</v>
      </c>
    </row>
    <row r="3419" spans="14:20">
      <c r="N3419" s="7" t="str">
        <f>HYPERLINK("E:\附赠：Excel模板\精美EXCEL模板\网友极力推荐的Excel模板1000例\单位生产成本估算表.xls","单位生产成本估算表.xls")</f>
        <v>单位生产成本估算表.xls</v>
      </c>
      <c r="Q3419">
        <v>0.01</v>
      </c>
      <c r="R3419" s="7" t="str">
        <f t="shared" si="68"/>
        <v>E:\附赠：Excel模板\精美EXCEL模板\网友极力推荐的Excel模板1000例</v>
      </c>
      <c r="S3419" s="9">
        <v>43600.3821759259</v>
      </c>
      <c r="T3419" s="9">
        <v>43390.5167361111</v>
      </c>
    </row>
    <row r="3420" spans="14:20">
      <c r="N3420" s="7" t="str">
        <f>HYPERLINK("E:\附赠：Excel模板\精美EXCEL模板\网友极力推荐的Excel模板1000例\单位申请贷款贴息表.xls","单位申请贷款贴息表.xls")</f>
        <v>单位申请贷款贴息表.xls</v>
      </c>
      <c r="Q3420">
        <v>0.04</v>
      </c>
      <c r="R3420" s="7" t="str">
        <f t="shared" si="68"/>
        <v>E:\附赠：Excel模板\精美EXCEL模板\网友极力推荐的Excel模板1000例</v>
      </c>
      <c r="S3420" s="9">
        <v>43600.3821759259</v>
      </c>
      <c r="T3420" s="9">
        <v>43390.5167361111</v>
      </c>
    </row>
    <row r="3421" spans="14:20">
      <c r="N3421" s="7" t="str">
        <f>HYPERLINK("E:\附赠：Excel模板\精美EXCEL模板\网友极力推荐的Excel模板1000例\单位财务工作检查记录.xls","单位财务工作检查记录.xls")</f>
        <v>单位财务工作检查记录.xls</v>
      </c>
      <c r="Q3421">
        <v>0.03</v>
      </c>
      <c r="R3421" s="7" t="str">
        <f t="shared" si="68"/>
        <v>E:\附赠：Excel模板\精美EXCEL模板\网友极力推荐的Excel模板1000例</v>
      </c>
      <c r="S3421" s="9">
        <v>43600.3821759259</v>
      </c>
      <c r="T3421" s="9">
        <v>43390.5167361111</v>
      </c>
    </row>
    <row r="3422" spans="14:20">
      <c r="N3422" s="7" t="str">
        <f>HYPERLINK("E:\附赠：Excel模板\精美EXCEL模板\网友极力推荐的Excel模板1000例\卫生、中医事业单位基本数字表.xls","卫生、中医事业单位基本数字表.xls")</f>
        <v>卫生、中医事业单位基本数字表.xls</v>
      </c>
      <c r="Q3422">
        <v>0.02</v>
      </c>
      <c r="R3422" s="7" t="str">
        <f t="shared" si="68"/>
        <v>E:\附赠：Excel模板\精美EXCEL模板\网友极力推荐的Excel模板1000例</v>
      </c>
      <c r="S3422" s="9">
        <v>43600.3821759259</v>
      </c>
      <c r="T3422" s="9">
        <v>43390.5159953704</v>
      </c>
    </row>
    <row r="3423" spans="14:20">
      <c r="N3423" s="7" t="str">
        <f>HYPERLINK("E:\附赠：Excel模板\精美EXCEL模板\网友极力推荐的Excel模板1000例\卫生、中医事业单位收支表.xls","卫生、中医事业单位收支表.xls")</f>
        <v>卫生、中医事业单位收支表.xls</v>
      </c>
      <c r="Q3423">
        <v>0.02</v>
      </c>
      <c r="R3423" s="7" t="str">
        <f t="shared" si="68"/>
        <v>E:\附赠：Excel模板\精美EXCEL模板\网友极力推荐的Excel模板1000例</v>
      </c>
      <c r="S3423" s="9">
        <v>43600.3821759259</v>
      </c>
      <c r="T3423" s="9">
        <v>43390.5159953704</v>
      </c>
    </row>
    <row r="3424" spans="14:20">
      <c r="N3424" s="7" t="str">
        <f>HYPERLINK("E:\附赠：Excel模板\精美EXCEL模板\网友极力推荐的Excel模板1000例\卫生事业单位资产负债表.xls","卫生事业单位资产负债表.xls")</f>
        <v>卫生事业单位资产负债表.xls</v>
      </c>
      <c r="Q3424">
        <v>0.02</v>
      </c>
      <c r="R3424" s="7" t="str">
        <f t="shared" si="68"/>
        <v>E:\附赠：Excel模板\精美EXCEL模板\网友极力推荐的Excel模板1000例</v>
      </c>
      <c r="S3424" s="9">
        <v>43600.3821759259</v>
      </c>
      <c r="T3424" s="9">
        <v>43390.5159953704</v>
      </c>
    </row>
    <row r="3425" spans="14:20">
      <c r="N3425" s="7" t="str">
        <f>HYPERLINK("E:\附赠：Excel模板\精美EXCEL模板\网友极力推荐的Excel模板1000例\卫生支出统计表.xls","卫生支出统计表.xls")</f>
        <v>卫生支出统计表.xls</v>
      </c>
      <c r="Q3425">
        <v>0.02</v>
      </c>
      <c r="R3425" s="7" t="str">
        <f t="shared" si="68"/>
        <v>E:\附赠：Excel模板\精美EXCEL模板\网友极力推荐的Excel模板1000例</v>
      </c>
      <c r="S3425" s="9">
        <v>43600.3821759259</v>
      </c>
      <c r="T3425" s="9">
        <v>43390.5159953704</v>
      </c>
    </row>
    <row r="3426" spans="14:20">
      <c r="N3426" s="7" t="str">
        <f>HYPERLINK("E:\附赠：Excel模板\精美EXCEL模板\网友极力推荐的Excel模板1000例\卫生机构基本建设情况表1.xls","卫生机构基本建设情况表1.xls")</f>
        <v>卫生机构基本建设情况表1.xls</v>
      </c>
      <c r="Q3426">
        <v>0.02</v>
      </c>
      <c r="R3426" s="7" t="str">
        <f t="shared" si="68"/>
        <v>E:\附赠：Excel模板\精美EXCEL模板\网友极力推荐的Excel模板1000例</v>
      </c>
      <c r="S3426" s="9">
        <v>43600.3821759259</v>
      </c>
      <c r="T3426" s="9">
        <v>43390.5159953704</v>
      </c>
    </row>
    <row r="3427" spans="14:20">
      <c r="N3427" s="7" t="str">
        <f>HYPERLINK("E:\附赠：Excel模板\精美EXCEL模板\网友极力推荐的Excel模板1000例\卫生机构基本建设情况表2.xls","卫生机构基本建设情况表2.xls")</f>
        <v>卫生机构基本建设情况表2.xls</v>
      </c>
      <c r="Q3427">
        <v>0.02</v>
      </c>
      <c r="R3427" s="7" t="str">
        <f t="shared" si="68"/>
        <v>E:\附赠：Excel模板\精美EXCEL模板\网友极力推荐的Excel模板1000例</v>
      </c>
      <c r="S3427" s="9">
        <v>43600.3821759259</v>
      </c>
      <c r="T3427" s="9">
        <v>43390.5159953704</v>
      </c>
    </row>
    <row r="3428" spans="14:20">
      <c r="N3428" s="7" t="str">
        <f>HYPERLINK("E:\附赠：Excel模板\精美EXCEL模板\网友极力推荐的Excel模板1000例\卫生机构基本建设投资完成情况调查表.xls","卫生机构基本建设投资完成情况调查表.xls")</f>
        <v>卫生机构基本建设投资完成情况调查表.xls</v>
      </c>
      <c r="Q3428">
        <v>0.02</v>
      </c>
      <c r="R3428" s="7" t="str">
        <f t="shared" si="68"/>
        <v>E:\附赠：Excel模板\精美EXCEL模板\网友极力推荐的Excel模板1000例</v>
      </c>
      <c r="S3428" s="9">
        <v>43600.3821759259</v>
      </c>
      <c r="T3428" s="9">
        <v>43390.5159953704</v>
      </c>
    </row>
    <row r="3429" spans="14:20">
      <c r="N3429" s="7" t="str">
        <f>HYPERLINK("E:\附赠：Excel模板\精美EXCEL模板\网友极力推荐的Excel模板1000例\卫生部门效益统计.xls","卫生部门效益统计.xls")</f>
        <v>卫生部门效益统计.xls</v>
      </c>
      <c r="Q3429">
        <v>0.02</v>
      </c>
      <c r="R3429" s="7" t="str">
        <f t="shared" si="68"/>
        <v>E:\附赠：Excel模板\精美EXCEL模板\网友极力推荐的Excel模板1000例</v>
      </c>
      <c r="S3429" s="9">
        <v>43600.3821759259</v>
      </c>
      <c r="T3429" s="9">
        <v>43390.5159953704</v>
      </c>
    </row>
    <row r="3430" spans="14:20">
      <c r="N3430" s="7" t="str">
        <f>HYPERLINK("E:\附赠：Excel模板\精美EXCEL模板\网友极力推荐的Excel模板1000例\历届知名校友名册.xls","历届知名校友名册.xls")</f>
        <v>历届知名校友名册.xls</v>
      </c>
      <c r="Q3430">
        <v>0.02</v>
      </c>
      <c r="R3430" s="7" t="str">
        <f t="shared" si="68"/>
        <v>E:\附赠：Excel模板\精美EXCEL模板\网友极力推荐的Excel模板1000例</v>
      </c>
      <c r="S3430" s="9">
        <v>43600.3821759259</v>
      </c>
      <c r="T3430" s="9">
        <v>43390.5163888889</v>
      </c>
    </row>
    <row r="3431" spans="14:20">
      <c r="N3431" s="7" t="str">
        <f>HYPERLINK("E:\附赠：Excel模板\精美EXCEL模板\网友极力推荐的Excel模板1000例\参加国外学习班(展览)报名表.xls","参加国外学习班(展览)报名表.xls")</f>
        <v>参加国外学习班(展览)报名表.xls</v>
      </c>
      <c r="Q3431">
        <v>0.02</v>
      </c>
      <c r="R3431" s="7" t="str">
        <f t="shared" si="68"/>
        <v>E:\附赠：Excel模板\精美EXCEL模板\网友极力推荐的Excel模板1000例</v>
      </c>
      <c r="S3431" s="9">
        <v>43600.3821759259</v>
      </c>
      <c r="T3431" s="9">
        <v>43390.5168518519</v>
      </c>
    </row>
    <row r="3432" spans="14:20">
      <c r="N3432" s="7" t="str">
        <f>HYPERLINK("E:\附赠：Excel模板\精美EXCEL模板\网友极力推荐的Excel模板1000例\发票领用报表.xls","发票领用报表.xls")</f>
        <v>发票领用报表.xls</v>
      </c>
      <c r="Q3432">
        <v>0.02</v>
      </c>
      <c r="R3432" s="7" t="str">
        <f t="shared" si="68"/>
        <v>E:\附赠：Excel模板\精美EXCEL模板\网友极力推荐的Excel模板1000例</v>
      </c>
      <c r="S3432" s="9">
        <v>43600.3821759259</v>
      </c>
      <c r="T3432" s="9">
        <v>43390.516712963</v>
      </c>
    </row>
    <row r="3433" spans="14:20">
      <c r="N3433" s="7" t="str">
        <f>HYPERLINK("E:\附赠：Excel模板\精美EXCEL模板\网友极力推荐的Excel模板1000例\变动图表.xls","变动图表.xls")</f>
        <v>变动图表.xls</v>
      </c>
      <c r="Q3433">
        <v>0.05</v>
      </c>
      <c r="R3433" s="7" t="str">
        <f t="shared" si="68"/>
        <v>E:\附赠：Excel模板\精美EXCEL模板\网友极力推荐的Excel模板1000例</v>
      </c>
      <c r="S3433" s="9">
        <v>43600.3821759259</v>
      </c>
      <c r="T3433" s="9">
        <v>43390.5168981481</v>
      </c>
    </row>
    <row r="3434" spans="14:20">
      <c r="N3434" s="7" t="str">
        <f>HYPERLINK("E:\附赠：Excel模板\精美EXCEL模板\网友极力推荐的Excel模板1000例\变更住房补贴汇总表.xls","变更住房补贴汇总表.xls")</f>
        <v>变更住房补贴汇总表.xls</v>
      </c>
      <c r="Q3434">
        <v>0.02</v>
      </c>
      <c r="R3434" s="7" t="str">
        <f t="shared" si="68"/>
        <v>E:\附赠：Excel模板\精美EXCEL模板\网友极力推荐的Excel模板1000例</v>
      </c>
      <c r="S3434" s="9">
        <v>43600.3821759259</v>
      </c>
      <c r="T3434" s="9">
        <v>43390.5168981481</v>
      </c>
    </row>
    <row r="3435" spans="14:20">
      <c r="N3435" s="7" t="str">
        <f>HYPERLINK("E:\附赠：Excel模板\精美EXCEL模板\网友极力推荐的Excel模板1000例\各单位岗位津贴随月发放金额明细表1.xls","各单位岗位津贴随月发放金额明细表1.xls")</f>
        <v>各单位岗位津贴随月发放金额明细表1.xls</v>
      </c>
      <c r="Q3435">
        <v>0.07</v>
      </c>
      <c r="R3435" s="7" t="str">
        <f t="shared" si="68"/>
        <v>E:\附赠：Excel模板\精美EXCEL模板\网友极力推荐的Excel模板1000例</v>
      </c>
      <c r="S3435" s="9">
        <v>43600.3821759259</v>
      </c>
      <c r="T3435" s="9">
        <v>43390.5166666667</v>
      </c>
    </row>
    <row r="3436" spans="14:20">
      <c r="N3436" s="7" t="str">
        <f>HYPERLINK("E:\附赠：Excel模板\精美EXCEL模板\网友极力推荐的Excel模板1000例\各单位岗位津贴随月发放金额明细表2.xls","各单位岗位津贴随月发放金额明细表2.xls")</f>
        <v>各单位岗位津贴随月发放金额明细表2.xls</v>
      </c>
      <c r="Q3436">
        <v>0.02</v>
      </c>
      <c r="R3436" s="7" t="str">
        <f t="shared" si="68"/>
        <v>E:\附赠：Excel模板\精美EXCEL模板\网友极力推荐的Excel模板1000例</v>
      </c>
      <c r="S3436" s="9">
        <v>43600.3821759259</v>
      </c>
      <c r="T3436" s="9">
        <v>43390.5166666667</v>
      </c>
    </row>
    <row r="3437" spans="14:20">
      <c r="N3437" s="7" t="str">
        <f>HYPERLINK("E:\附赠：Excel模板\精美EXCEL模板\网友极力推荐的Excel模板1000例\各旅遊路線行程時間及團長安排匯總表.xls","各旅遊路線行程時間及團長安排匯總表.xls")</f>
        <v>各旅遊路線行程時間及團長安排匯總表.xls</v>
      </c>
      <c r="Q3437">
        <v>0.02</v>
      </c>
      <c r="R3437" s="7" t="str">
        <f t="shared" si="68"/>
        <v>E:\附赠：Excel模板\精美EXCEL模板\网友极力推荐的Excel模板1000例</v>
      </c>
      <c r="S3437" s="9">
        <v>43600.3821759259</v>
      </c>
      <c r="T3437" s="9">
        <v>43390.5166666667</v>
      </c>
    </row>
    <row r="3438" spans="14:20">
      <c r="N3438" s="7" t="str">
        <f>HYPERLINK("E:\附赠：Excel模板\精美EXCEL模板\网友极力推荐的Excel模板1000例\各环境指数统计表.xls","各环境指数统计表.xls")</f>
        <v>各环境指数统计表.xls</v>
      </c>
      <c r="Q3438">
        <v>0.02</v>
      </c>
      <c r="R3438" s="7" t="str">
        <f t="shared" si="68"/>
        <v>E:\附赠：Excel模板\精美EXCEL模板\网友极力推荐的Excel模板1000例</v>
      </c>
      <c r="S3438" s="9">
        <v>43600.3821759259</v>
      </c>
      <c r="T3438" s="9">
        <v>43390.5166666667</v>
      </c>
    </row>
    <row r="3439" spans="14:20">
      <c r="N3439" s="7" t="str">
        <f>HYPERLINK("E:\附赠：Excel模板\精美EXCEL模板\网友极力推荐的Excel模板1000例\各类体育竞赛获奖情况统计表.xls","各类体育竞赛获奖情况统计表.xls")</f>
        <v>各类体育竞赛获奖情况统计表.xls</v>
      </c>
      <c r="Q3439">
        <v>0.02</v>
      </c>
      <c r="R3439" s="7" t="str">
        <f t="shared" si="68"/>
        <v>E:\附赠：Excel模板\精美EXCEL模板\网友极力推荐的Excel模板1000例</v>
      </c>
      <c r="S3439" s="9">
        <v>43600.3821759259</v>
      </c>
      <c r="T3439" s="9">
        <v>43390.5166666667</v>
      </c>
    </row>
    <row r="3440" spans="14:20">
      <c r="N3440" s="7" t="str">
        <f>HYPERLINK("E:\附赠：Excel模板\精美EXCEL模板\网友极力推荐的Excel模板1000例\各类奖学金评定情况表.xls","各类奖学金评定情况表.xls")</f>
        <v>各类奖学金评定情况表.xls</v>
      </c>
      <c r="Q3440">
        <v>0.02</v>
      </c>
      <c r="R3440" s="7" t="str">
        <f t="shared" si="68"/>
        <v>E:\附赠：Excel模板\精美EXCEL模板\网友极力推荐的Excel模板1000例</v>
      </c>
      <c r="S3440" s="9">
        <v>43600.3821759259</v>
      </c>
      <c r="T3440" s="9">
        <v>43390.5166666667</v>
      </c>
    </row>
    <row r="3441" spans="14:20">
      <c r="N3441" s="7" t="str">
        <f>HYPERLINK("E:\附赠：Excel模板\精美EXCEL模板\网友极力推荐的Excel模板1000例\合伙律师事务所建设情况问卷调查表.xls","合伙律师事务所建设情况问卷调查表.xls")</f>
        <v>合伙律师事务所建设情况问卷调查表.xls</v>
      </c>
      <c r="Q3441">
        <v>0.02</v>
      </c>
      <c r="R3441" s="7" t="str">
        <f t="shared" si="68"/>
        <v>E:\附赠：Excel模板\精美EXCEL模板\网友极力推荐的Excel模板1000例</v>
      </c>
      <c r="S3441" s="9">
        <v>43600.3821759259</v>
      </c>
      <c r="T3441" s="9">
        <v>43390.5165740741</v>
      </c>
    </row>
    <row r="3442" spans="14:20">
      <c r="N3442" s="7" t="str">
        <f>HYPERLINK("E:\附赠：Excel模板\精美EXCEL模板\网友极力推荐的Excel模板1000例\合作医疗票据统计表.xls","合作医疗票据统计表.xls")</f>
        <v>合作医疗票据统计表.xls</v>
      </c>
      <c r="Q3442">
        <v>0.14</v>
      </c>
      <c r="R3442" s="7" t="str">
        <f t="shared" si="68"/>
        <v>E:\附赠：Excel模板\精美EXCEL模板\网友极力推荐的Excel模板1000例</v>
      </c>
      <c r="S3442" s="9">
        <v>43600.3821759259</v>
      </c>
      <c r="T3442" s="9">
        <v>43390.5165740741</v>
      </c>
    </row>
    <row r="3443" spans="14:20">
      <c r="N3443" s="7" t="str">
        <f>HYPERLINK("E:\附赠：Excel模板\精美EXCEL模板\网友极力推荐的Excel模板1000例\合格醫院名單.xls","合格醫院名單.xls")</f>
        <v>合格醫院名單.xls</v>
      </c>
      <c r="Q3443">
        <v>0.02</v>
      </c>
      <c r="R3443" s="7" t="str">
        <f t="shared" si="68"/>
        <v>E:\附赠：Excel模板\精美EXCEL模板\网友极力推荐的Excel模板1000例</v>
      </c>
      <c r="S3443" s="9">
        <v>43600.3821759259</v>
      </c>
      <c r="T3443" s="9">
        <v>43390.5165740741</v>
      </c>
    </row>
    <row r="3444" spans="14:20">
      <c r="N3444" s="7" t="str">
        <f>HYPERLINK("E:\附赠：Excel模板\精美EXCEL模板\网友极力推荐的Excel模板1000例\员工概况表.xls","员工概况表.xls")</f>
        <v>员工概况表.xls</v>
      </c>
      <c r="Q3444">
        <v>0.02</v>
      </c>
      <c r="R3444" s="7" t="str">
        <f t="shared" si="68"/>
        <v>E:\附赠：Excel模板\精美EXCEL模板\网友极力推荐的Excel模板1000例</v>
      </c>
      <c r="S3444" s="9">
        <v>43600.3821759259</v>
      </c>
      <c r="T3444" s="9">
        <v>43390.5157407407</v>
      </c>
    </row>
    <row r="3445" spans="14:20">
      <c r="N3445" s="7" t="str">
        <f>HYPERLINK("E:\附赠：Excel模板\精美EXCEL模板\网友极力推荐的Excel模板1000例\员工面试通过一览表.xls","员工面试通过一览表.xls")</f>
        <v>员工面试通过一览表.xls</v>
      </c>
      <c r="Q3445">
        <v>0.02</v>
      </c>
      <c r="R3445" s="7" t="str">
        <f t="shared" si="68"/>
        <v>E:\附赠：Excel模板\精美EXCEL模板\网友极力推荐的Excel模板1000例</v>
      </c>
      <c r="S3445" s="9">
        <v>43600.3821759259</v>
      </c>
      <c r="T3445" s="9">
        <v>43390.5157407407</v>
      </c>
    </row>
    <row r="3446" spans="14:20">
      <c r="N3446" s="7" t="str">
        <f>HYPERLINK("E:\附赠：Excel模板\精美EXCEL模板\网友极力推荐的Excel模板1000例\咨询单位资质系统.xls","咨询单位资质系统.xls")</f>
        <v>咨询单位资质系统.xls</v>
      </c>
      <c r="Q3446">
        <v>0.15</v>
      </c>
      <c r="R3446" s="7" t="str">
        <f t="shared" si="68"/>
        <v>E:\附赠：Excel模板\精美EXCEL模板\网友极力推荐的Excel模板1000例</v>
      </c>
      <c r="S3446" s="9">
        <v>43600.3821759259</v>
      </c>
      <c r="T3446" s="9">
        <v>43390.515625</v>
      </c>
    </row>
    <row r="3447" spans="14:20">
      <c r="N3447" s="7" t="str">
        <f>HYPERLINK("E:\附赠：Excel模板\精美EXCEL模板\网友极力推荐的Excel模板1000例\品学兼优毕业生名单.xls","品学兼优毕业生名单.xls")</f>
        <v>品学兼优毕业生名单.xls</v>
      </c>
      <c r="Q3447">
        <v>0.02</v>
      </c>
      <c r="R3447" s="7" t="str">
        <f t="shared" si="68"/>
        <v>E:\附赠：Excel模板\精美EXCEL模板\网友极力推荐的Excel模板1000例</v>
      </c>
      <c r="S3447" s="9">
        <v>43600.3821759259</v>
      </c>
      <c r="T3447" s="9">
        <v>43390.5162731481</v>
      </c>
    </row>
    <row r="3448" spans="14:20">
      <c r="N3448" s="7" t="str">
        <f>HYPERLINK("E:\附赠：Excel模板\精美EXCEL模板\网友极力推荐的Excel模板1000例\商务经营情况明细表.xls","商务经营情况明细表.xls")</f>
        <v>商务经营情况明细表.xls</v>
      </c>
      <c r="Q3448">
        <v>0.02</v>
      </c>
      <c r="R3448" s="7" t="str">
        <f t="shared" si="68"/>
        <v>E:\附赠：Excel模板\精美EXCEL模板\网友极力推荐的Excel模板1000例</v>
      </c>
      <c r="S3448" s="9">
        <v>43600.3821759259</v>
      </c>
      <c r="T3448" s="9">
        <v>43390.5161805556</v>
      </c>
    </row>
    <row r="3449" spans="14:20">
      <c r="N3449" s="7" t="str">
        <f>HYPERLINK("E:\附赠：Excel模板\精美EXCEL模板\网友极力推荐的Excel模板1000例\商品经营情况明细表.xls","商品经营情况明细表.xls")</f>
        <v>商品经营情况明细表.xls</v>
      </c>
      <c r="Q3449">
        <v>0.02</v>
      </c>
      <c r="R3449" s="7" t="str">
        <f t="shared" si="68"/>
        <v>E:\附赠：Excel模板\精美EXCEL模板\网友极力推荐的Excel模板1000例</v>
      </c>
      <c r="S3449" s="9">
        <v>43600.3821759259</v>
      </c>
      <c r="T3449" s="9">
        <v>43390.5161805556</v>
      </c>
    </row>
    <row r="3450" spans="14:20">
      <c r="N3450" s="7" t="str">
        <f>HYPERLINK("E:\附赠：Excel模板\精美EXCEL模板\网友极力推荐的Excel模板1000例\商品订购单.xls","商品订购单.xls")</f>
        <v>商品订购单.xls</v>
      </c>
      <c r="Q3450">
        <v>0.02</v>
      </c>
      <c r="R3450" s="7" t="str">
        <f t="shared" si="68"/>
        <v>E:\附赠：Excel模板\精美EXCEL模板\网友极力推荐的Excel模板1000例</v>
      </c>
      <c r="S3450" s="9">
        <v>43600.3821759259</v>
      </c>
      <c r="T3450" s="9">
        <v>43390.5161805556</v>
      </c>
    </row>
    <row r="3451" spans="14:20">
      <c r="N3451" s="7" t="str">
        <f>HYPERLINK("E:\附赠：Excel模板\精美EXCEL模板\网友极力推荐的Excel模板1000例\商品采购项目计划申请表.xls","商品采购项目计划申请表.xls")</f>
        <v>商品采购项目计划申请表.xls</v>
      </c>
      <c r="Q3451">
        <v>0.02</v>
      </c>
      <c r="R3451" s="7" t="str">
        <f t="shared" si="68"/>
        <v>E:\附赠：Excel模板\精美EXCEL模板\网友极力推荐的Excel模板1000例</v>
      </c>
      <c r="S3451" s="9">
        <v>43600.3821759259</v>
      </c>
      <c r="T3451" s="9">
        <v>43390.5161805556</v>
      </c>
    </row>
    <row r="3452" spans="14:20">
      <c r="N3452" s="7" t="str">
        <f>HYPERLINK("E:\附赠：Excel模板\精美EXCEL模板\网友极力推荐的Excel模板1000例\四项教学经费情况统计表.xls","四项教学经费情况统计表.xls")</f>
        <v>四项教学经费情况统计表.xls</v>
      </c>
      <c r="Q3452">
        <v>0.03</v>
      </c>
      <c r="R3452" s="7" t="str">
        <f t="shared" si="68"/>
        <v>E:\附赠：Excel模板\精美EXCEL模板\网友极力推荐的Excel模板1000例</v>
      </c>
      <c r="S3452" s="9">
        <v>43600.3821759259</v>
      </c>
      <c r="T3452" s="9">
        <v>43390.5160416667</v>
      </c>
    </row>
    <row r="3453" spans="14:20">
      <c r="N3453" s="7" t="str">
        <f>HYPERLINK("E:\附赠：Excel模板\精美EXCEL模板\网友极力推荐的Excel模板1000例\园林绿化工程专项验收与竣工备案证明书.xls","园林绿化工程专项验收与竣工备案证明书.xls")</f>
        <v>园林绿化工程专项验收与竣工备案证明书.xls</v>
      </c>
      <c r="Q3453">
        <v>0.02</v>
      </c>
      <c r="R3453" s="7" t="str">
        <f t="shared" si="68"/>
        <v>E:\附赠：Excel模板\精美EXCEL模板\网友极力推荐的Excel模板1000例</v>
      </c>
      <c r="S3453" s="9">
        <v>43600.3821759259</v>
      </c>
      <c r="T3453" s="9">
        <v>43390.5157407407</v>
      </c>
    </row>
    <row r="3454" spans="14:20">
      <c r="N3454" s="7" t="str">
        <f>HYPERLINK("E:\附赠：Excel模板\精美EXCEL模板\网友极力推荐的Excel模板1000例\困难学生资助申请表.xls","困难学生资助申请表.xls")</f>
        <v>困难学生资助申请表.xls</v>
      </c>
      <c r="Q3454">
        <v>0.02</v>
      </c>
      <c r="R3454" s="7" t="str">
        <f t="shared" si="68"/>
        <v>E:\附赠：Excel模板\精美EXCEL模板\网友极力推荐的Excel模板1000例</v>
      </c>
      <c r="S3454" s="9">
        <v>43600.3821759259</v>
      </c>
      <c r="T3454" s="9">
        <v>43390.5163888889</v>
      </c>
    </row>
    <row r="3455" spans="14:20">
      <c r="N3455" s="7" t="str">
        <f>HYPERLINK("E:\附赠：Excel模板\精美EXCEL模板\网友极力推荐的Excel模板1000例\固定资产价值重估申报表.xls","固定资产价值重估申报表.xls")</f>
        <v>固定资产价值重估申报表.xls</v>
      </c>
      <c r="Q3455">
        <v>0.02</v>
      </c>
      <c r="R3455" s="7" t="str">
        <f t="shared" si="68"/>
        <v>E:\附赠：Excel模板\精美EXCEL模板\网友极力推荐的Excel模板1000例</v>
      </c>
      <c r="S3455" s="9">
        <v>43600.3821759259</v>
      </c>
      <c r="T3455" s="9">
        <v>43390.5166203704</v>
      </c>
    </row>
    <row r="3456" spans="14:20">
      <c r="N3456" s="7" t="str">
        <f>HYPERLINK("E:\附赠：Excel模板\精美EXCEL模板\网友极力推荐的Excel模板1000例\固定资产分类表.xls","固定资产分类表.xls")</f>
        <v>固定资产分类表.xls</v>
      </c>
      <c r="Q3456">
        <v>0.03</v>
      </c>
      <c r="R3456" s="7" t="str">
        <f t="shared" si="68"/>
        <v>E:\附赠：Excel模板\精美EXCEL模板\网友极力推荐的Excel模板1000例</v>
      </c>
      <c r="S3456" s="9">
        <v>43600.3821759259</v>
      </c>
      <c r="T3456" s="9">
        <v>43390.5166203704</v>
      </c>
    </row>
    <row r="3457" spans="14:20">
      <c r="N3457" s="7" t="str">
        <f>HYPERLINK("E:\附赠：Excel模板\精美EXCEL模板\网友极力推荐的Excel模板1000例\固定资产明细表.xls","固定资产明细表.xls")</f>
        <v>固定资产明细表.xls</v>
      </c>
      <c r="Q3457">
        <v>0.02</v>
      </c>
      <c r="R3457" s="7" t="str">
        <f t="shared" si="68"/>
        <v>E:\附赠：Excel模板\精美EXCEL模板\网友极力推荐的Excel模板1000例</v>
      </c>
      <c r="S3457" s="9">
        <v>43600.3821759259</v>
      </c>
      <c r="T3457" s="9">
        <v>43390.5165972222</v>
      </c>
    </row>
    <row r="3458" spans="14:20">
      <c r="N3458" s="7" t="str">
        <f>HYPERLINK("E:\附赠：Excel模板\精美EXCEL模板\网友极力推荐的Excel模板1000例\固定资产汇兑表.xls","固定资产汇兑表.xls")</f>
        <v>固定资产汇兑表.xls</v>
      </c>
      <c r="Q3458">
        <v>0.02</v>
      </c>
      <c r="R3458" s="7" t="str">
        <f t="shared" ref="R3458:R3521" si="69">HYPERLINK("E:\附赠：Excel模板\精美EXCEL模板\网友极力推荐的Excel模板1000例","E:\附赠：Excel模板\精美EXCEL模板\网友极力推荐的Excel模板1000例")</f>
        <v>E:\附赠：Excel模板\精美EXCEL模板\网友极力推荐的Excel模板1000例</v>
      </c>
      <c r="S3458" s="9">
        <v>43600.3821759259</v>
      </c>
      <c r="T3458" s="9">
        <v>43390.5166203704</v>
      </c>
    </row>
    <row r="3459" spans="14:20">
      <c r="N3459" s="7" t="str">
        <f>HYPERLINK("E:\附赠：Excel模板\精美EXCEL模板\网友极力推荐的Excel模板1000例\国土资源综合统计月报报表.xls","国土资源综合统计月报报表.xls")</f>
        <v>国土资源综合统计月报报表.xls</v>
      </c>
      <c r="Q3459">
        <v>0.02</v>
      </c>
      <c r="R3459" s="7" t="str">
        <f t="shared" si="69"/>
        <v>E:\附赠：Excel模板\精美EXCEL模板\网友极力推荐的Excel模板1000例</v>
      </c>
      <c r="S3459" s="9">
        <v>43600.3821759259</v>
      </c>
      <c r="T3459" s="9">
        <v>43390.5165740741</v>
      </c>
    </row>
    <row r="3460" spans="14:20">
      <c r="N3460" s="7" t="str">
        <f>HYPERLINK("E:\附赠：Excel模板\精美EXCEL模板\网友极力推荐的Excel模板1000例\国土资源违法案件查处.xls","国土资源违法案件查处.xls")</f>
        <v>国土资源违法案件查处.xls</v>
      </c>
      <c r="Q3460">
        <v>0.02</v>
      </c>
      <c r="R3460" s="7" t="str">
        <f t="shared" si="69"/>
        <v>E:\附赠：Excel模板\精美EXCEL模板\网友极力推荐的Excel模板1000例</v>
      </c>
      <c r="S3460" s="9">
        <v>43600.3821759259</v>
      </c>
      <c r="T3460" s="9">
        <v>43390.5165972222</v>
      </c>
    </row>
    <row r="3461" spans="14:20">
      <c r="N3461" s="7" t="str">
        <f>HYPERLINK("E:\附赠：Excel模板\精美EXCEL模板\网友极力推荐的Excel模板1000例\国家公务员机关工作者录用计划执行情况统计表.xls","国家公务员机关工作者录用计划执行情况统计表.xls")</f>
        <v>国家公务员机关工作者录用计划执行情况统计表.xls</v>
      </c>
      <c r="Q3461">
        <v>0.02</v>
      </c>
      <c r="R3461" s="7" t="str">
        <f t="shared" si="69"/>
        <v>E:\附赠：Excel模板\精美EXCEL模板\网友极力推荐的Excel模板1000例</v>
      </c>
      <c r="S3461" s="9">
        <v>43600.3821759259</v>
      </c>
      <c r="T3461" s="9">
        <v>43390.5165972222</v>
      </c>
    </row>
    <row r="3462" spans="14:20">
      <c r="N3462" s="7" t="str">
        <f>HYPERLINK("E:\附赠：Excel模板\精美EXCEL模板\网友极力推荐的Excel模板1000例\国家助学贷款学生家庭所在地证明.xls","国家助学贷款学生家庭所在地证明.xls")</f>
        <v>国家助学贷款学生家庭所在地证明.xls</v>
      </c>
      <c r="Q3462">
        <v>0.02</v>
      </c>
      <c r="R3462" s="7" t="str">
        <f t="shared" si="69"/>
        <v>E:\附赠：Excel模板\精美EXCEL模板\网友极力推荐的Excel模板1000例</v>
      </c>
      <c r="S3462" s="9">
        <v>43600.3821759259</v>
      </c>
      <c r="T3462" s="9">
        <v>43390.5165972222</v>
      </c>
    </row>
    <row r="3463" spans="14:20">
      <c r="N3463" s="7" t="str">
        <f>HYPERLINK("E:\附赠：Excel模板\精美EXCEL模板\网友极力推荐的Excel模板1000例\国家政策内的津贴补贴调查表.xls","国家政策内的津贴补贴调查表.xls")</f>
        <v>国家政策内的津贴补贴调查表.xls</v>
      </c>
      <c r="Q3463">
        <v>0.02</v>
      </c>
      <c r="R3463" s="7" t="str">
        <f t="shared" si="69"/>
        <v>E:\附赠：Excel模板\精美EXCEL模板\网友极力推荐的Excel模板1000例</v>
      </c>
      <c r="S3463" s="9">
        <v>43600.3821759259</v>
      </c>
      <c r="T3463" s="9">
        <v>43390.5165972222</v>
      </c>
    </row>
    <row r="3464" spans="14:20">
      <c r="N3464" s="7" t="str">
        <f>HYPERLINK("E:\附赠：Excel模板\精美EXCEL模板\网友极力推荐的Excel模板1000例\国家社会科学基金项目申报数据代码表.xls","国家社会科学基金项目申报数据代码表.xls")</f>
        <v>国家社会科学基金项目申报数据代码表.xls</v>
      </c>
      <c r="Q3464">
        <v>0.04</v>
      </c>
      <c r="R3464" s="7" t="str">
        <f t="shared" si="69"/>
        <v>E:\附赠：Excel模板\精美EXCEL模板\网友极力推荐的Excel模板1000例</v>
      </c>
      <c r="S3464" s="9">
        <v>43600.3821759259</v>
      </c>
      <c r="T3464" s="9">
        <v>43390.5165972222</v>
      </c>
    </row>
    <row r="3465" spans="14:20">
      <c r="N3465" s="7" t="str">
        <f>HYPERLINK("E:\附赠：Excel模板\精美EXCEL模板\网友极力推荐的Excel模板1000例\国家粮食局库存统计.xls","国家粮食局库存统计.xls")</f>
        <v>国家粮食局库存统计.xls</v>
      </c>
      <c r="Q3465">
        <v>0.04</v>
      </c>
      <c r="R3465" s="7" t="str">
        <f t="shared" si="69"/>
        <v>E:\附赠：Excel模板\精美EXCEL模板\网友极力推荐的Excel模板1000例</v>
      </c>
      <c r="S3465" s="9">
        <v>43600.3821759259</v>
      </c>
      <c r="T3465" s="9">
        <v>43390.5165972222</v>
      </c>
    </row>
    <row r="3466" spans="14:20">
      <c r="N3466" s="7" t="str">
        <f>HYPERLINK("E:\附赠：Excel模板\精美EXCEL模板\网友极力推荐的Excel模板1000例\国家风景名胜区申请国家补助项目表.xls","国家风景名胜区申请国家补助项目表.xls")</f>
        <v>国家风景名胜区申请国家补助项目表.xls</v>
      </c>
      <c r="Q3466">
        <v>0.02</v>
      </c>
      <c r="R3466" s="7" t="str">
        <f t="shared" si="69"/>
        <v>E:\附赠：Excel模板\精美EXCEL模板\网友极力推荐的Excel模板1000例</v>
      </c>
      <c r="S3466" s="9">
        <v>43600.3821759259</v>
      </c>
      <c r="T3466" s="9">
        <v>43390.5165972222</v>
      </c>
    </row>
    <row r="3467" spans="14:20">
      <c r="N3467" s="7" t="str">
        <f>HYPERLINK("E:\附赠：Excel模板\精美EXCEL模板\网友极力推荐的Excel模板1000例\国库集中支付计划单.xls","国库集中支付计划单.xls")</f>
        <v>国库集中支付计划单.xls</v>
      </c>
      <c r="Q3467">
        <v>0.01</v>
      </c>
      <c r="R3467" s="7" t="str">
        <f t="shared" si="69"/>
        <v>E:\附赠：Excel模板\精美EXCEL模板\网友极力推荐的Excel模板1000例</v>
      </c>
      <c r="S3467" s="9">
        <v>43600.3821759259</v>
      </c>
      <c r="T3467" s="9">
        <v>43390.5165972222</v>
      </c>
    </row>
    <row r="3468" spans="14:20">
      <c r="N3468" s="7" t="str">
        <f>HYPERLINK("E:\附赠：Excel模板\精美EXCEL模板\网友极力推荐的Excel模板1000例\国有产权（股权）交易上市申请书.xls","国有产权（股权）交易上市申请书.xls")</f>
        <v>国有产权（股权）交易上市申请书.xls</v>
      </c>
      <c r="Q3468">
        <v>0.07</v>
      </c>
      <c r="R3468" s="7" t="str">
        <f t="shared" si="69"/>
        <v>E:\附赠：Excel模板\精美EXCEL模板\网友极力推荐的Excel模板1000例</v>
      </c>
      <c r="S3468" s="9">
        <v>43600.3821759259</v>
      </c>
      <c r="T3468" s="9">
        <v>43390.5165740741</v>
      </c>
    </row>
    <row r="3469" spans="14:20">
      <c r="N3469" s="7" t="str">
        <f>HYPERLINK("E:\附赠：Excel模板\精美EXCEL模板\网友极力推荐的Excel模板1000例\国有农牧渔良种场繁殖情况调查表.xls","国有农牧渔良种场繁殖情况调查表.xls")</f>
        <v>国有农牧渔良种场繁殖情况调查表.xls</v>
      </c>
      <c r="Q3469">
        <v>0.01</v>
      </c>
      <c r="R3469" s="7" t="str">
        <f t="shared" si="69"/>
        <v>E:\附赠：Excel模板\精美EXCEL模板\网友极力推荐的Excel模板1000例</v>
      </c>
      <c r="S3469" s="9">
        <v>43600.3821759259</v>
      </c>
      <c r="T3469" s="9">
        <v>43390.5166203704</v>
      </c>
    </row>
    <row r="3470" spans="14:20">
      <c r="N3470" s="7" t="str">
        <f>HYPERLINK("E:\附赠：Excel模板\精美EXCEL模板\网友极力推荐的Excel模板1000例\国民经济行业分类职工人数和工资情况.xls","国民经济行业分类职工人数和工资情况.xls")</f>
        <v>国民经济行业分类职工人数和工资情况.xls</v>
      </c>
      <c r="Q3470">
        <v>0.02</v>
      </c>
      <c r="R3470" s="7" t="str">
        <f t="shared" si="69"/>
        <v>E:\附赠：Excel模板\精美EXCEL模板\网友极力推荐的Excel模板1000例</v>
      </c>
      <c r="S3470" s="9">
        <v>43600.3821759259</v>
      </c>
      <c r="T3470" s="9">
        <v>43390.5165972222</v>
      </c>
    </row>
    <row r="3471" spans="14:20">
      <c r="N3471" s="7" t="str">
        <f>HYPERLINK("E:\附赠：Excel模板\精美EXCEL模板\网友极力推荐的Excel模板1000例\国际旅游人数和外汇收入（1985－2001年）.xls","国际旅游人数和外汇收入（1985－2001年）.xls")</f>
        <v>国际旅游人数和外汇收入（1985－2001年）.xls</v>
      </c>
      <c r="Q3471">
        <v>0.02</v>
      </c>
      <c r="R3471" s="7" t="str">
        <f t="shared" si="69"/>
        <v>E:\附赠：Excel模板\精美EXCEL模板\网友极力推荐的Excel模板1000例</v>
      </c>
      <c r="S3471" s="9">
        <v>43600.3821759259</v>
      </c>
      <c r="T3471" s="9">
        <v>43390.5165972222</v>
      </c>
    </row>
    <row r="3472" spans="14:20">
      <c r="N3472" s="7" t="str">
        <f>HYPERLINK("E:\附赠：Excel模板\精美EXCEL模板\网友极力推荐的Excel模板1000例\土地使用权调查表.xls","土地使用权调查表.xls")</f>
        <v>土地使用权调查表.xls</v>
      </c>
      <c r="Q3472">
        <v>0.02</v>
      </c>
      <c r="R3472" s="7" t="str">
        <f t="shared" si="69"/>
        <v>E:\附赠：Excel模板\精美EXCEL模板\网友极力推荐的Excel模板1000例</v>
      </c>
      <c r="S3472" s="9">
        <v>43600.3821759259</v>
      </c>
      <c r="T3472" s="9">
        <v>43390.5160185185</v>
      </c>
    </row>
    <row r="3473" spans="14:20">
      <c r="N3473" s="7" t="str">
        <f>HYPERLINK("E:\附赠：Excel模板\精美EXCEL模板\网友极力推荐的Excel模板1000例\土地类资产情况明细表.xls","土地类资产情况明细表.xls")</f>
        <v>土地类资产情况明细表.xls</v>
      </c>
      <c r="Q3473">
        <v>0.01</v>
      </c>
      <c r="R3473" s="7" t="str">
        <f t="shared" si="69"/>
        <v>E:\附赠：Excel模板\精美EXCEL模板\网友极力推荐的Excel模板1000例</v>
      </c>
      <c r="S3473" s="9">
        <v>43600.3821759259</v>
      </c>
      <c r="T3473" s="9">
        <v>43390.5160416667</v>
      </c>
    </row>
    <row r="3474" spans="14:20">
      <c r="N3474" s="7" t="str">
        <f>HYPERLINK("E:\附赠：Excel模板\精美EXCEL模板\网友极力推荐的Excel模板1000例\土地行政管理.xls","土地行政管理.xls")</f>
        <v>土地行政管理.xls</v>
      </c>
      <c r="Q3474">
        <v>0.02</v>
      </c>
      <c r="R3474" s="7" t="str">
        <f t="shared" si="69"/>
        <v>E:\附赠：Excel模板\精美EXCEL模板\网友极力推荐的Excel模板1000例</v>
      </c>
      <c r="S3474" s="9">
        <v>43600.3821759259</v>
      </c>
      <c r="T3474" s="9">
        <v>43390.5160185185</v>
      </c>
    </row>
    <row r="3475" spans="14:20">
      <c r="N3475" s="7" t="str">
        <f>HYPERLINK("E:\附赠：Excel模板\精美EXCEL模板\网友极力推荐的Excel模板1000例\土地调查基本情况表.xls","土地调查基本情况表.xls")</f>
        <v>土地调查基本情况表.xls</v>
      </c>
      <c r="Q3475">
        <v>0.02</v>
      </c>
      <c r="R3475" s="7" t="str">
        <f t="shared" si="69"/>
        <v>E:\附赠：Excel模板\精美EXCEL模板\网友极力推荐的Excel模板1000例</v>
      </c>
      <c r="S3475" s="9">
        <v>43600.3821759259</v>
      </c>
      <c r="T3475" s="9">
        <v>43390.5160185185</v>
      </c>
    </row>
    <row r="3476" spans="14:20">
      <c r="N3476" s="7" t="str">
        <f>HYPERLINK("E:\附赠：Excel模板\精美EXCEL模板\网友极力推荐的Excel模板1000例\土地资产预估价值明细表.xls","土地资产预估价值明细表.xls")</f>
        <v>土地资产预估价值明细表.xls</v>
      </c>
      <c r="Q3476">
        <v>0.02</v>
      </c>
      <c r="R3476" s="7" t="str">
        <f t="shared" si="69"/>
        <v>E:\附赠：Excel模板\精美EXCEL模板\网友极力推荐的Excel模板1000例</v>
      </c>
      <c r="S3476" s="9">
        <v>43600.3821759259</v>
      </c>
      <c r="T3476" s="9">
        <v>43390.5160185185</v>
      </c>
    </row>
    <row r="3477" spans="14:20">
      <c r="N3477" s="7" t="str">
        <f>HYPERLINK("E:\附赠：Excel模板\精美EXCEL模板\网友极力推荐的Excel模板1000例\地址引用替换.xls","地址引用替换.xls")</f>
        <v>地址引用替换.xls</v>
      </c>
      <c r="Q3477">
        <v>0.02</v>
      </c>
      <c r="R3477" s="7" t="str">
        <f t="shared" si="69"/>
        <v>E:\附赠：Excel模板\精美EXCEL模板\网友极力推荐的Excel模板1000例</v>
      </c>
      <c r="S3477" s="9">
        <v>43600.3821759259</v>
      </c>
      <c r="T3477" s="9">
        <v>43390.5167361111</v>
      </c>
    </row>
    <row r="3478" spans="14:20">
      <c r="N3478" s="7" t="str">
        <f>HYPERLINK("E:\附赠：Excel模板\精美EXCEL模板\网友极力推荐的Excel模板1000例\地方财政收入主要项目.xls","地方财政收入主要项目.xls")</f>
        <v>地方财政收入主要项目.xls</v>
      </c>
      <c r="Q3478">
        <v>0.02</v>
      </c>
      <c r="R3478" s="7" t="str">
        <f t="shared" si="69"/>
        <v>E:\附赠：Excel模板\精美EXCEL模板\网友极力推荐的Excel模板1000例</v>
      </c>
      <c r="S3478" s="9">
        <v>43600.3821759259</v>
      </c>
      <c r="T3478" s="9">
        <v>43390.5167361111</v>
      </c>
    </row>
    <row r="3479" spans="14:20">
      <c r="N3479" s="7" t="str">
        <f>HYPERLINK("E:\附赠：Excel模板\精美EXCEL模板\网友极力推荐的Excel模板1000例\地级行政单位统计指标目录.xls","地级行政单位统计指标目录.xls")</f>
        <v>地级行政单位统计指标目录.xls</v>
      </c>
      <c r="Q3479">
        <v>0.06</v>
      </c>
      <c r="R3479" s="7" t="str">
        <f t="shared" si="69"/>
        <v>E:\附赠：Excel模板\精美EXCEL模板\网友极力推荐的Excel模板1000例</v>
      </c>
      <c r="S3479" s="9">
        <v>43600.3821759259</v>
      </c>
      <c r="T3479" s="9">
        <v>43390.5167361111</v>
      </c>
    </row>
    <row r="3480" spans="14:20">
      <c r="N3480" s="7" t="str">
        <f>HYPERLINK("E:\附赠：Excel模板\精美EXCEL模板\网友极力推荐的Excel模板1000例\地质调查费用报表.xls","地质调查费用报表.xls")</f>
        <v>地质调查费用报表.xls</v>
      </c>
      <c r="Q3480">
        <v>0.04</v>
      </c>
      <c r="R3480" s="7" t="str">
        <f t="shared" si="69"/>
        <v>E:\附赠：Excel模板\精美EXCEL模板\网友极力推荐的Excel模板1000例</v>
      </c>
      <c r="S3480" s="9">
        <v>43600.3821759259</v>
      </c>
      <c r="T3480" s="9">
        <v>43390.5167361111</v>
      </c>
    </row>
    <row r="3481" spans="14:20">
      <c r="N3481" s="7" t="str">
        <f>HYPERLINK("E:\附赠：Excel模板\精美EXCEL模板\网友极力推荐的Excel模板1000例\场地使用费核定表.xls","场地使用费核定表.xls")</f>
        <v>场地使用费核定表.xls</v>
      </c>
      <c r="Q3481">
        <v>0.02</v>
      </c>
      <c r="R3481" s="7" t="str">
        <f t="shared" si="69"/>
        <v>E:\附赠：Excel模板\精美EXCEL模板\网友极力推荐的Excel模板1000例</v>
      </c>
      <c r="S3481" s="9">
        <v>43600.3821759259</v>
      </c>
      <c r="T3481" s="9">
        <v>43390.5168287037</v>
      </c>
    </row>
    <row r="3482" spans="14:20">
      <c r="N3482" s="7" t="str">
        <f>HYPERLINK("E:\附赠：Excel模板\精美EXCEL模板\网友极力推荐的Excel模板1000例\城市基本情况统计表.xls","城市基本情况统计表.xls")</f>
        <v>城市基本情况统计表.xls</v>
      </c>
      <c r="Q3482">
        <v>0.02</v>
      </c>
      <c r="R3482" s="7" t="str">
        <f t="shared" si="69"/>
        <v>E:\附赠：Excel模板\精美EXCEL模板\网友极力推荐的Excel模板1000例</v>
      </c>
      <c r="S3482" s="9">
        <v>43600.3821759259</v>
      </c>
      <c r="T3482" s="9">
        <v>43390.5168287037</v>
      </c>
    </row>
    <row r="3483" spans="14:20">
      <c r="N3483" s="7" t="str">
        <f>HYPERLINK("E:\附赠：Excel模板\精美EXCEL模板\网友极力推荐的Excel模板1000例\城市居民最低生活保障统计月报表.xls","城市居民最低生活保障统计月报表.xls")</f>
        <v>城市居民最低生活保障统计月报表.xls</v>
      </c>
      <c r="Q3483">
        <v>0.02</v>
      </c>
      <c r="R3483" s="7" t="str">
        <f t="shared" si="69"/>
        <v>E:\附赠：Excel模板\精美EXCEL模板\网友极力推荐的Excel模板1000例</v>
      </c>
      <c r="S3483" s="9">
        <v>43600.3821759259</v>
      </c>
      <c r="T3483" s="9">
        <v>43390.5168287037</v>
      </c>
    </row>
    <row r="3484" spans="14:20">
      <c r="N3484" s="7" t="str">
        <f>HYPERLINK("E:\附赠：Excel模板\精美EXCEL模板\网友极力推荐的Excel模板1000例\城市建设统计范围及指标体系.xls","城市建设统计范围及指标体系.xls")</f>
        <v>城市建设统计范围及指标体系.xls</v>
      </c>
      <c r="Q3484">
        <v>0.06</v>
      </c>
      <c r="R3484" s="7" t="str">
        <f t="shared" si="69"/>
        <v>E:\附赠：Excel模板\精美EXCEL模板\网友极力推荐的Excel模板1000例</v>
      </c>
      <c r="S3484" s="9">
        <v>43600.3821759259</v>
      </c>
      <c r="T3484" s="9">
        <v>43390.5168287037</v>
      </c>
    </row>
    <row r="3485" spans="14:20">
      <c r="N3485" s="7" t="str">
        <f>HYPERLINK("E:\附赠：Excel模板\精美EXCEL模板\网友极力推荐的Excel模板1000例\城市房屋拆迁情况.xls","城市房屋拆迁情况.xls")</f>
        <v>城市房屋拆迁情况.xls</v>
      </c>
      <c r="Q3485">
        <v>0.02</v>
      </c>
      <c r="R3485" s="7" t="str">
        <f t="shared" si="69"/>
        <v>E:\附赠：Excel模板\精美EXCEL模板\网友极力推荐的Excel模板1000例</v>
      </c>
      <c r="S3485" s="9">
        <v>43600.3821759259</v>
      </c>
      <c r="T3485" s="9">
        <v>43390.5168287037</v>
      </c>
    </row>
    <row r="3486" spans="14:20">
      <c r="N3486" s="7" t="str">
        <f>HYPERLINK("E:\附赠：Excel模板\精美EXCEL模板\网友极力推荐的Excel模板1000例\城镇廉租住房申请登记表.xls","城镇廉租住房申请登记表.xls")</f>
        <v>城镇廉租住房申请登记表.xls</v>
      </c>
      <c r="Q3486">
        <v>0.03</v>
      </c>
      <c r="R3486" s="7" t="str">
        <f t="shared" si="69"/>
        <v>E:\附赠：Excel模板\精美EXCEL模板\网友极力推荐的Excel模板1000例</v>
      </c>
      <c r="S3486" s="9">
        <v>43600.3821759259</v>
      </c>
      <c r="T3486" s="9">
        <v>43390.5168287037</v>
      </c>
    </row>
    <row r="3487" spans="14:20">
      <c r="N3487" s="7" t="str">
        <f>HYPERLINK("E:\附赠：Excel模板\精美EXCEL模板\网友极力推荐的Excel模板1000例\城镇最低收入居民家庭住房保障申请表.xls","城镇最低收入居民家庭住房保障申请表.xls")</f>
        <v>城镇最低收入居民家庭住房保障申请表.xls</v>
      </c>
      <c r="Q3487">
        <v>0.02</v>
      </c>
      <c r="R3487" s="7" t="str">
        <f t="shared" si="69"/>
        <v>E:\附赠：Excel模板\精美EXCEL模板\网友极力推荐的Excel模板1000例</v>
      </c>
      <c r="S3487" s="9">
        <v>43600.3821759259</v>
      </c>
      <c r="T3487" s="9">
        <v>43390.5168287037</v>
      </c>
    </row>
    <row r="3488" spans="14:20">
      <c r="N3488" s="7" t="str">
        <f>HYPERLINK("E:\附赠：Excel模板\精美EXCEL模板\网友极力推荐的Excel模板1000例\城镇热力及蒸汽生产供应情况.xls","城镇热力及蒸汽生产供应情况.xls")</f>
        <v>城镇热力及蒸汽生产供应情况.xls</v>
      </c>
      <c r="Q3488">
        <v>0.02</v>
      </c>
      <c r="R3488" s="7" t="str">
        <f t="shared" si="69"/>
        <v>E:\附赠：Excel模板\精美EXCEL模板\网友极力推荐的Excel模板1000例</v>
      </c>
      <c r="S3488" s="9">
        <v>43600.3821759259</v>
      </c>
      <c r="T3488" s="9">
        <v>43390.5168287037</v>
      </c>
    </row>
    <row r="3489" spans="14:20">
      <c r="N3489" s="7" t="str">
        <f>HYPERLINK("E:\附赠：Excel模板\精美EXCEL模板\网友极力推荐的Excel模板1000例\城镇维护建设资金收入.xls","城镇维护建设资金收入.xls")</f>
        <v>城镇维护建设资金收入.xls</v>
      </c>
      <c r="Q3489">
        <v>0.02</v>
      </c>
      <c r="R3489" s="7" t="str">
        <f t="shared" si="69"/>
        <v>E:\附赠：Excel模板\精美EXCEL模板\网友极力推荐的Excel模板1000例</v>
      </c>
      <c r="S3489" s="9">
        <v>43600.3821759259</v>
      </c>
      <c r="T3489" s="9">
        <v>43390.5168287037</v>
      </c>
    </row>
    <row r="3490" spans="14:20">
      <c r="N3490" s="7" t="str">
        <f>HYPERLINK("E:\附赠：Excel模板\精美EXCEL模板\网友极力推荐的Excel模板1000例\基建预算.xls","基建预算.xls")</f>
        <v>基建预算.xls</v>
      </c>
      <c r="Q3490">
        <v>0.02</v>
      </c>
      <c r="R3490" s="7" t="str">
        <f t="shared" si="69"/>
        <v>E:\附赠：Excel模板\精美EXCEL模板\网友极力推荐的Excel模板1000例</v>
      </c>
      <c r="S3490" s="9">
        <v>43600.3821759259</v>
      </c>
      <c r="T3490" s="9">
        <v>43390.5165509259</v>
      </c>
    </row>
    <row r="3491" spans="14:20">
      <c r="N3491" s="7" t="str">
        <f>HYPERLINK("E:\附赠：Excel模板\精美EXCEL模板\网友极力推荐的Excel模板1000例\基本建设财务管理人员备案表.xls","基本建设财务管理人员备案表.xls")</f>
        <v>基本建设财务管理人员备案表.xls</v>
      </c>
      <c r="Q3491">
        <v>0.01</v>
      </c>
      <c r="R3491" s="7" t="str">
        <f t="shared" si="69"/>
        <v>E:\附赠：Excel模板\精美EXCEL模板\网友极力推荐的Excel模板1000例</v>
      </c>
      <c r="S3491" s="9">
        <v>43600.3821759259</v>
      </c>
      <c r="T3491" s="9">
        <v>43390.5165740741</v>
      </c>
    </row>
    <row r="3492" spans="14:20">
      <c r="N3492" s="7" t="str">
        <f>HYPERLINK("E:\附赠：Excel模板\精美EXCEL模板\网友极力推荐的Excel模板1000例\基本数字表.xls","基本数字表.xls")</f>
        <v>基本数字表.xls</v>
      </c>
      <c r="Q3492">
        <v>0.04</v>
      </c>
      <c r="R3492" s="7" t="str">
        <f t="shared" si="69"/>
        <v>E:\附赠：Excel模板\精美EXCEL模板\网友极力推荐的Excel模板1000例</v>
      </c>
      <c r="S3492" s="9">
        <v>43600.3821759259</v>
      </c>
      <c r="T3492" s="9">
        <v>43390.5165509259</v>
      </c>
    </row>
    <row r="3493" spans="14:20">
      <c r="N3493" s="7" t="str">
        <f>HYPERLINK("E:\附赠：Excel模板\精美EXCEL模板\网友极力推荐的Excel模板1000例\基础课、专业主干课教师情况统计表.xls","基础课、专业主干课教师情况统计表.xls")</f>
        <v>基础课、专业主干课教师情况统计表.xls</v>
      </c>
      <c r="Q3493">
        <v>0.02</v>
      </c>
      <c r="R3493" s="7" t="str">
        <f t="shared" si="69"/>
        <v>E:\附赠：Excel模板\精美EXCEL模板\网友极力推荐的Excel模板1000例</v>
      </c>
      <c r="S3493" s="9">
        <v>43600.3821759259</v>
      </c>
      <c r="T3493" s="9">
        <v>43390.5165509259</v>
      </c>
    </row>
    <row r="3494" spans="14:20">
      <c r="N3494" s="7" t="str">
        <f>HYPERLINK("E:\附赠：Excel模板\精美EXCEL模板\网友极力推荐的Excel模板1000例\境外企业基本情况表.xls","境外企业基本情况表.xls")</f>
        <v>境外企业基本情况表.xls</v>
      </c>
      <c r="Q3494">
        <v>0.02</v>
      </c>
      <c r="R3494" s="7" t="str">
        <f t="shared" si="69"/>
        <v>E:\附赠：Excel模板\精美EXCEL模板\网友极力推荐的Excel模板1000例</v>
      </c>
      <c r="S3494" s="9">
        <v>43600.3821759259</v>
      </c>
      <c r="T3494" s="9">
        <v>43390.5164351852</v>
      </c>
    </row>
    <row r="3495" spans="14:20">
      <c r="N3495" s="7" t="str">
        <f>HYPERLINK("E:\附赠：Excel模板\精美EXCEL模板\网友极力推荐的Excel模板1000例\境外办事机构及项目基本情况表.xls","境外办事机构及项目基本情况表.xls")</f>
        <v>境外办事机构及项目基本情况表.xls</v>
      </c>
      <c r="Q3495">
        <v>0.02</v>
      </c>
      <c r="R3495" s="7" t="str">
        <f t="shared" si="69"/>
        <v>E:\附赠：Excel模板\精美EXCEL模板\网友极力推荐的Excel模板1000例</v>
      </c>
      <c r="S3495" s="9">
        <v>43600.3821759259</v>
      </c>
      <c r="T3495" s="9">
        <v>43390.5164351852</v>
      </c>
    </row>
    <row r="3496" spans="14:20">
      <c r="N3496" s="7" t="str">
        <f>HYPERLINK("E:\附赠：Excel模板\精美EXCEL模板\网友极力推荐的Excel模板1000例\境外外汇借款情况表.xls","境外外汇借款情况表.xls")</f>
        <v>境外外汇借款情况表.xls</v>
      </c>
      <c r="Q3496">
        <v>0.01</v>
      </c>
      <c r="R3496" s="7" t="str">
        <f t="shared" si="69"/>
        <v>E:\附赠：Excel模板\精美EXCEL模板\网友极力推荐的Excel模板1000例</v>
      </c>
      <c r="S3496" s="9">
        <v>43600.3821759259</v>
      </c>
      <c r="T3496" s="9">
        <v>43390.5164351852</v>
      </c>
    </row>
    <row r="3497" spans="14:20">
      <c r="N3497" s="7" t="str">
        <f>HYPERLINK("E:\附赠：Excel模板\精美EXCEL模板\网友极力推荐的Excel模板1000例\增值税一般纳税人暂认定审批表（商贸型企业）.xls","增值税一般纳税人暂认定审批表（商贸型企业）.xls")</f>
        <v>增值税一般纳税人暂认定审批表（商贸型企业）.xls</v>
      </c>
      <c r="Q3497">
        <v>0.02</v>
      </c>
      <c r="R3497" s="7" t="str">
        <f t="shared" si="69"/>
        <v>E:\附赠：Excel模板\精美EXCEL模板\网友极力推荐的Excel模板1000例</v>
      </c>
      <c r="S3497" s="9">
        <v>43600.3821759259</v>
      </c>
      <c r="T3497" s="9">
        <v>43390.5157175926</v>
      </c>
    </row>
    <row r="3498" spans="14:20">
      <c r="N3498" s="7" t="str">
        <f>HYPERLINK("E:\附赠：Excel模板\精美EXCEL模板\网友极力推荐的Excel模板1000例\增设的新专业一览表.xls","增设的新专业一览表.xls")</f>
        <v>增设的新专业一览表.xls</v>
      </c>
      <c r="Q3498">
        <v>0.02</v>
      </c>
      <c r="R3498" s="7" t="str">
        <f t="shared" si="69"/>
        <v>E:\附赠：Excel模板\精美EXCEL模板\网友极力推荐的Excel模板1000例</v>
      </c>
      <c r="S3498" s="9">
        <v>43600.3821759259</v>
      </c>
      <c r="T3498" s="9">
        <v>43390.5157175926</v>
      </c>
    </row>
    <row r="3499" spans="14:20">
      <c r="N3499" s="7" t="str">
        <f>HYPERLINK("E:\附赠：Excel模板\精美EXCEL模板\网友极力推荐的Excel模板1000例\外商投资企业主要财务指标快报.xls","外商投资企业主要财务指标快报.xls")</f>
        <v>外商投资企业主要财务指标快报.xls</v>
      </c>
      <c r="Q3499">
        <v>0.02</v>
      </c>
      <c r="R3499" s="7" t="str">
        <f t="shared" si="69"/>
        <v>E:\附赠：Excel模板\精美EXCEL模板\网友极力推荐的Excel模板1000例</v>
      </c>
      <c r="S3499" s="9">
        <v>43600.3821759259</v>
      </c>
      <c r="T3499" s="9">
        <v>43390.5160185185</v>
      </c>
    </row>
    <row r="3500" spans="14:20">
      <c r="N3500" s="7" t="str">
        <f>HYPERLINK("E:\附赠：Excel模板\精美EXCEL模板\网友极力推荐的Excel模板1000例\外商投资企业年检申报基本情况表.xls","外商投资企业年检申报基本情况表.xls")</f>
        <v>外商投资企业年检申报基本情况表.xls</v>
      </c>
      <c r="Q3500">
        <v>0.02</v>
      </c>
      <c r="R3500" s="7" t="str">
        <f t="shared" si="69"/>
        <v>E:\附赠：Excel模板\精美EXCEL模板\网友极力推荐的Excel模板1000例</v>
      </c>
      <c r="S3500" s="9">
        <v>43600.3821759259</v>
      </c>
      <c r="T3500" s="9">
        <v>43390.5160185185</v>
      </c>
    </row>
    <row r="3501" spans="14:20">
      <c r="N3501" s="7" t="str">
        <f>HYPERLINK("E:\附赠：Excel模板\精美EXCEL模板\网友极力推荐的Excel模板1000例\外商投资企业财政登记变动表.xls","外商投资企业财政登记变动表.xls")</f>
        <v>外商投资企业财政登记变动表.xls</v>
      </c>
      <c r="Q3501">
        <v>0.02</v>
      </c>
      <c r="R3501" s="7" t="str">
        <f t="shared" si="69"/>
        <v>E:\附赠：Excel模板\精美EXCEL模板\网友极力推荐的Excel模板1000例</v>
      </c>
      <c r="S3501" s="9">
        <v>43600.3821759259</v>
      </c>
      <c r="T3501" s="9">
        <v>43390.5160185185</v>
      </c>
    </row>
    <row r="3502" spans="14:20">
      <c r="N3502" s="7" t="str">
        <f>HYPERLINK("E:\附赠：Excel模板\精美EXCEL模板\网友极力推荐的Excel模板1000例\外商投资企业财政登记表1.xls","外商投资企业财政登记表1.xls")</f>
        <v>外商投资企业财政登记表1.xls</v>
      </c>
      <c r="Q3502">
        <v>0.02</v>
      </c>
      <c r="R3502" s="7" t="str">
        <f t="shared" si="69"/>
        <v>E:\附赠：Excel模板\精美EXCEL模板\网友极力推荐的Excel模板1000例</v>
      </c>
      <c r="S3502" s="9">
        <v>43600.3821759259</v>
      </c>
      <c r="T3502" s="9">
        <v>43390.5160185185</v>
      </c>
    </row>
    <row r="3503" spans="14:20">
      <c r="N3503" s="7" t="str">
        <f>HYPERLINK("E:\附赠：Excel模板\精美EXCEL模板\网友极力推荐的Excel模板1000例\外商投资企业财政登记表2.xls","外商投资企业财政登记表2.xls")</f>
        <v>外商投资企业财政登记表2.xls</v>
      </c>
      <c r="Q3503">
        <v>0.02</v>
      </c>
      <c r="R3503" s="7" t="str">
        <f t="shared" si="69"/>
        <v>E:\附赠：Excel模板\精美EXCEL模板\网友极力推荐的Excel模板1000例</v>
      </c>
      <c r="S3503" s="9">
        <v>43600.3821759259</v>
      </c>
      <c r="T3503" s="9">
        <v>43390.5160185185</v>
      </c>
    </row>
    <row r="3504" spans="14:20">
      <c r="N3504" s="7" t="str">
        <f>HYPERLINK("E:\附赠：Excel模板\精美EXCEL模板\网友极力推荐的Excel模板1000例\外币贷款明细表.xls","外币贷款明细表.xls")</f>
        <v>外币贷款明细表.xls</v>
      </c>
      <c r="Q3504">
        <v>0.02</v>
      </c>
      <c r="R3504" s="7" t="str">
        <f t="shared" si="69"/>
        <v>E:\附赠：Excel模板\精美EXCEL模板\网友极力推荐的Excel模板1000例</v>
      </c>
      <c r="S3504" s="9">
        <v>43600.3821759259</v>
      </c>
      <c r="T3504" s="9">
        <v>43390.5160185185</v>
      </c>
    </row>
    <row r="3505" spans="14:20">
      <c r="N3505" s="7" t="str">
        <f>HYPERLINK("E:\附赠：Excel模板\精美EXCEL模板\网友极力推荐的Excel模板1000例\外汇收支情况表.xls","外汇收支情况表.xls")</f>
        <v>外汇收支情况表.xls</v>
      </c>
      <c r="Q3505">
        <v>0.03</v>
      </c>
      <c r="R3505" s="7" t="str">
        <f t="shared" si="69"/>
        <v>E:\附赠：Excel模板\精美EXCEL模板\网友极力推荐的Excel模板1000例</v>
      </c>
      <c r="S3505" s="9">
        <v>43600.3821759259</v>
      </c>
      <c r="T3505" s="9">
        <v>43390.5160185185</v>
      </c>
    </row>
    <row r="3506" spans="14:20">
      <c r="N3506" s="7" t="str">
        <f>HYPERLINK("E:\附赠：Excel模板\精美EXCEL模板\网友极力推荐的Excel模板1000例\多媒体课件统计表.xls","多媒体课件统计表.xls")</f>
        <v>多媒体课件统计表.xls</v>
      </c>
      <c r="Q3506">
        <v>0.02</v>
      </c>
      <c r="R3506" s="7" t="str">
        <f t="shared" si="69"/>
        <v>E:\附赠：Excel模板\精美EXCEL模板\网友极力推荐的Excel模板1000例</v>
      </c>
      <c r="S3506" s="9">
        <v>43600.3821759259</v>
      </c>
      <c r="T3506" s="9">
        <v>43390.516712963</v>
      </c>
    </row>
    <row r="3507" spans="14:20">
      <c r="N3507" s="7" t="str">
        <f>HYPERLINK("E:\附赠：Excel模板\精美EXCEL模板\网友极力推荐的Excel模板1000例\大型水库库区扶贫新建项目表.xls","大型水库库区扶贫新建项目表.xls")</f>
        <v>大型水库库区扶贫新建项目表.xls</v>
      </c>
      <c r="Q3507">
        <v>0.02</v>
      </c>
      <c r="R3507" s="7" t="str">
        <f t="shared" si="69"/>
        <v>E:\附赠：Excel模板\精美EXCEL模板\网友极力推荐的Excel模板1000例</v>
      </c>
      <c r="S3507" s="9">
        <v>43600.3821759259</v>
      </c>
      <c r="T3507" s="9">
        <v>43390.5167824074</v>
      </c>
    </row>
    <row r="3508" spans="14:20">
      <c r="N3508" s="7" t="str">
        <f>HYPERLINK("E:\附赠：Excel模板\精美EXCEL模板\网友极力推荐的Excel模板1000例\大学“开放教学试点”旅游管理专业（专科）教学计划进度表.xls","大学“开放教学试点”旅游管理专业（专科）教学计划进度表.xls")</f>
        <v>大学“开放教学试点”旅游管理专业（专科）教学计划进度表.xls</v>
      </c>
      <c r="Q3508">
        <v>0.03</v>
      </c>
      <c r="R3508" s="7" t="str">
        <f t="shared" si="69"/>
        <v>E:\附赠：Excel模板\精美EXCEL模板\网友极力推荐的Excel模板1000例</v>
      </c>
      <c r="S3508" s="9">
        <v>43600.3821759259</v>
      </c>
      <c r="T3508" s="9">
        <v>43390.5167824074</v>
      </c>
    </row>
    <row r="3509" spans="14:20">
      <c r="N3509" s="7" t="str">
        <f>HYPERLINK("E:\附赠：Excel模板\精美EXCEL模板\网友极力推荐的Excel模板1000例\大学优秀学生申请校内专业调整拟录取名单公示.xls","大学优秀学生申请校内专业调整拟录取名单公示.xls")</f>
        <v>大学优秀学生申请校内专业调整拟录取名单公示.xls</v>
      </c>
      <c r="Q3509">
        <v>0.02</v>
      </c>
      <c r="R3509" s="7" t="str">
        <f t="shared" si="69"/>
        <v>E:\附赠：Excel模板\精美EXCEL模板\网友极力推荐的Excel模板1000例</v>
      </c>
      <c r="S3509" s="9">
        <v>43600.3821759259</v>
      </c>
      <c r="T3509" s="9">
        <v>43390.5167592593</v>
      </c>
    </row>
    <row r="3510" spans="14:20">
      <c r="N3510" s="7" t="str">
        <f>HYPERLINK("E:\附赠：Excel模板\精美EXCEL模板\网友极力推荐的Excel模板1000例\大学分解校发汇总表.xls","大学分解校发汇总表.xls")</f>
        <v>大学分解校发汇总表.xls</v>
      </c>
      <c r="Q3510">
        <v>0.1</v>
      </c>
      <c r="R3510" s="7" t="str">
        <f t="shared" si="69"/>
        <v>E:\附赠：Excel模板\精美EXCEL模板\网友极力推荐的Excel模板1000例</v>
      </c>
      <c r="S3510" s="9">
        <v>43600.3821759259</v>
      </c>
      <c r="T3510" s="9">
        <v>43390.5167824074</v>
      </c>
    </row>
    <row r="3511" spans="14:20">
      <c r="N3511" s="7" t="str">
        <f>HYPERLINK("E:\附赠：Excel模板\精美EXCEL模板\网友极力推荐的Excel模板1000例\大学学期教学进程计划.xls","大学学期教学进程计划.xls")</f>
        <v>大学学期教学进程计划.xls</v>
      </c>
      <c r="Q3511">
        <v>0.03</v>
      </c>
      <c r="R3511" s="7" t="str">
        <f t="shared" si="69"/>
        <v>E:\附赠：Excel模板\精美EXCEL模板\网友极力推荐的Excel模板1000例</v>
      </c>
      <c r="S3511" s="9">
        <v>43600.3821759259</v>
      </c>
      <c r="T3511" s="9">
        <v>43390.5167592593</v>
      </c>
    </row>
    <row r="3512" spans="14:20">
      <c r="N3512" s="7" t="str">
        <f>HYPERLINK("E:\附赠：Excel模板\精美EXCEL模板\网友极力推荐的Excel模板1000例\大学学院承担主要研究项目一览.xls","大学学院承担主要研究项目一览.xls")</f>
        <v>大学学院承担主要研究项目一览.xls</v>
      </c>
      <c r="Q3512">
        <v>0.02</v>
      </c>
      <c r="R3512" s="7" t="str">
        <f t="shared" si="69"/>
        <v>E:\附赠：Excel模板\精美EXCEL模板\网友极力推荐的Excel模板1000例</v>
      </c>
      <c r="S3512" s="9">
        <v>43600.3821759259</v>
      </c>
      <c r="T3512" s="9">
        <v>43390.5167592593</v>
      </c>
    </row>
    <row r="3513" spans="14:20">
      <c r="N3513" s="7" t="str">
        <f>HYPERLINK("E:\附赠：Excel模板\精美EXCEL模板\网友极力推荐的Excel模板1000例\大学学院科研项目.xls","大学学院科研项目.xls")</f>
        <v>大学学院科研项目.xls</v>
      </c>
      <c r="Q3513">
        <v>0.02</v>
      </c>
      <c r="R3513" s="7" t="str">
        <f t="shared" si="69"/>
        <v>E:\附赠：Excel模板\精美EXCEL模板\网友极力推荐的Excel模板1000例</v>
      </c>
      <c r="S3513" s="9">
        <v>43600.3821759259</v>
      </c>
      <c r="T3513" s="9">
        <v>43390.5167592593</v>
      </c>
    </row>
    <row r="3514" spans="14:20">
      <c r="N3514" s="7" t="str">
        <f>HYPERLINK("E:\附赠：Excel模板\精美EXCEL模板\网友极力推荐的Excel模板1000例\大学年度期末考试时间表.xls","大学年度期末考试时间表.xls")</f>
        <v>大学年度期末考试时间表.xls</v>
      </c>
      <c r="Q3514">
        <v>0.04</v>
      </c>
      <c r="R3514" s="7" t="str">
        <f t="shared" si="69"/>
        <v>E:\附赠：Excel模板\精美EXCEL模板\网友极力推荐的Excel模板1000例</v>
      </c>
      <c r="S3514" s="9">
        <v>43600.3821759259</v>
      </c>
      <c r="T3514" s="9">
        <v>43390.5167592593</v>
      </c>
    </row>
    <row r="3515" spans="14:20">
      <c r="N3515" s="7" t="str">
        <f>HYPERLINK("E:\附赠：Excel模板\精美EXCEL模板\网友极力推荐的Excel模板1000例\大学年度課程規劃表.xls","大学年度課程規劃表.xls")</f>
        <v>大学年度課程規劃表.xls</v>
      </c>
      <c r="Q3515">
        <v>0.03</v>
      </c>
      <c r="R3515" s="7" t="str">
        <f t="shared" si="69"/>
        <v>E:\附赠：Excel模板\精美EXCEL模板\网友极力推荐的Excel模板1000例</v>
      </c>
      <c r="S3515" s="9">
        <v>43600.3821759259</v>
      </c>
      <c r="T3515" s="9">
        <v>43390.5167592593</v>
      </c>
    </row>
    <row r="3516" spans="14:20">
      <c r="N3516" s="7" t="str">
        <f>HYPERLINK("E:\附赠：Excel模板\精美EXCEL模板\网友极力推荐的Excel模板1000例\大学年度财务收支简要表.xls","大学年度财务收支简要表.xls")</f>
        <v>大学年度财务收支简要表.xls</v>
      </c>
      <c r="Q3516">
        <v>0.03</v>
      </c>
      <c r="R3516" s="7" t="str">
        <f t="shared" si="69"/>
        <v>E:\附赠：Excel模板\精美EXCEL模板\网友极力推荐的Excel模板1000例</v>
      </c>
      <c r="S3516" s="9">
        <v>43600.3821759259</v>
      </c>
      <c r="T3516" s="9">
        <v>43390.5167824074</v>
      </c>
    </row>
    <row r="3517" spans="14:20">
      <c r="N3517" s="7" t="str">
        <f>HYPERLINK("E:\附赠：Excel模板\精美EXCEL模板\网友极力推荐的Excel模板1000例\大学教育教材使用计划.xls","大学教育教材使用计划.xls")</f>
        <v>大学教育教材使用计划.xls</v>
      </c>
      <c r="Q3517">
        <v>0.05</v>
      </c>
      <c r="R3517" s="7" t="str">
        <f t="shared" si="69"/>
        <v>E:\附赠：Excel模板\精美EXCEL模板\网友极力推荐的Excel模板1000例</v>
      </c>
      <c r="S3517" s="9">
        <v>43600.3821759259</v>
      </c>
      <c r="T3517" s="9">
        <v>43390.5167824074</v>
      </c>
    </row>
    <row r="3518" spans="14:20">
      <c r="N3518" s="7" t="str">
        <f>HYPERLINK("E:\附赠：Excel模板\精美EXCEL模板\网友极力推荐的Excel模板1000例\大学普通高等学校专接本招生计划及参考教材.xls","大学普通高等学校专接本招生计划及参考教材.xls")</f>
        <v>大学普通高等学校专接本招生计划及参考教材.xls</v>
      </c>
      <c r="Q3518">
        <v>0.05</v>
      </c>
      <c r="R3518" s="7" t="str">
        <f t="shared" si="69"/>
        <v>E:\附赠：Excel模板\精美EXCEL模板\网友极力推荐的Excel模板1000例</v>
      </c>
      <c r="S3518" s="9">
        <v>43600.3821759259</v>
      </c>
      <c r="T3518" s="9">
        <v>43390.5167592593</v>
      </c>
    </row>
    <row r="3519" spans="14:20">
      <c r="N3519" s="7" t="str">
        <f>HYPERLINK("E:\附赠：Excel模板\精美EXCEL模板\网友极力推荐的Excel模板1000例\大学校部机关处室学生勤工助学酬金公示.xls","大学校部机关处室学生勤工助学酬金公示.xls")</f>
        <v>大学校部机关处室学生勤工助学酬金公示.xls</v>
      </c>
      <c r="Q3519">
        <v>0.02</v>
      </c>
      <c r="R3519" s="7" t="str">
        <f t="shared" si="69"/>
        <v>E:\附赠：Excel模板\精美EXCEL模板\网友极力推荐的Excel模板1000例</v>
      </c>
      <c r="S3519" s="9">
        <v>43600.3821759259</v>
      </c>
      <c r="T3519" s="9">
        <v>43390.5167592593</v>
      </c>
    </row>
    <row r="3520" spans="14:20">
      <c r="N3520" s="7" t="str">
        <f>HYPERLINK("E:\附赠：Excel模板\精美EXCEL模板\网友极力推荐的Excel模板1000例\大学生“三下乡”社会实践活动情况统计.xls","大学生“三下乡”社会实践活动情况统计.xls")</f>
        <v>大学生“三下乡”社会实践活动情况统计.xls</v>
      </c>
      <c r="Q3520">
        <v>0.02</v>
      </c>
      <c r="R3520" s="7" t="str">
        <f t="shared" si="69"/>
        <v>E:\附赠：Excel模板\精美EXCEL模板\网友极力推荐的Excel模板1000例</v>
      </c>
      <c r="S3520" s="9">
        <v>43600.3821759259</v>
      </c>
      <c r="T3520" s="9">
        <v>43390.5167592593</v>
      </c>
    </row>
    <row r="3521" spans="14:20">
      <c r="N3521" s="7" t="str">
        <f>HYPERLINK("E:\附赠：Excel模板\精美EXCEL模板\网友极力推荐的Excel模板1000例\大学社团建设标准表.xls","大学社团建设标准表.xls")</f>
        <v>大学社团建设标准表.xls</v>
      </c>
      <c r="Q3521">
        <v>0.03</v>
      </c>
      <c r="R3521" s="7" t="str">
        <f t="shared" si="69"/>
        <v>E:\附赠：Excel模板\精美EXCEL模板\网友极力推荐的Excel模板1000例</v>
      </c>
      <c r="S3521" s="9">
        <v>43600.3821759259</v>
      </c>
      <c r="T3521" s="9">
        <v>43390.5167592593</v>
      </c>
    </row>
    <row r="3522" spans="14:20">
      <c r="N3522" s="7" t="str">
        <f>HYPERLINK("E:\附赠：Excel模板\精美EXCEL模板\网友极力推荐的Excel模板1000例\大学社联财务报表.xls","大学社联财务报表.xls")</f>
        <v>大学社联财务报表.xls</v>
      </c>
      <c r="Q3522">
        <v>0.03</v>
      </c>
      <c r="R3522" s="7" t="str">
        <f t="shared" ref="R3522:R3585" si="70">HYPERLINK("E:\附赠：Excel模板\精美EXCEL模板\网友极力推荐的Excel模板1000例","E:\附赠：Excel模板\精美EXCEL模板\网友极力推荐的Excel模板1000例")</f>
        <v>E:\附赠：Excel模板\精美EXCEL模板\网友极力推荐的Excel模板1000例</v>
      </c>
      <c r="S3522" s="9">
        <v>43600.3821759259</v>
      </c>
      <c r="T3522" s="9">
        <v>43390.5167592593</v>
      </c>
    </row>
    <row r="3523" spans="14:20">
      <c r="N3523" s="7" t="str">
        <f>HYPERLINK("E:\附赠：Excel模板\精美EXCEL模板\网友极力推荐的Excel模板1000例\大学管理学科工商管理类教学计划.xls","大学管理学科工商管理类教学计划.xls")</f>
        <v>大学管理学科工商管理类教学计划.xls</v>
      </c>
      <c r="Q3523">
        <v>0.02</v>
      </c>
      <c r="R3523" s="7" t="str">
        <f t="shared" si="70"/>
        <v>E:\附赠：Excel模板\精美EXCEL模板\网友极力推荐的Excel模板1000例</v>
      </c>
      <c r="S3523" s="9">
        <v>43600.3821759259</v>
      </c>
      <c r="T3523" s="9">
        <v>43390.5167824074</v>
      </c>
    </row>
    <row r="3524" spans="14:20">
      <c r="N3524" s="7" t="str">
        <f>HYPERLINK("E:\附赠：Excel模板\精美EXCEL模板\网友极力推荐的Excel模板1000例\大学考前辅导表.xls","大学考前辅导表.xls")</f>
        <v>大学考前辅导表.xls</v>
      </c>
      <c r="Q3524">
        <v>0.01</v>
      </c>
      <c r="R3524" s="7" t="str">
        <f t="shared" si="70"/>
        <v>E:\附赠：Excel模板\精美EXCEL模板\网友极力推荐的Excel模板1000例</v>
      </c>
      <c r="S3524" s="9">
        <v>43600.3821759259</v>
      </c>
      <c r="T3524" s="9">
        <v>43390.5167824074</v>
      </c>
    </row>
    <row r="3525" spans="14:20">
      <c r="N3525" s="7" t="str">
        <f>HYPERLINK("E:\附赠：Excel模板\精美EXCEL模板\网友极力推荐的Excel模板1000例\大学考试成绩报告表.xls","大学考试成绩报告表.xls")</f>
        <v>大学考试成绩报告表.xls</v>
      </c>
      <c r="Q3525">
        <v>0.03</v>
      </c>
      <c r="R3525" s="7" t="str">
        <f t="shared" si="70"/>
        <v>E:\附赠：Excel模板\精美EXCEL模板\网友极力推荐的Excel模板1000例</v>
      </c>
      <c r="S3525" s="9">
        <v>43600.3821759259</v>
      </c>
      <c r="T3525" s="9">
        <v>43390.5167824074</v>
      </c>
    </row>
    <row r="3526" spans="14:20">
      <c r="N3526" s="7" t="str">
        <f>HYPERLINK("E:\附赠：Excel模板\精美EXCEL模板\网友极力推荐的Excel模板1000例\大学考试表.xls","大学考试表.xls")</f>
        <v>大学考试表.xls</v>
      </c>
      <c r="Q3526">
        <v>0.01</v>
      </c>
      <c r="R3526" s="7" t="str">
        <f t="shared" si="70"/>
        <v>E:\附赠：Excel模板\精美EXCEL模板\网友极力推荐的Excel模板1000例</v>
      </c>
      <c r="S3526" s="9">
        <v>43600.3821759259</v>
      </c>
      <c r="T3526" s="9">
        <v>43390.5167824074</v>
      </c>
    </row>
    <row r="3527" spans="14:20">
      <c r="N3527" s="7" t="str">
        <f>HYPERLINK("E:\附赠：Excel模板\精美EXCEL模板\网友极力推荐的Excel模板1000例\大学计划财务处考勤情况表.xls","大学计划财务处考勤情况表.xls")</f>
        <v>大学计划财务处考勤情况表.xls</v>
      </c>
      <c r="Q3527">
        <v>0.04</v>
      </c>
      <c r="R3527" s="7" t="str">
        <f t="shared" si="70"/>
        <v>E:\附赠：Excel模板\精美EXCEL模板\网友极力推荐的Excel模板1000例</v>
      </c>
      <c r="S3527" s="9">
        <v>43600.3821759259</v>
      </c>
      <c r="T3527" s="9">
        <v>43390.5167824074</v>
      </c>
    </row>
    <row r="3528" spans="14:20">
      <c r="N3528" s="7" t="str">
        <f>HYPERLINK("E:\附赠：Excel模板\精美EXCEL模板\网友极力推荐的Excel模板1000例\大学设备请购报告.xls","大学设备请购报告.xls")</f>
        <v>大学设备请购报告.xls</v>
      </c>
      <c r="Q3528">
        <v>0.02</v>
      </c>
      <c r="R3528" s="7" t="str">
        <f t="shared" si="70"/>
        <v>E:\附赠：Excel模板\精美EXCEL模板\网友极力推荐的Excel模板1000例</v>
      </c>
      <c r="S3528" s="9">
        <v>43600.3821875</v>
      </c>
      <c r="T3528" s="9">
        <v>43390.5167592593</v>
      </c>
    </row>
    <row r="3529" spans="14:20">
      <c r="N3529" s="7" t="str">
        <f>HYPERLINK("E:\附赠：Excel模板\精美EXCEL模板\网友极力推荐的Excel模板1000例\大学财务收支表.xls","大学财务收支表.xls")</f>
        <v>大学财务收支表.xls</v>
      </c>
      <c r="Q3529">
        <v>0.02</v>
      </c>
      <c r="R3529" s="7" t="str">
        <f t="shared" si="70"/>
        <v>E:\附赠：Excel模板\精美EXCEL模板\网友极力推荐的Excel模板1000例</v>
      </c>
      <c r="S3529" s="9">
        <v>43600.3821875</v>
      </c>
      <c r="T3529" s="9">
        <v>43390.5167824074</v>
      </c>
    </row>
    <row r="3530" spans="14:20">
      <c r="N3530" s="7" t="str">
        <f>HYPERLINK("E:\附赠：Excel模板\精美EXCEL模板\网友极力推荐的Excel模板1000例\大学院系资金财物表.xls","大学院系资金财物表.xls")</f>
        <v>大学院系资金财物表.xls</v>
      </c>
      <c r="Q3530">
        <v>0.02</v>
      </c>
      <c r="R3530" s="7" t="str">
        <f t="shared" si="70"/>
        <v>E:\附赠：Excel模板\精美EXCEL模板\网友极力推荐的Excel模板1000例</v>
      </c>
      <c r="S3530" s="9">
        <v>43600.3821875</v>
      </c>
      <c r="T3530" s="9">
        <v>43390.5167592593</v>
      </c>
    </row>
    <row r="3531" spans="14:20">
      <c r="N3531" s="7" t="str">
        <f>HYPERLINK("E:\附赠：Excel模板\精美EXCEL模板\网友极力推荐的Excel模板1000例\大学项目预(结)算单.xls","大学项目预(结)算单.xls")</f>
        <v>大学项目预(结)算单.xls</v>
      </c>
      <c r="Q3531">
        <v>0.02</v>
      </c>
      <c r="R3531" s="7" t="str">
        <f t="shared" si="70"/>
        <v>E:\附赠：Excel模板\精美EXCEL模板\网友极力推荐的Excel模板1000例</v>
      </c>
      <c r="S3531" s="9">
        <v>43600.3821875</v>
      </c>
      <c r="T3531" s="9">
        <v>43390.5167592593</v>
      </c>
    </row>
    <row r="3532" spans="14:20">
      <c r="N3532" s="7" t="str">
        <f>HYPERLINK("E:\附赠：Excel模板\精美EXCEL模板\网友极力推荐的Excel模板1000例\大學學度招生考試筆試試場分配表.xls","大學學度招生考試筆試試場分配表.xls")</f>
        <v>大學學度招生考試筆試試場分配表.xls</v>
      </c>
      <c r="Q3532">
        <v>0.03</v>
      </c>
      <c r="R3532" s="7" t="str">
        <f t="shared" si="70"/>
        <v>E:\附赠：Excel模板\精美EXCEL模板\网友极力推荐的Excel模板1000例</v>
      </c>
      <c r="S3532" s="9">
        <v>43600.3821875</v>
      </c>
      <c r="T3532" s="9">
        <v>43390.5167824074</v>
      </c>
    </row>
    <row r="3533" spans="14:20">
      <c r="N3533" s="7" t="str">
        <f>HYPERLINK("E:\附赠：Excel模板\精美EXCEL模板\网友极力推荐的Excel模板1000例\大學學會财务表.xls","大學學會财务表.xls")</f>
        <v>大學學會财务表.xls</v>
      </c>
      <c r="Q3533">
        <v>0.02</v>
      </c>
      <c r="R3533" s="7" t="str">
        <f t="shared" si="70"/>
        <v>E:\附赠：Excel模板\精美EXCEL模板\网友极力推荐的Excel模板1000例</v>
      </c>
      <c r="S3533" s="9">
        <v>43600.3821875</v>
      </c>
      <c r="T3533" s="9">
        <v>43390.5167824074</v>
      </c>
    </row>
    <row r="3534" spans="14:20">
      <c r="N3534" s="7" t="str">
        <f>HYPERLINK("E:\附赠：Excel模板\精美EXCEL模板\网友极力推荐的Excel模板1000例\大學財務收支簡要說明.xls","大學財務收支簡要說明.xls")</f>
        <v>大學財務收支簡要說明.xls</v>
      </c>
      <c r="Q3534">
        <v>0.02</v>
      </c>
      <c r="R3534" s="7" t="str">
        <f t="shared" si="70"/>
        <v>E:\附赠：Excel模板\精美EXCEL模板\网友极力推荐的Excel模板1000例</v>
      </c>
      <c r="S3534" s="9">
        <v>43600.3821875</v>
      </c>
      <c r="T3534" s="9">
        <v>43390.5167824074</v>
      </c>
    </row>
    <row r="3535" spans="14:20">
      <c r="N3535" s="7" t="str">
        <f>HYPERLINK("E:\附赠：Excel模板\精美EXCEL模板\网友极力推荐的Excel模板1000例\夫妻再生育申请审批表.xls","夫妻再生育申请审批表.xls")</f>
        <v>夫妻再生育申请审批表.xls</v>
      </c>
      <c r="Q3535">
        <v>0.04</v>
      </c>
      <c r="R3535" s="7" t="str">
        <f t="shared" si="70"/>
        <v>E:\附赠：Excel模板\精美EXCEL模板\网友极力推荐的Excel模板1000例</v>
      </c>
      <c r="S3535" s="9">
        <v>43600.3821875</v>
      </c>
      <c r="T3535" s="9">
        <v>43390.5166666667</v>
      </c>
    </row>
    <row r="3536" spans="14:20">
      <c r="N3536" s="7" t="str">
        <f>HYPERLINK("E:\附赠：Excel模板\精美EXCEL模板\网友极力推荐的Excel模板1000例\契税减免申报表.xls","契税减免申报表.xls")</f>
        <v>契税减免申报表.xls</v>
      </c>
      <c r="Q3536">
        <v>0.02</v>
      </c>
      <c r="R3536" s="7" t="str">
        <f t="shared" si="70"/>
        <v>E:\附赠：Excel模板\精美EXCEL模板\网友极力推荐的Excel模板1000例</v>
      </c>
      <c r="S3536" s="9">
        <v>43600.3821875</v>
      </c>
      <c r="T3536" s="9">
        <v>43390.5162268519</v>
      </c>
    </row>
    <row r="3537" spans="14:20">
      <c r="N3537" s="7" t="str">
        <f>HYPERLINK("E:\附赠：Excel模板\精美EXCEL模板\网友极力推荐的Excel模板1000例\奖励有突出贡献人才资金资助申请书.xls","奖励有突出贡献人才资金资助申请书.xls")</f>
        <v>奖励有突出贡献人才资金资助申请书.xls</v>
      </c>
      <c r="Q3537">
        <v>0.03</v>
      </c>
      <c r="R3537" s="7" t="str">
        <f t="shared" si="70"/>
        <v>E:\附赠：Excel模板\精美EXCEL模板\网友极力推荐的Excel模板1000例</v>
      </c>
      <c r="S3537" s="9">
        <v>43600.3821875</v>
      </c>
      <c r="T3537" s="9">
        <v>43390.5164814815</v>
      </c>
    </row>
    <row r="3538" spans="14:20">
      <c r="N3538" s="7" t="str">
        <f>HYPERLINK("E:\附赠：Excel模板\精美EXCEL模板\网友极力推荐的Excel模板1000例\委托贷款明细表.xls","委托贷款明细表.xls")</f>
        <v>委托贷款明细表.xls</v>
      </c>
      <c r="Q3538">
        <v>0.02</v>
      </c>
      <c r="R3538" s="7" t="str">
        <f t="shared" si="70"/>
        <v>E:\附赠：Excel模板\精美EXCEL模板\网友极力推荐的Excel模板1000例</v>
      </c>
      <c r="S3538" s="9">
        <v>43600.3821875</v>
      </c>
      <c r="T3538" s="9">
        <v>43390.5160185185</v>
      </c>
    </row>
    <row r="3539" spans="14:20">
      <c r="N3539" s="7" t="str">
        <f>HYPERLINK("E:\附赠：Excel模板\精美EXCEL模板\网友极力推荐的Excel模板1000例\娱乐经营情况明细表.xls","娱乐经营情况明细表.xls")</f>
        <v>娱乐经营情况明细表.xls</v>
      </c>
      <c r="Q3539">
        <v>0.02</v>
      </c>
      <c r="R3539" s="7" t="str">
        <f t="shared" si="70"/>
        <v>E:\附赠：Excel模板\精美EXCEL模板\网友极力推荐的Excel模板1000例</v>
      </c>
      <c r="S3539" s="9">
        <v>43600.3821875</v>
      </c>
      <c r="T3539" s="9">
        <v>43390.5157407407</v>
      </c>
    </row>
    <row r="3540" spans="14:20">
      <c r="N3540" s="7" t="str">
        <f>HYPERLINK("E:\附赠：Excel模板\精美EXCEL模板\网友极力推荐的Excel模板1000例\学年开放教育（本科）考试科目.xls","学年开放教育（本科）考试科目.xls")</f>
        <v>学年开放教育（本科）考试科目.xls</v>
      </c>
      <c r="Q3540">
        <v>0.03</v>
      </c>
      <c r="R3540" s="7" t="str">
        <f t="shared" si="70"/>
        <v>E:\附赠：Excel模板\精美EXCEL模板\网友极力推荐的Excel模板1000例</v>
      </c>
      <c r="S3540" s="9">
        <v>43600.3821875</v>
      </c>
      <c r="T3540" s="9">
        <v>43390.5158796296</v>
      </c>
    </row>
    <row r="3541" spans="14:20">
      <c r="N3541" s="7" t="str">
        <f>HYPERLINK("E:\附赠：Excel模板\精美EXCEL模板\网友极力推荐的Excel模板1000例\学校债权债务年终明细表.xls","学校债权债务年终明细表.xls")</f>
        <v>学校债权债务年终明细表.xls</v>
      </c>
      <c r="Q3541">
        <v>0.01</v>
      </c>
      <c r="R3541" s="7" t="str">
        <f t="shared" si="70"/>
        <v>E:\附赠：Excel模板\精美EXCEL模板\网友极力推荐的Excel模板1000例</v>
      </c>
      <c r="S3541" s="9">
        <v>43600.3821875</v>
      </c>
      <c r="T3541" s="9">
        <v>43390.5158333333</v>
      </c>
    </row>
    <row r="3542" spans="14:20">
      <c r="N3542" s="7" t="str">
        <f>HYPERLINK("E:\附赠：Excel模板\精美EXCEL模板\网友极力推荐的Excel模板1000例\学校各部门专项经费使用范围.xls","学校各部门专项经费使用范围.xls")</f>
        <v>学校各部门专项经费使用范围.xls</v>
      </c>
      <c r="Q3542">
        <v>0.07</v>
      </c>
      <c r="R3542" s="7" t="str">
        <f t="shared" si="70"/>
        <v>E:\附赠：Excel模板\精美EXCEL模板\网友极力推荐的Excel模板1000例</v>
      </c>
      <c r="S3542" s="9">
        <v>43600.3821875</v>
      </c>
      <c r="T3542" s="9">
        <v>43390.5158564815</v>
      </c>
    </row>
    <row r="3543" spans="14:20">
      <c r="N3543" s="7" t="str">
        <f>HYPERLINK("E:\附赠：Excel模板\精美EXCEL模板\网友极力推荐的Excel模板1000例\学校学生“课本费、作业本费”收支明细表.xls","学校学生“课本费、作业本费”收支明细表.xls")</f>
        <v>学校学生“课本费、作业本费”收支明细表.xls</v>
      </c>
      <c r="Q3543">
        <v>0.01</v>
      </c>
      <c r="R3543" s="7" t="str">
        <f t="shared" si="70"/>
        <v>E:\附赠：Excel模板\精美EXCEL模板\网友极力推荐的Excel模板1000例</v>
      </c>
      <c r="S3543" s="9">
        <v>43600.3821875</v>
      </c>
      <c r="T3543" s="9">
        <v>43390.5158333333</v>
      </c>
    </row>
    <row r="3544" spans="14:20">
      <c r="N3544" s="7" t="str">
        <f>HYPERLINK("E:\附赠：Excel模板\精美EXCEL模板\网友极力推荐的Excel模板1000例\学校家庭贫困学生情况调查表.xls","学校家庭贫困学生情况调查表.xls")</f>
        <v>学校家庭贫困学生情况调查表.xls</v>
      </c>
      <c r="Q3544">
        <v>0.05</v>
      </c>
      <c r="R3544" s="7" t="str">
        <f t="shared" si="70"/>
        <v>E:\附赠：Excel模板\精美EXCEL模板\网友极力推荐的Excel模板1000例</v>
      </c>
      <c r="S3544" s="9">
        <v>43600.3821875</v>
      </c>
      <c r="T3544" s="9">
        <v>43390.5158564815</v>
      </c>
    </row>
    <row r="3545" spans="14:20">
      <c r="N3545" s="7" t="str">
        <f>HYPERLINK("E:\附赠：Excel模板\精美EXCEL模板\网友极力推荐的Excel模板1000例\学校寄托班学生“临管费”收支明细表.xls","学校寄托班学生“临管费”收支明细表.xls")</f>
        <v>学校寄托班学生“临管费”收支明细表.xls</v>
      </c>
      <c r="Q3545">
        <v>0.01</v>
      </c>
      <c r="R3545" s="7" t="str">
        <f t="shared" si="70"/>
        <v>E:\附赠：Excel模板\精美EXCEL模板\网友极力推荐的Excel模板1000例</v>
      </c>
      <c r="S3545" s="9">
        <v>43600.3821875</v>
      </c>
      <c r="T3545" s="9">
        <v>43390.5158564815</v>
      </c>
    </row>
    <row r="3546" spans="14:20">
      <c r="N3546" s="7" t="str">
        <f>HYPERLINK("E:\附赠：Excel模板\精美EXCEL模板\网友极力推荐的Excel模板1000例\学校年终负债余额情况表.xls","学校年终负债余额情况表.xls")</f>
        <v>学校年终负债余额情况表.xls</v>
      </c>
      <c r="Q3546">
        <v>0.02</v>
      </c>
      <c r="R3546" s="7" t="str">
        <f t="shared" si="70"/>
        <v>E:\附赠：Excel模板\精美EXCEL模板\网友极力推荐的Excel模板1000例</v>
      </c>
      <c r="S3546" s="9">
        <v>43600.3821875</v>
      </c>
      <c r="T3546" s="9">
        <v>43390.5158333333</v>
      </c>
    </row>
    <row r="3547" spans="14:20">
      <c r="N3547" s="7" t="str">
        <f>HYPERLINK("E:\附赠：Excel模板\精美EXCEL模板\网友极力推荐的Excel模板1000例\学校建设工程项目概况.xls","学校建设工程项目概况.xls")</f>
        <v>学校建设工程项目概况.xls</v>
      </c>
      <c r="Q3547">
        <v>0.03</v>
      </c>
      <c r="R3547" s="7" t="str">
        <f t="shared" si="70"/>
        <v>E:\附赠：Excel模板\精美EXCEL模板\网友极力推荐的Excel模板1000例</v>
      </c>
      <c r="S3547" s="9">
        <v>43600.3821875</v>
      </c>
      <c r="T3547" s="9">
        <v>43390.5158564815</v>
      </c>
    </row>
    <row r="3548" spans="14:20">
      <c r="N3548" s="7" t="str">
        <f>HYPERLINK("E:\附赠：Excel模板\精美EXCEL模板\网友极力推荐的Excel模板1000例\学校开放教育课程开课科目.xls","学校开放教育课程开课科目.xls")</f>
        <v>学校开放教育课程开课科目.xls</v>
      </c>
      <c r="Q3548">
        <v>0.04</v>
      </c>
      <c r="R3548" s="7" t="str">
        <f t="shared" si="70"/>
        <v>E:\附赠：Excel模板\精美EXCEL模板\网友极力推荐的Excel模板1000例</v>
      </c>
      <c r="S3548" s="9">
        <v>43600.3821875</v>
      </c>
      <c r="T3548" s="9">
        <v>43390.5158333333</v>
      </c>
    </row>
    <row r="3549" spans="14:20">
      <c r="N3549" s="7" t="str">
        <f>HYPERLINK("E:\附赠：Excel模板\精美EXCEL模板\网友极力推荐的Excel模板1000例\学校开放本科公共事业管理（教育管理）专业课程教材征订表.xls","学校开放本科公共事业管理（教育管理）专业课程教材征订表.xls")</f>
        <v>学校开放本科公共事业管理（教育管理）专业课程教材征订表.xls</v>
      </c>
      <c r="Q3549">
        <v>0.02</v>
      </c>
      <c r="R3549" s="7" t="str">
        <f t="shared" si="70"/>
        <v>E:\附赠：Excel模板\精美EXCEL模板\网友极力推荐的Excel模板1000例</v>
      </c>
      <c r="S3549" s="9">
        <v>43600.3821875</v>
      </c>
      <c r="T3549" s="9">
        <v>43390.5158333333</v>
      </c>
    </row>
    <row r="3550" spans="14:20">
      <c r="N3550" s="7" t="str">
        <f>HYPERLINK("E:\附赠：Excel模板\精美EXCEL模板\网友极力推荐的Excel模板1000例\学校开放本科工商管理专业课程教材征订表.xls","学校开放本科工商管理专业课程教材征订表.xls")</f>
        <v>学校开放本科工商管理专业课程教材征订表.xls</v>
      </c>
      <c r="Q3550">
        <v>0.02</v>
      </c>
      <c r="R3550" s="7" t="str">
        <f t="shared" si="70"/>
        <v>E:\附赠：Excel模板\精美EXCEL模板\网友极力推荐的Excel模板1000例</v>
      </c>
      <c r="S3550" s="9">
        <v>43600.3821875</v>
      </c>
      <c r="T3550" s="9">
        <v>43390.5158564815</v>
      </c>
    </row>
    <row r="3551" spans="14:20">
      <c r="N3551" s="7" t="str">
        <f>HYPERLINK("E:\附赠：Excel模板\精美EXCEL模板\网友极力推荐的Excel模板1000例\学校开放本科法学专业课程教材征订表.xls","学校开放本科法学专业课程教材征订表.xls")</f>
        <v>学校开放本科法学专业课程教材征订表.xls</v>
      </c>
      <c r="Q3551">
        <v>0.02</v>
      </c>
      <c r="R3551" s="7" t="str">
        <f t="shared" si="70"/>
        <v>E:\附赠：Excel模板\精美EXCEL模板\网友极力推荐的Excel模板1000例</v>
      </c>
      <c r="S3551" s="9">
        <v>43600.3821875</v>
      </c>
      <c r="T3551" s="9">
        <v>43390.5158564815</v>
      </c>
    </row>
    <row r="3552" spans="14:20">
      <c r="N3552" s="7" t="str">
        <f>HYPERLINK("E:\附赠：Excel模板\精美EXCEL模板\网友极力推荐的Excel模板1000例\学校投资财务收支情况验收表.xls","学校投资财务收支情况验收表.xls")</f>
        <v>学校投资财务收支情况验收表.xls</v>
      </c>
      <c r="Q3552">
        <v>0.02</v>
      </c>
      <c r="R3552" s="7" t="str">
        <f t="shared" si="70"/>
        <v>E:\附赠：Excel模板\精美EXCEL模板\网友极力推荐的Excel模板1000例</v>
      </c>
      <c r="S3552" s="9">
        <v>43600.3821875</v>
      </c>
      <c r="T3552" s="9">
        <v>43390.5158333333</v>
      </c>
    </row>
    <row r="3553" spans="14:20">
      <c r="N3553" s="7" t="str">
        <f>HYPERLINK("E:\附赠：Excel模板\精美EXCEL模板\网友极力推荐的Excel模板1000例\学校招生计划表.xls","学校招生计划表.xls")</f>
        <v>学校招生计划表.xls</v>
      </c>
      <c r="Q3553">
        <v>0.03</v>
      </c>
      <c r="R3553" s="7" t="str">
        <f t="shared" si="70"/>
        <v>E:\附赠：Excel模板\精美EXCEL模板\网友极力推荐的Excel模板1000例</v>
      </c>
      <c r="S3553" s="9">
        <v>43600.3821875</v>
      </c>
      <c r="T3553" s="9">
        <v>43390.5158333333</v>
      </c>
    </row>
    <row r="3554" spans="14:20">
      <c r="N3554" s="7" t="str">
        <f>HYPERLINK("E:\附赠：Excel模板\精美EXCEL模板\网友极力推荐的Excel模板1000例\学校支出明细表.xls","学校支出明细表.xls")</f>
        <v>学校支出明细表.xls</v>
      </c>
      <c r="Q3554">
        <v>0.02</v>
      </c>
      <c r="R3554" s="7" t="str">
        <f t="shared" si="70"/>
        <v>E:\附赠：Excel模板\精美EXCEL模板\网友极力推荐的Excel模板1000例</v>
      </c>
      <c r="S3554" s="9">
        <v>43600.3821875</v>
      </c>
      <c r="T3554" s="9">
        <v>43390.5158333333</v>
      </c>
    </row>
    <row r="3555" spans="14:20">
      <c r="N3555" s="7" t="str">
        <f>HYPERLINK("E:\附赠：Excel模板\精美EXCEL模板\网友极力推荐的Excel模板1000例\学校收入明细表.xls","学校收入明细表.xls")</f>
        <v>学校收入明细表.xls</v>
      </c>
      <c r="Q3555">
        <v>0.02</v>
      </c>
      <c r="R3555" s="7" t="str">
        <f t="shared" si="70"/>
        <v>E:\附赠：Excel模板\精美EXCEL模板\网友极力推荐的Excel模板1000例</v>
      </c>
      <c r="S3555" s="9">
        <v>43600.3821875</v>
      </c>
      <c r="T3555" s="9">
        <v>43390.5158333333</v>
      </c>
    </row>
    <row r="3556" spans="14:20">
      <c r="N3556" s="7" t="str">
        <f>HYPERLINK("E:\附赠：Excel模板\精美EXCEL模板\网友极力推荐的Excel模板1000例\学校现金收支概況表.xls","学校现金收支概況表.xls")</f>
        <v>学校现金收支概況表.xls</v>
      </c>
      <c r="Q3556">
        <v>0.02</v>
      </c>
      <c r="R3556" s="7" t="str">
        <f t="shared" si="70"/>
        <v>E:\附赠：Excel模板\精美EXCEL模板\网友极力推荐的Excel模板1000例</v>
      </c>
      <c r="S3556" s="9">
        <v>43600.3821875</v>
      </c>
      <c r="T3556" s="9">
        <v>43390.5158333333</v>
      </c>
    </row>
    <row r="3557" spans="14:20">
      <c r="N3557" s="7" t="str">
        <f>HYPERLINK("E:\附赠：Excel模板\精美EXCEL模板\网友极力推荐的Excel模板1000例\学校现金流量决算表.xls","学校现金流量决算表.xls")</f>
        <v>学校现金流量决算表.xls</v>
      </c>
      <c r="Q3557">
        <v>0.02</v>
      </c>
      <c r="R3557" s="7" t="str">
        <f t="shared" si="70"/>
        <v>E:\附赠：Excel模板\精美EXCEL模板\网友极力推荐的Excel模板1000例</v>
      </c>
      <c r="S3557" s="9">
        <v>43600.3821875</v>
      </c>
      <c r="T3557" s="9">
        <v>43390.5158333333</v>
      </c>
    </row>
    <row r="3558" spans="14:20">
      <c r="N3558" s="7" t="str">
        <f>HYPERLINK("E:\附赠：Excel模板\精美EXCEL模板\网友极力推荐的Excel模板1000例\学校现金流量表.xls","学校现金流量表.xls")</f>
        <v>学校现金流量表.xls</v>
      </c>
      <c r="Q3558">
        <v>0.02</v>
      </c>
      <c r="R3558" s="7" t="str">
        <f t="shared" si="70"/>
        <v>E:\附赠：Excel模板\精美EXCEL模板\网友极力推荐的Excel模板1000例</v>
      </c>
      <c r="S3558" s="9">
        <v>43600.3821875</v>
      </c>
      <c r="T3558" s="9">
        <v>43390.5158333333</v>
      </c>
    </row>
    <row r="3559" spans="14:20">
      <c r="N3559" s="7" t="str">
        <f>HYPERLINK("E:\附赠：Excel模板\精美EXCEL模板\网友极力推荐的Excel模板1000例\学校現金收支概況表.xls","学校現金收支概況表.xls")</f>
        <v>学校現金收支概況表.xls</v>
      </c>
      <c r="Q3559">
        <v>0.02</v>
      </c>
      <c r="R3559" s="7" t="str">
        <f t="shared" si="70"/>
        <v>E:\附赠：Excel模板\精美EXCEL模板\网友极力推荐的Excel模板1000例</v>
      </c>
      <c r="S3559" s="9">
        <v>43600.3821875</v>
      </c>
      <c r="T3559" s="9">
        <v>43390.5158564815</v>
      </c>
    </row>
    <row r="3560" spans="14:20">
      <c r="N3560" s="7" t="str">
        <f>HYPERLINK("E:\附赠：Excel模板\精美EXCEL模板\网友极力推荐的Excel模板1000例\学校管理高级研讨班报名回执.xls","学校管理高级研讨班报名回执.xls")</f>
        <v>学校管理高级研讨班报名回执.xls</v>
      </c>
      <c r="Q3560">
        <v>0.02</v>
      </c>
      <c r="R3560" s="7" t="str">
        <f t="shared" si="70"/>
        <v>E:\附赠：Excel模板\精美EXCEL模板\网友极力推荐的Excel模板1000例</v>
      </c>
      <c r="S3560" s="9">
        <v>43600.3821875</v>
      </c>
      <c r="T3560" s="9">
        <v>43390.5158564815</v>
      </c>
    </row>
    <row r="3561" spans="14:20">
      <c r="N3561" s="7" t="str">
        <f>HYPERLINK("E:\附赠：Excel模板\精美EXCEL模板\网友极力推荐的Excel模板1000例\学校综合投资效益验收统计表.xls","学校综合投资效益验收统计表.xls")</f>
        <v>学校综合投资效益验收统计表.xls</v>
      </c>
      <c r="Q3561">
        <v>0.02</v>
      </c>
      <c r="R3561" s="7" t="str">
        <f t="shared" si="70"/>
        <v>E:\附赠：Excel模板\精美EXCEL模板\网友极力推荐的Excel模板1000例</v>
      </c>
      <c r="S3561" s="9">
        <v>43600.3821875</v>
      </c>
      <c r="T3561" s="9">
        <v>43390.5158333333</v>
      </c>
    </row>
    <row r="3562" spans="14:20">
      <c r="N3562" s="7" t="str">
        <f>HYPERLINK("E:\附赠：Excel模板\精美EXCEL模板\网友极力推荐的Excel模板1000例\学校考试安排.xls","学校考试安排.xls")</f>
        <v>学校考试安排.xls</v>
      </c>
      <c r="Q3562">
        <v>0.02</v>
      </c>
      <c r="R3562" s="7" t="str">
        <f t="shared" si="70"/>
        <v>E:\附赠：Excel模板\精美EXCEL模板\网友极力推荐的Excel模板1000例</v>
      </c>
      <c r="S3562" s="9">
        <v>43600.3821875</v>
      </c>
      <c r="T3562" s="9">
        <v>43390.5158564815</v>
      </c>
    </row>
    <row r="3563" spans="14:20">
      <c r="N3563" s="7" t="str">
        <f>HYPERLINK("E:\附赠：Excel模板\精美EXCEL模板\网友极力推荐的Excel模板1000例\学校财务工作考核条例.xls","学校财务工作考核条例.xls")</f>
        <v>学校财务工作考核条例.xls</v>
      </c>
      <c r="Q3563">
        <v>0.02</v>
      </c>
      <c r="R3563" s="7" t="str">
        <f t="shared" si="70"/>
        <v>E:\附赠：Excel模板\精美EXCEL模板\网友极力推荐的Excel模板1000例</v>
      </c>
      <c r="S3563" s="9">
        <v>43600.3821875</v>
      </c>
      <c r="T3563" s="9">
        <v>43390.5158564815</v>
      </c>
    </row>
    <row r="3564" spans="14:20">
      <c r="N3564" s="7" t="str">
        <f>HYPERLINK("E:\附赠：Excel模板\精美EXCEL模板\网友极力推荐的Excel模板1000例\学校财务自查表.xls","学校财务自查表.xls")</f>
        <v>学校财务自查表.xls</v>
      </c>
      <c r="Q3564">
        <v>0.02</v>
      </c>
      <c r="R3564" s="7" t="str">
        <f t="shared" si="70"/>
        <v>E:\附赠：Excel模板\精美EXCEL模板\网友极力推荐的Excel模板1000例</v>
      </c>
      <c r="S3564" s="9">
        <v>43600.3821875</v>
      </c>
      <c r="T3564" s="9">
        <v>43390.5158564815</v>
      </c>
    </row>
    <row r="3565" spans="14:20">
      <c r="N3565" s="7" t="str">
        <f>HYPERLINK("E:\附赠：Excel模板\精美EXCEL模板\网友极力推荐的Excel模板1000例\学校资金投入与执行情况验收表.xls","学校资金投入与执行情况验收表.xls")</f>
        <v>学校资金投入与执行情况验收表.xls</v>
      </c>
      <c r="Q3565">
        <v>0.02</v>
      </c>
      <c r="R3565" s="7" t="str">
        <f t="shared" si="70"/>
        <v>E:\附赠：Excel模板\精美EXCEL模板\网友极力推荐的Excel模板1000例</v>
      </c>
      <c r="S3565" s="9">
        <v>43600.3821875</v>
      </c>
      <c r="T3565" s="9">
        <v>43390.5158333333</v>
      </c>
    </row>
    <row r="3566" spans="14:20">
      <c r="N3566" s="7" t="str">
        <f>HYPERLINK("E:\附赠：Excel模板\精美EXCEL模板\网友极力推荐的Excel模板1000例\学生参加活动情况统计表.xls","学生参加活动情况统计表.xls")</f>
        <v>学生参加活动情况统计表.xls</v>
      </c>
      <c r="Q3566">
        <v>0.02</v>
      </c>
      <c r="R3566" s="7" t="str">
        <f t="shared" si="70"/>
        <v>E:\附赠：Excel模板\精美EXCEL模板\网友极力推荐的Excel模板1000例</v>
      </c>
      <c r="S3566" s="9">
        <v>43600.3821875</v>
      </c>
      <c r="T3566" s="9">
        <v>43390.5158796296</v>
      </c>
    </row>
    <row r="3567" spans="14:20">
      <c r="N3567" s="7" t="str">
        <f>HYPERLINK("E:\附赠：Excel模板\精美EXCEL模板\网友极力推荐的Excel模板1000例\学生参加科技活动情况统计表.xls","学生参加科技活动情况统计表.xls")</f>
        <v>学生参加科技活动情况统计表.xls</v>
      </c>
      <c r="Q3567">
        <v>0.02</v>
      </c>
      <c r="R3567" s="7" t="str">
        <f t="shared" si="70"/>
        <v>E:\附赠：Excel模板\精美EXCEL模板\网友极力推荐的Excel模板1000例</v>
      </c>
      <c r="S3567" s="9">
        <v>43600.3821875</v>
      </c>
      <c r="T3567" s="9">
        <v>43390.5158796296</v>
      </c>
    </row>
    <row r="3568" spans="14:20">
      <c r="N3568" s="7" t="str">
        <f>HYPERLINK("E:\附赠：Excel模板\精美EXCEL模板\网友极力推荐的Excel模板1000例\学生参加科研活动情况统计表（含发表的论文）.xls","学生参加科研活动情况统计表（含发表的论文）.xls")</f>
        <v>学生参加科研活动情况统计表（含发表的论文）.xls</v>
      </c>
      <c r="Q3568">
        <v>0.02</v>
      </c>
      <c r="R3568" s="7" t="str">
        <f t="shared" si="70"/>
        <v>E:\附赠：Excel模板\精美EXCEL模板\网友极力推荐的Excel模板1000例</v>
      </c>
      <c r="S3568" s="9">
        <v>43600.3821875</v>
      </c>
      <c r="T3568" s="9">
        <v>43390.5158796296</v>
      </c>
    </row>
    <row r="3569" spans="14:20">
      <c r="N3569" s="7" t="str">
        <f>HYPERLINK("E:\附赠：Excel模板\精美EXCEL模板\网友极力推荐的Excel模板1000例\学生变动情况登记表.xls","学生变动情况登记表.xls")</f>
        <v>学生变动情况登记表.xls</v>
      </c>
      <c r="Q3569">
        <v>0.02</v>
      </c>
      <c r="R3569" s="7" t="str">
        <f t="shared" si="70"/>
        <v>E:\附赠：Excel模板\精美EXCEL模板\网友极力推荐的Excel模板1000例</v>
      </c>
      <c r="S3569" s="9">
        <v>43600.3821875</v>
      </c>
      <c r="T3569" s="9">
        <v>43390.5158796296</v>
      </c>
    </row>
    <row r="3570" spans="14:20">
      <c r="N3570" s="7" t="str">
        <f>HYPERLINK("E:\附赠：Excel模板\精美EXCEL模板\网友极力推荐的Excel模板1000例\学生各类获奖及受表彰情况统计.xls","学生各类获奖及受表彰情况统计.xls")</f>
        <v>学生各类获奖及受表彰情况统计.xls</v>
      </c>
      <c r="Q3570">
        <v>0.02</v>
      </c>
      <c r="R3570" s="7" t="str">
        <f t="shared" si="70"/>
        <v>E:\附赠：Excel模板\精美EXCEL模板\网友极力推荐的Excel模板1000例</v>
      </c>
      <c r="S3570" s="9">
        <v>43600.3821875</v>
      </c>
      <c r="T3570" s="9">
        <v>43390.5158796296</v>
      </c>
    </row>
    <row r="3571" spans="14:20">
      <c r="N3571" s="7" t="str">
        <f>HYPERLINK("E:\附赠：Excel模板\精美EXCEL模板\网友极力推荐的Excel模板1000例\学生家庭住址情况统计.xls","学生家庭住址情况统计.xls")</f>
        <v>学生家庭住址情况统计.xls</v>
      </c>
      <c r="Q3571">
        <v>0.02</v>
      </c>
      <c r="R3571" s="7" t="str">
        <f t="shared" si="70"/>
        <v>E:\附赠：Excel模板\精美EXCEL模板\网友极力推荐的Excel模板1000例</v>
      </c>
      <c r="S3571" s="9">
        <v>43600.3821875</v>
      </c>
      <c r="T3571" s="9">
        <v>43390.5158564815</v>
      </c>
    </row>
    <row r="3572" spans="14:20">
      <c r="N3572" s="7" t="str">
        <f>HYPERLINK("E:\附赠：Excel模板\精美EXCEL模板\网友极力推荐的Excel模板1000例\学生成绩报告单.xls","学生成绩报告单.xls")</f>
        <v>学生成绩报告单.xls</v>
      </c>
      <c r="Q3572">
        <v>0.02</v>
      </c>
      <c r="R3572" s="7" t="str">
        <f t="shared" si="70"/>
        <v>E:\附赠：Excel模板\精美EXCEL模板\网友极力推荐的Excel模板1000例</v>
      </c>
      <c r="S3572" s="9">
        <v>43600.3821875</v>
      </c>
      <c r="T3572" s="9">
        <v>43390.5158796296</v>
      </c>
    </row>
    <row r="3573" spans="14:20">
      <c r="N3573" s="7" t="str">
        <f>HYPERLINK("E:\附赠：Excel模板\精美EXCEL模板\网友极力推荐的Excel模板1000例\学生成绩表.xls","学生成绩表.xls")</f>
        <v>学生成绩表.xls</v>
      </c>
      <c r="Q3573">
        <v>0.03</v>
      </c>
      <c r="R3573" s="7" t="str">
        <f t="shared" si="70"/>
        <v>E:\附赠：Excel模板\精美EXCEL模板\网友极力推荐的Excel模板1000例</v>
      </c>
      <c r="S3573" s="9">
        <v>43600.3821875</v>
      </c>
      <c r="T3573" s="9">
        <v>43390.5158796296</v>
      </c>
    </row>
    <row r="3574" spans="14:20">
      <c r="N3574" s="7" t="str">
        <f>HYPERLINK("E:\附赠：Excel模板\精美EXCEL模板\网友极力推荐的Excel模板1000例\学生成绩表2.xls","学生成绩表2.xls")</f>
        <v>学生成绩表2.xls</v>
      </c>
      <c r="Q3574">
        <v>0.03</v>
      </c>
      <c r="R3574" s="7" t="str">
        <f t="shared" si="70"/>
        <v>E:\附赠：Excel模板\精美EXCEL模板\网友极力推荐的Excel模板1000例</v>
      </c>
      <c r="S3574" s="9">
        <v>43600.3821875</v>
      </c>
      <c r="T3574" s="9">
        <v>43390.5158796296</v>
      </c>
    </row>
    <row r="3575" spans="14:20">
      <c r="N3575" s="7" t="str">
        <f>HYPERLINK("E:\附赠：Excel模板\精美EXCEL模板\网友极力推荐的Excel模板1000例\学生成绩表（分析表）.xls","学生成绩表（分析表）.xls")</f>
        <v>学生成绩表（分析表）.xls</v>
      </c>
      <c r="Q3575">
        <v>0.03</v>
      </c>
      <c r="R3575" s="7" t="str">
        <f t="shared" si="70"/>
        <v>E:\附赠：Excel模板\精美EXCEL模板\网友极力推荐的Excel模板1000例</v>
      </c>
      <c r="S3575" s="9">
        <v>43600.3821875</v>
      </c>
      <c r="T3575" s="9">
        <v>43390.5158796296</v>
      </c>
    </row>
    <row r="3576" spans="14:20">
      <c r="N3576" s="7" t="str">
        <f>HYPERLINK("E:\附赠：Excel模板\精美EXCEL模板\网友极力推荐的Excel模板1000例\学生毕业率学位比例考研率.xls","学生毕业率学位比例考研率.xls")</f>
        <v>学生毕业率学位比例考研率.xls</v>
      </c>
      <c r="Q3576">
        <v>0.02</v>
      </c>
      <c r="R3576" s="7" t="str">
        <f t="shared" si="70"/>
        <v>E:\附赠：Excel模板\精美EXCEL模板\网友极力推荐的Excel模板1000例</v>
      </c>
      <c r="S3576" s="9">
        <v>43600.3821875</v>
      </c>
      <c r="T3576" s="9">
        <v>43390.5158796296</v>
      </c>
    </row>
    <row r="3577" spans="14:20">
      <c r="N3577" s="7" t="str">
        <f>HYPERLINK("E:\附赠：Excel模板\精美EXCEL模板\网友极力推荐的Excel模板1000例\学生物理学习情况问卷表.xls","学生物理学习情况问卷表.xls")</f>
        <v>学生物理学习情况问卷表.xls</v>
      </c>
      <c r="Q3577">
        <v>0.05</v>
      </c>
      <c r="R3577" s="7" t="str">
        <f t="shared" si="70"/>
        <v>E:\附赠：Excel模板\精美EXCEL模板\网友极力推荐的Excel模板1000例</v>
      </c>
      <c r="S3577" s="9">
        <v>43600.3821875</v>
      </c>
      <c r="T3577" s="9">
        <v>43390.5158564815</v>
      </c>
    </row>
    <row r="3578" spans="14:20">
      <c r="N3578" s="7" t="str">
        <f>HYPERLINK("E:\附赠：Excel模板\精美EXCEL模板\网友极力推荐的Excel模板1000例\学生社团情况统计表.xls","学生社团情况统计表.xls")</f>
        <v>学生社团情况统计表.xls</v>
      </c>
      <c r="Q3578">
        <v>0.02</v>
      </c>
      <c r="R3578" s="7" t="str">
        <f t="shared" si="70"/>
        <v>E:\附赠：Excel模板\精美EXCEL模板\网友极力推荐的Excel模板1000例</v>
      </c>
      <c r="S3578" s="9">
        <v>43600.3821875</v>
      </c>
      <c r="T3578" s="9">
        <v>43390.5158564815</v>
      </c>
    </row>
    <row r="3579" spans="14:20">
      <c r="N3579" s="7" t="str">
        <f>HYPERLINK("E:\附赠：Excel模板\精美EXCEL模板\网友极力推荐的Excel模板1000例\学生缺课情况统计表.xls","学生缺课情况统计表.xls")</f>
        <v>学生缺课情况统计表.xls</v>
      </c>
      <c r="Q3579">
        <v>0.02</v>
      </c>
      <c r="R3579" s="7" t="str">
        <f t="shared" si="70"/>
        <v>E:\附赠：Excel模板\精美EXCEL模板\网友极力推荐的Excel模板1000例</v>
      </c>
      <c r="S3579" s="9">
        <v>43600.3821875</v>
      </c>
      <c r="T3579" s="9">
        <v>43390.5158564815</v>
      </c>
    </row>
    <row r="3580" spans="14:20">
      <c r="N3580" s="7" t="str">
        <f>HYPERLINK("E:\附赠：Excel模板\精美EXCEL模板\网友极力推荐的Excel模板1000例\学生记分册.xls","学生记分册.xls")</f>
        <v>学生记分册.xls</v>
      </c>
      <c r="Q3580">
        <v>0.02</v>
      </c>
      <c r="R3580" s="7" t="str">
        <f t="shared" si="70"/>
        <v>E:\附赠：Excel模板\精美EXCEL模板\网友极力推荐的Excel模板1000例</v>
      </c>
      <c r="S3580" s="9">
        <v>43600.3821875</v>
      </c>
      <c r="T3580" s="9">
        <v>43390.5158564815</v>
      </c>
    </row>
    <row r="3581" spans="14:20">
      <c r="N3581" s="7" t="str">
        <f>HYPERLINK("E:\附赠：Excel模板\精美EXCEL模板\网友极力推荐的Excel模板1000例\学生贷款统计表.xls","学生贷款统计表.xls")</f>
        <v>学生贷款统计表.xls</v>
      </c>
      <c r="Q3581">
        <v>0.02</v>
      </c>
      <c r="R3581" s="7" t="str">
        <f t="shared" si="70"/>
        <v>E:\附赠：Excel模板\精美EXCEL模板\网友极力推荐的Excel模板1000例</v>
      </c>
      <c r="S3581" s="9">
        <v>43600.3821875</v>
      </c>
      <c r="T3581" s="9">
        <v>43390.5158796296</v>
      </c>
    </row>
    <row r="3582" spans="14:20">
      <c r="N3582" s="7" t="str">
        <f>HYPERLINK("E:\附赠：Excel模板\精美EXCEL模板\网友极力推荐的Excel模板1000例\学生违纪情况统计表.xls","学生违纪情况统计表.xls")</f>
        <v>学生违纪情况统计表.xls</v>
      </c>
      <c r="Q3582">
        <v>0.02</v>
      </c>
      <c r="R3582" s="7" t="str">
        <f t="shared" si="70"/>
        <v>E:\附赠：Excel模板\精美EXCEL模板\网友极力推荐的Excel模板1000例</v>
      </c>
      <c r="S3582" s="9">
        <v>43600.3821875</v>
      </c>
      <c r="T3582" s="9">
        <v>43390.5158564815</v>
      </c>
    </row>
    <row r="3583" spans="14:20">
      <c r="N3583" s="7" t="str">
        <f>HYPERLINK("E:\附赠：Excel模板\精美EXCEL模板\网友极力推荐的Excel模板1000例\学费结算单.xls","学费结算单.xls")</f>
        <v>学费结算单.xls</v>
      </c>
      <c r="Q3583">
        <v>0.02</v>
      </c>
      <c r="R3583" s="7" t="str">
        <f t="shared" si="70"/>
        <v>E:\附赠：Excel模板\精美EXCEL模板\网友极力推荐的Excel模板1000例</v>
      </c>
      <c r="S3583" s="9">
        <v>43600.3821875</v>
      </c>
      <c r="T3583" s="9">
        <v>43390.5158796296</v>
      </c>
    </row>
    <row r="3584" spans="14:20">
      <c r="N3584" s="7" t="str">
        <f>HYPERLINK("E:\附赠：Excel模板\精美EXCEL模板\网友极力推荐的Excel模板1000例\学费结算单2.xls","学费结算单2.xls")</f>
        <v>学费结算单2.xls</v>
      </c>
      <c r="Q3584">
        <v>0.02</v>
      </c>
      <c r="R3584" s="7" t="str">
        <f t="shared" si="70"/>
        <v>E:\附赠：Excel模板\精美EXCEL模板\网友极力推荐的Excel模板1000例</v>
      </c>
      <c r="S3584" s="9">
        <v>43600.3821875</v>
      </c>
      <c r="T3584" s="9">
        <v>43390.5158796296</v>
      </c>
    </row>
    <row r="3585" spans="14:20">
      <c r="N3585" s="7" t="str">
        <f>HYPERLINK("E:\附赠：Excel模板\精美EXCEL模板\网友极力推荐的Excel模板1000例\学院会计学专业（本）学生成绩册.xls","学院会计学专业（本）学生成绩册.xls")</f>
        <v>学院会计学专业（本）学生成绩册.xls</v>
      </c>
      <c r="Q3585">
        <v>0.02</v>
      </c>
      <c r="R3585" s="7" t="str">
        <f t="shared" si="70"/>
        <v>E:\附赠：Excel模板\精美EXCEL模板\网友极力推荐的Excel模板1000例</v>
      </c>
      <c r="S3585" s="9">
        <v>43600.3821875</v>
      </c>
      <c r="T3585" s="9">
        <v>43390.5158101852</v>
      </c>
    </row>
    <row r="3586" spans="14:20">
      <c r="N3586" s="7" t="str">
        <f>HYPERLINK("E:\附赠：Excel模板\精美EXCEL模板\网友极力推荐的Excel模板1000例\学院党建迎考材料目录.xls","学院党建迎考材料目录.xls")</f>
        <v>学院党建迎考材料目录.xls</v>
      </c>
      <c r="Q3586">
        <v>0.03</v>
      </c>
      <c r="R3586" s="7" t="str">
        <f t="shared" ref="R3586:R3649" si="71">HYPERLINK("E:\附赠：Excel模板\精美EXCEL模板\网友极力推荐的Excel模板1000例","E:\附赠：Excel模板\精美EXCEL模板\网友极力推荐的Excel模板1000例")</f>
        <v>E:\附赠：Excel模板\精美EXCEL模板\网友极力推荐的Excel模板1000例</v>
      </c>
      <c r="S3586" s="9">
        <v>43600.3821875</v>
      </c>
      <c r="T3586" s="9">
        <v>43390.5158101852</v>
      </c>
    </row>
    <row r="3587" spans="14:20">
      <c r="N3587" s="7" t="str">
        <f>HYPERLINK("E:\附赠：Excel模板\精美EXCEL模板\网友极力推荐的Excel模板1000例\学院党校学员登记表.xls","学院党校学员登记表.xls")</f>
        <v>学院党校学员登记表.xls</v>
      </c>
      <c r="Q3587">
        <v>0.04</v>
      </c>
      <c r="R3587" s="7" t="str">
        <f t="shared" si="71"/>
        <v>E:\附赠：Excel模板\精美EXCEL模板\网友极力推荐的Excel模板1000例</v>
      </c>
      <c r="S3587" s="9">
        <v>43600.3821875</v>
      </c>
      <c r="T3587" s="9">
        <v>43390.5158101852</v>
      </c>
    </row>
    <row r="3588" spans="14:20">
      <c r="N3588" s="7" t="str">
        <f>HYPERLINK("E:\附赠：Excel模板\精美EXCEL模板\网友极力推荐的Excel模板1000例\学院具体承办的国内和国家学术研讨会情况统计表.xls","学院具体承办的国内和国家学术研讨会情况统计表.xls")</f>
        <v>学院具体承办的国内和国家学术研讨会情况统计表.xls</v>
      </c>
      <c r="Q3588">
        <v>0.02</v>
      </c>
      <c r="R3588" s="7" t="str">
        <f t="shared" si="71"/>
        <v>E:\附赠：Excel模板\精美EXCEL模板\网友极力推荐的Excel模板1000例</v>
      </c>
      <c r="S3588" s="9">
        <v>43600.3821875</v>
      </c>
      <c r="T3588" s="9">
        <v>43390.5158101852</v>
      </c>
    </row>
    <row r="3589" spans="14:20">
      <c r="N3589" s="7" t="str">
        <f>HYPERLINK("E:\附赠：Excel模板\精美EXCEL模板\网友极力推荐的Excel模板1000例\学院博士生导师统计表.xls","学院博士生导师统计表.xls")</f>
        <v>学院博士生导师统计表.xls</v>
      </c>
      <c r="Q3589">
        <v>0.02</v>
      </c>
      <c r="R3589" s="7" t="str">
        <f t="shared" si="71"/>
        <v>E:\附赠：Excel模板\精美EXCEL模板\网友极力推荐的Excel模板1000例</v>
      </c>
      <c r="S3589" s="9">
        <v>43600.3821875</v>
      </c>
      <c r="T3589" s="9">
        <v>43390.5158333333</v>
      </c>
    </row>
    <row r="3590" spans="14:20">
      <c r="N3590" s="7" t="str">
        <f>HYPERLINK("E:\附赠：Excel模板\精美EXCEL模板\网友极力推荐的Excel模板1000例\学院图书室（分馆）及资料--览表.xls","学院图书室（分馆）及资料--览表.xls")</f>
        <v>学院图书室（分馆）及资料--览表.xls</v>
      </c>
      <c r="Q3590">
        <v>0.02</v>
      </c>
      <c r="R3590" s="7" t="str">
        <f t="shared" si="71"/>
        <v>E:\附赠：Excel模板\精美EXCEL模板\网友极力推荐的Excel模板1000例</v>
      </c>
      <c r="S3590" s="9">
        <v>43600.3821875</v>
      </c>
      <c r="T3590" s="9">
        <v>43390.5158101852</v>
      </c>
    </row>
    <row r="3591" spans="14:20">
      <c r="N3591" s="7" t="str">
        <f>HYPERLINK("E:\附赠：Excel模板\精美EXCEL模板\网友极力推荐的Excel模板1000例\学院图书室（分馆）资料管理及使用情况.xls","学院图书室（分馆）资料管理及使用情况.xls")</f>
        <v>学院图书室（分馆）资料管理及使用情况.xls</v>
      </c>
      <c r="Q3591">
        <v>0.02</v>
      </c>
      <c r="R3591" s="7" t="str">
        <f t="shared" si="71"/>
        <v>E:\附赠：Excel模板\精美EXCEL模板\网友极力推荐的Excel模板1000例</v>
      </c>
      <c r="S3591" s="9">
        <v>43600.3821875</v>
      </c>
      <c r="T3591" s="9">
        <v>43390.5158101852</v>
      </c>
    </row>
    <row r="3592" spans="14:20">
      <c r="N3592" s="7" t="str">
        <f>HYPERLINK("E:\附赠：Excel模板\精美EXCEL模板\网友极力推荐的Excel模板1000例\学院在国内外各类进修人员情况一览表及分析.xls","学院在国内外各类进修人员情况一览表及分析.xls")</f>
        <v>学院在国内外各类进修人员情况一览表及分析.xls</v>
      </c>
      <c r="Q3592">
        <v>0.02</v>
      </c>
      <c r="R3592" s="7" t="str">
        <f t="shared" si="71"/>
        <v>E:\附赠：Excel模板\精美EXCEL模板\网友极力推荐的Excel模板1000例</v>
      </c>
      <c r="S3592" s="9">
        <v>43600.3821875</v>
      </c>
      <c r="T3592" s="9">
        <v>43390.515787037</v>
      </c>
    </row>
    <row r="3593" spans="14:20">
      <c r="N3593" s="7" t="str">
        <f>HYPERLINK("E:\附赠：Excel模板\精美EXCEL模板\网友极力推荐的Excel模板1000例\学院外聘专家情况统计表.xls","学院外聘专家情况统计表.xls")</f>
        <v>学院外聘专家情况统计表.xls</v>
      </c>
      <c r="Q3593">
        <v>0.02</v>
      </c>
      <c r="R3593" s="7" t="str">
        <f t="shared" si="71"/>
        <v>E:\附赠：Excel模板\精美EXCEL模板\网友极力推荐的Excel模板1000例</v>
      </c>
      <c r="S3593" s="9">
        <v>43600.3821875</v>
      </c>
      <c r="T3593" s="9">
        <v>43390.515787037</v>
      </c>
    </row>
    <row r="3594" spans="14:20">
      <c r="N3594" s="7" t="str">
        <f>HYPERLINK("E:\附赠：Excel模板\精美EXCEL模板\网友极力推荐的Excel模板1000例\学院学术梯队情况统计表.xls","学院学术梯队情况统计表.xls")</f>
        <v>学院学术梯队情况统计表.xls</v>
      </c>
      <c r="Q3594">
        <v>0.02</v>
      </c>
      <c r="R3594" s="7" t="str">
        <f t="shared" si="71"/>
        <v>E:\附赠：Excel模板\精美EXCEL模板\网友极力推荐的Excel模板1000例</v>
      </c>
      <c r="S3594" s="9">
        <v>43600.3821875</v>
      </c>
      <c r="T3594" s="9">
        <v>43390.515787037</v>
      </c>
    </row>
    <row r="3595" spans="14:20">
      <c r="N3595" s="7" t="str">
        <f>HYPERLINK("E:\附赠：Excel模板\精美EXCEL模板\网友极力推荐的Excel模板1000例\学院学科带头人统计表.xls","学院学科带头人统计表.xls")</f>
        <v>学院学科带头人统计表.xls</v>
      </c>
      <c r="Q3595">
        <v>0.02</v>
      </c>
      <c r="R3595" s="7" t="str">
        <f t="shared" si="71"/>
        <v>E:\附赠：Excel模板\精美EXCEL模板\网友极力推荐的Excel模板1000例</v>
      </c>
      <c r="S3595" s="9">
        <v>43600.3821875</v>
      </c>
      <c r="T3595" s="9">
        <v>43390.515787037</v>
      </c>
    </row>
    <row r="3596" spans="14:20">
      <c r="N3596" s="7" t="str">
        <f>HYPERLINK("E:\附赠：Excel模板\精美EXCEL模板\网友极力推荐的Excel模板1000例\学院导师学生名单.xls","学院导师学生名单.xls")</f>
        <v>学院导师学生名单.xls</v>
      </c>
      <c r="Q3596">
        <v>0.01</v>
      </c>
      <c r="R3596" s="7" t="str">
        <f t="shared" si="71"/>
        <v>E:\附赠：Excel模板\精美EXCEL模板\网友极力推荐的Excel模板1000例</v>
      </c>
      <c r="S3596" s="9">
        <v>43600.3821875</v>
      </c>
      <c r="T3596" s="9">
        <v>43390.5158101852</v>
      </c>
    </row>
    <row r="3597" spans="14:20">
      <c r="N3597" s="7" t="str">
        <f>HYPERLINK("E:\附赠：Excel模板\精美EXCEL模板\网友极力推荐的Excel模板1000例\学院干训班学员登记表.xls","学院干训班学员登记表.xls")</f>
        <v>学院干训班学员登记表.xls</v>
      </c>
      <c r="Q3597">
        <v>0.02</v>
      </c>
      <c r="R3597" s="7" t="str">
        <f t="shared" si="71"/>
        <v>E:\附赠：Excel模板\精美EXCEL模板\网友极力推荐的Excel模板1000例</v>
      </c>
      <c r="S3597" s="9">
        <v>43600.3821875</v>
      </c>
      <c r="T3597" s="9">
        <v>43390.5158101852</v>
      </c>
    </row>
    <row r="3598" spans="14:20">
      <c r="N3598" s="7" t="str">
        <f>HYPERLINK("E:\附赠：Excel模板\精美EXCEL模板\网友极力推荐的Excel模板1000例\学院年度财务决算.xls","学院年度财务决算.xls")</f>
        <v>学院年度财务决算.xls</v>
      </c>
      <c r="Q3598">
        <v>0.02</v>
      </c>
      <c r="R3598" s="7" t="str">
        <f t="shared" si="71"/>
        <v>E:\附赠：Excel模板\精美EXCEL模板\网友极力推荐的Excel模板1000例</v>
      </c>
      <c r="S3598" s="9">
        <v>43600.3821875</v>
      </c>
      <c r="T3598" s="9">
        <v>43390.5158101852</v>
      </c>
    </row>
    <row r="3599" spans="14:20">
      <c r="N3599" s="7" t="str">
        <f>HYPERLINK("E:\附赠：Excel模板\精美EXCEL模板\网友极力推荐的Excel模板1000例\学院开展思想道德与文化素质讲座情况一览表.xls","学院开展思想道德与文化素质讲座情况一览表.xls")</f>
        <v>学院开展思想道德与文化素质讲座情况一览表.xls</v>
      </c>
      <c r="Q3599">
        <v>0.02</v>
      </c>
      <c r="R3599" s="7" t="str">
        <f t="shared" si="71"/>
        <v>E:\附赠：Excel模板\精美EXCEL模板\网友极力推荐的Excel模板1000例</v>
      </c>
      <c r="S3599" s="9">
        <v>43600.3821875</v>
      </c>
      <c r="T3599" s="9">
        <v>43390.5158101852</v>
      </c>
    </row>
    <row r="3600" spans="14:20">
      <c r="N3600" s="7" t="str">
        <f>HYPERLINK("E:\附赠：Excel模板\精美EXCEL模板\网友极力推荐的Excel模板1000例\学院教师在职攻读硕士、博士情况统计表.xls","学院教师在职攻读硕士、博士情况统计表.xls")</f>
        <v>学院教师在职攻读硕士、博士情况统计表.xls</v>
      </c>
      <c r="Q3600">
        <v>0.02</v>
      </c>
      <c r="R3600" s="7" t="str">
        <f t="shared" si="71"/>
        <v>E:\附赠：Excel模板\精美EXCEL模板\网友极力推荐的Excel模板1000例</v>
      </c>
      <c r="S3600" s="9">
        <v>43600.3821875</v>
      </c>
      <c r="T3600" s="9">
        <v>43390.5158101852</v>
      </c>
    </row>
    <row r="3601" spans="14:20">
      <c r="N3601" s="7" t="str">
        <f>HYPERLINK("E:\附赠：Excel模板\精美EXCEL模板\网友极力推荐的Excel模板1000例\学院教师年龄结构情况统计表.xls","学院教师年龄结构情况统计表.xls")</f>
        <v>学院教师年龄结构情况统计表.xls</v>
      </c>
      <c r="Q3601">
        <v>0.02</v>
      </c>
      <c r="R3601" s="7" t="str">
        <f t="shared" si="71"/>
        <v>E:\附赠：Excel模板\精美EXCEL模板\网友极力推荐的Excel模板1000例</v>
      </c>
      <c r="S3601" s="9">
        <v>43600.3821875</v>
      </c>
      <c r="T3601" s="9">
        <v>43390.5158101852</v>
      </c>
    </row>
    <row r="3602" spans="14:20">
      <c r="N3602" s="7" t="str">
        <f>HYPERLINK("E:\附赠：Excel模板\精美EXCEL模板\网友极力推荐的Excel模板1000例\学院本科毕业设计（论文）成绩、获奖情况一览表.xls","学院本科毕业设计（论文）成绩、获奖情况一览表.xls")</f>
        <v>学院本科毕业设计（论文）成绩、获奖情况一览表.xls</v>
      </c>
      <c r="Q3602">
        <v>0.02</v>
      </c>
      <c r="R3602" s="7" t="str">
        <f t="shared" si="71"/>
        <v>E:\附赠：Excel模板\精美EXCEL模板\网友极力推荐的Excel模板1000例</v>
      </c>
      <c r="S3602" s="9">
        <v>43600.3821875</v>
      </c>
      <c r="T3602" s="9">
        <v>43390.5158333333</v>
      </c>
    </row>
    <row r="3603" spans="14:20">
      <c r="N3603" s="7" t="str">
        <f>HYPERLINK("E:\附赠：Excel模板\精美EXCEL模板\网友极力推荐的Excel模板1000例\学院本科毕业设计（论文）题目一览表.xls","学院本科毕业设计（论文）题目一览表.xls")</f>
        <v>学院本科毕业设计（论文）题目一览表.xls</v>
      </c>
      <c r="Q3603">
        <v>0.02</v>
      </c>
      <c r="R3603" s="7" t="str">
        <f t="shared" si="71"/>
        <v>E:\附赠：Excel模板\精美EXCEL模板\网友极力推荐的Excel模板1000例</v>
      </c>
      <c r="S3603" s="9">
        <v>43600.3821875</v>
      </c>
      <c r="T3603" s="9">
        <v>43390.5158333333</v>
      </c>
    </row>
    <row r="3604" spans="14:20">
      <c r="N3604" s="7" t="str">
        <f>HYPERLINK("E:\附赠：Excel模板\精美EXCEL模板\网友极力推荐的Excel模板1000例\学院课程报名申请表.xls","学院课程报名申请表.xls")</f>
        <v>学院课程报名申请表.xls</v>
      </c>
      <c r="Q3604">
        <v>0.02</v>
      </c>
      <c r="R3604" s="7" t="str">
        <f t="shared" si="71"/>
        <v>E:\附赠：Excel模板\精美EXCEL模板\网友极力推荐的Excel模板1000例</v>
      </c>
      <c r="S3604" s="9">
        <v>43600.3821875</v>
      </c>
      <c r="T3604" s="9">
        <v>43390.5158101852</v>
      </c>
    </row>
    <row r="3605" spans="14:20">
      <c r="N3605" s="7" t="str">
        <f>HYPERLINK("E:\附赠：Excel模板\精美EXCEL模板\网友极力推荐的Excel模板1000例\学院财务收支简要说明.xls","学院财务收支简要说明.xls")</f>
        <v>学院财务收支简要说明.xls</v>
      </c>
      <c r="Q3605">
        <v>0.02</v>
      </c>
      <c r="R3605" s="7" t="str">
        <f t="shared" si="71"/>
        <v>E:\附赠：Excel模板\精美EXCEL模板\网友极力推荐的Excel模板1000例</v>
      </c>
      <c r="S3605" s="9">
        <v>43600.3821875</v>
      </c>
      <c r="T3605" s="9">
        <v>43390.5158101852</v>
      </c>
    </row>
    <row r="3606" spans="14:20">
      <c r="N3606" s="7" t="str">
        <f>HYPERLINK("E:\附赠：Excel模板\精美EXCEL模板\网友极力推荐的Excel模板1000例\学院院务公开一览表.xls","学院院务公开一览表.xls")</f>
        <v>学院院务公开一览表.xls</v>
      </c>
      <c r="Q3606">
        <v>0.02</v>
      </c>
      <c r="R3606" s="7" t="str">
        <f t="shared" si="71"/>
        <v>E:\附赠：Excel模板\精美EXCEL模板\网友极力推荐的Excel模板1000例</v>
      </c>
      <c r="S3606" s="9">
        <v>43600.3821875</v>
      </c>
      <c r="T3606" s="9">
        <v>43390.515787037</v>
      </c>
    </row>
    <row r="3607" spans="14:20">
      <c r="N3607" s="7" t="str">
        <f>HYPERLINK("E:\附赠：Excel模板\精美EXCEL模板\网友极力推荐的Excel模板1000例\學校年學生輔導紀錄表.xls","學校年學生輔導紀錄表.xls")</f>
        <v>學校年學生輔導紀錄表.xls</v>
      </c>
      <c r="Q3607">
        <v>0.02</v>
      </c>
      <c r="R3607" s="7" t="str">
        <f t="shared" si="71"/>
        <v>E:\附赠：Excel模板\精美EXCEL模板\网友极力推荐的Excel模板1000例</v>
      </c>
      <c r="S3607" s="9">
        <v>43600.3821875</v>
      </c>
      <c r="T3607" s="9">
        <v>43390.5169444444</v>
      </c>
    </row>
    <row r="3608" spans="14:20">
      <c r="N3608" s="7" t="str">
        <f>HYPERLINK("E:\附赠：Excel模板\精美EXCEL模板\网友极力推荐的Excel模板1000例\學校財務收支.xls","學校財務收支.xls")</f>
        <v>學校財務收支.xls</v>
      </c>
      <c r="Q3608">
        <v>0.02</v>
      </c>
      <c r="R3608" s="7" t="str">
        <f t="shared" si="71"/>
        <v>E:\附赠：Excel模板\精美EXCEL模板\网友极力推荐的Excel模板1000例</v>
      </c>
      <c r="S3608" s="9">
        <v>43600.3821875</v>
      </c>
      <c r="T3608" s="9">
        <v>43390.5169444444</v>
      </c>
    </row>
    <row r="3609" spans="14:20">
      <c r="N3609" s="7" t="str">
        <f>HYPERLINK("E:\附赠：Excel模板\精美EXCEL模板\网友极力推荐的Excel模板1000例\學生家庭通訊錄.xls","學生家庭通訊錄.xls")</f>
        <v>學生家庭通訊錄.xls</v>
      </c>
      <c r="Q3609">
        <v>0.02</v>
      </c>
      <c r="R3609" s="7" t="str">
        <f t="shared" si="71"/>
        <v>E:\附赠：Excel模板\精美EXCEL模板\网友极力推荐的Excel模板1000例</v>
      </c>
      <c r="S3609" s="9">
        <v>43600.3821875</v>
      </c>
      <c r="T3609" s="9">
        <v>43390.5169444444</v>
      </c>
    </row>
    <row r="3610" spans="14:20">
      <c r="N3610" s="7" t="str">
        <f>HYPERLINK("E:\附赠：Excel模板\精美EXCEL模板\网友极力推荐的Excel模板1000例\學生會收支報告表.xls","學生會收支報告表.xls")</f>
        <v>學生會收支報告表.xls</v>
      </c>
      <c r="Q3610">
        <v>0.02</v>
      </c>
      <c r="R3610" s="7" t="str">
        <f t="shared" si="71"/>
        <v>E:\附赠：Excel模板\精美EXCEL模板\网友极力推荐的Excel模板1000例</v>
      </c>
      <c r="S3610" s="9">
        <v>43600.3821875</v>
      </c>
      <c r="T3610" s="9">
        <v>43390.5169444444</v>
      </c>
    </row>
    <row r="3611" spans="14:20">
      <c r="N3611" s="7" t="str">
        <f>HYPERLINK("E:\附赠：Excel模板\精美EXCEL模板\网友极力推荐的Excel模板1000例\學院失業家庭學生補助金申請表.xls","學院失業家庭學生補助金申請表.xls")</f>
        <v>學院失業家庭學生補助金申請表.xls</v>
      </c>
      <c r="Q3611">
        <v>0.02</v>
      </c>
      <c r="R3611" s="7" t="str">
        <f t="shared" si="71"/>
        <v>E:\附赠：Excel模板\精美EXCEL模板\网友极力推荐的Excel模板1000例</v>
      </c>
      <c r="S3611" s="9">
        <v>43600.3821875</v>
      </c>
      <c r="T3611" s="9">
        <v>43390.5169444444</v>
      </c>
    </row>
    <row r="3612" spans="14:20">
      <c r="N3612" s="7" t="str">
        <f>HYPERLINK("E:\附赠：Excel模板\精美EXCEL模板\网友极力推荐的Excel模板1000例\宏观月度库.xls","宏观月度库.xls")</f>
        <v>宏观月度库.xls</v>
      </c>
      <c r="Q3612">
        <v>0.05</v>
      </c>
      <c r="R3612" s="7" t="str">
        <f t="shared" si="71"/>
        <v>E:\附赠：Excel模板\精美EXCEL模板\网友极力推荐的Excel模板1000例</v>
      </c>
      <c r="S3612" s="9">
        <v>43600.3821875</v>
      </c>
      <c r="T3612" s="9">
        <v>43390.5165740741</v>
      </c>
    </row>
    <row r="3613" spans="14:20">
      <c r="N3613" s="7" t="str">
        <f>HYPERLINK("E:\附赠：Excel模板\精美EXCEL模板\网友极力推荐的Excel模板1000例\定期存款情况明细表.xls","定期存款情况明细表.xls")</f>
        <v>定期存款情况明细表.xls</v>
      </c>
      <c r="Q3613">
        <v>0.01</v>
      </c>
      <c r="R3613" s="7" t="str">
        <f t="shared" si="71"/>
        <v>E:\附赠：Excel模板\精美EXCEL模板\网友极力推荐的Excel模板1000例</v>
      </c>
      <c r="S3613" s="9">
        <v>43600.3821875</v>
      </c>
      <c r="T3613" s="9">
        <v>43390.516712963</v>
      </c>
    </row>
    <row r="3614" spans="14:20">
      <c r="N3614" s="7" t="str">
        <f>HYPERLINK("E:\附赠：Excel模板\精美EXCEL模板\网友极力推荐的Excel模板1000例\定点扶贫情况统计表.xls","定点扶贫情况统计表.xls")</f>
        <v>定点扶贫情况统计表.xls</v>
      </c>
      <c r="Q3614">
        <v>0.03</v>
      </c>
      <c r="R3614" s="7" t="str">
        <f t="shared" si="71"/>
        <v>E:\附赠：Excel模板\精美EXCEL模板\网友极力推荐的Excel模板1000例</v>
      </c>
      <c r="S3614" s="9">
        <v>43600.3821875</v>
      </c>
      <c r="T3614" s="9">
        <v>43390.516712963</v>
      </c>
    </row>
    <row r="3615" spans="14:20">
      <c r="N3615" s="7" t="str">
        <f>HYPERLINK("E:\附赠：Excel模板\精美EXCEL模板\网友极力推荐的Excel模板1000例\实收资本明细表.xls","实收资本明细表.xls")</f>
        <v>实收资本明细表.xls</v>
      </c>
      <c r="Q3615">
        <v>0.02</v>
      </c>
      <c r="R3615" s="7" t="str">
        <f t="shared" si="71"/>
        <v>E:\附赠：Excel模板\精美EXCEL模板\网友极力推荐的Excel模板1000例</v>
      </c>
      <c r="S3615" s="9">
        <v>43600.3821875</v>
      </c>
      <c r="T3615" s="9">
        <v>43390.5161342593</v>
      </c>
    </row>
    <row r="3616" spans="14:20">
      <c r="N3616" s="7" t="str">
        <f>HYPERLINK("E:\附赠：Excel模板\精美EXCEL模板\网友极力推荐的Excel模板1000例\实验室人员结构情况统计表.xls","实验室人员结构情况统计表.xls")</f>
        <v>实验室人员结构情况统计表.xls</v>
      </c>
      <c r="Q3616">
        <v>0.02</v>
      </c>
      <c r="R3616" s="7" t="str">
        <f t="shared" si="71"/>
        <v>E:\附赠：Excel模板\精美EXCEL模板\网友极力推荐的Excel模板1000例</v>
      </c>
      <c r="S3616" s="9">
        <v>43600.3821875</v>
      </c>
      <c r="T3616" s="9">
        <v>43390.5161342593</v>
      </c>
    </row>
    <row r="3617" spans="14:20">
      <c r="N3617" s="7" t="str">
        <f>HYPERLINK("E:\附赠：Excel模板\精美EXCEL模板\网友极力推荐的Excel模板1000例\实验室状况一览表.xls","实验室状况一览表.xls")</f>
        <v>实验室状况一览表.xls</v>
      </c>
      <c r="Q3617">
        <v>0.02</v>
      </c>
      <c r="R3617" s="7" t="str">
        <f t="shared" si="71"/>
        <v>E:\附赠：Excel模板\精美EXCEL模板\网友极力推荐的Excel模板1000例</v>
      </c>
      <c r="S3617" s="9">
        <v>43600.3821875</v>
      </c>
      <c r="T3617" s="9">
        <v>43390.5161342593</v>
      </c>
    </row>
    <row r="3618" spans="14:20">
      <c r="N3618" s="7" t="str">
        <f>HYPERLINK("E:\附赠：Excel模板\精美EXCEL模板\网友极力推荐的Excel模板1000例\宠物年历.xls","宠物年历.xls")</f>
        <v>宠物年历.xls</v>
      </c>
      <c r="Q3618">
        <v>0.53</v>
      </c>
      <c r="R3618" s="7" t="str">
        <f t="shared" si="71"/>
        <v>E:\附赠：Excel模板\精美EXCEL模板\网友极力推荐的Excel模板1000例</v>
      </c>
      <c r="S3618" s="9">
        <v>43600.3821875</v>
      </c>
      <c r="T3618" s="9">
        <v>43390.5168055556</v>
      </c>
    </row>
    <row r="3619" spans="14:20">
      <c r="N3619" s="7" t="str">
        <f>HYPERLINK("E:\附赠：Excel模板\精美EXCEL模板\网友极力推荐的Excel模板1000例\审计署审计干部培训中心××年度培训班教学.xls","审计署审计干部培训中心××年度培训班教学.xls")</f>
        <v>审计署审计干部培训中心××年度培训班教学.xls</v>
      </c>
      <c r="Q3619">
        <v>0.02</v>
      </c>
      <c r="R3619" s="7" t="str">
        <f t="shared" si="71"/>
        <v>E:\附赠：Excel模板\精美EXCEL模板\网友极力推荐的Excel模板1000例</v>
      </c>
      <c r="S3619" s="9">
        <v>43600.3821875</v>
      </c>
      <c r="T3619" s="9">
        <v>43390.5161574074</v>
      </c>
    </row>
    <row r="3620" spans="14:20">
      <c r="N3620" s="7" t="str">
        <f>HYPERLINK("E:\附赠：Excel模板\精美EXCEL模板\网友极力推荐的Excel模板1000例\客户信用额度申表.xls","客户信用额度申表.xls")</f>
        <v>客户信用额度申表.xls</v>
      </c>
      <c r="Q3620">
        <v>0.02</v>
      </c>
      <c r="R3620" s="7" t="str">
        <f t="shared" si="71"/>
        <v>E:\附赠：Excel模板\精美EXCEL模板\网友极力推荐的Excel模板1000例</v>
      </c>
      <c r="S3620" s="9">
        <v>43600.3821875</v>
      </c>
      <c r="T3620" s="9">
        <v>43390.516412037</v>
      </c>
    </row>
    <row r="3621" spans="14:20">
      <c r="N3621" s="7" t="str">
        <f>HYPERLINK("E:\附赠：Excel模板\精美EXCEL模板\网友极力推荐的Excel模板1000例\客户满意程度调查表.xls","客户满意程度调查表.xls")</f>
        <v>客户满意程度调查表.xls</v>
      </c>
      <c r="Q3621">
        <v>0.02</v>
      </c>
      <c r="R3621" s="7" t="str">
        <f t="shared" si="71"/>
        <v>E:\附赠：Excel模板\精美EXCEL模板\网友极力推荐的Excel模板1000例</v>
      </c>
      <c r="S3621" s="9">
        <v>43600.3821875</v>
      </c>
      <c r="T3621" s="9">
        <v>43390.516412037</v>
      </c>
    </row>
    <row r="3622" spans="14:20">
      <c r="N3622" s="7" t="str">
        <f>HYPERLINK("E:\附赠：Excel模板\精美EXCEL模板\网友极力推荐的Excel模板1000例\客房经营情况明细表.xls","客房经营情况明细表.xls")</f>
        <v>客房经营情况明细表.xls</v>
      </c>
      <c r="Q3622">
        <v>0.02</v>
      </c>
      <c r="R3622" s="7" t="str">
        <f t="shared" si="71"/>
        <v>E:\附赠：Excel模板\精美EXCEL模板\网友极力推荐的Excel模板1000例</v>
      </c>
      <c r="S3622" s="9">
        <v>43600.3821875</v>
      </c>
      <c r="T3622" s="9">
        <v>43390.516412037</v>
      </c>
    </row>
    <row r="3623" spans="14:20">
      <c r="N3623" s="7" t="str">
        <f>HYPERLINK("E:\附赠：Excel模板\精美EXCEL模板\网友极力推荐的Excel模板1000例\客运站（班次时刻表）.xls","客运站（班次时刻表）.xls")</f>
        <v>客运站（班次时刻表）.xls</v>
      </c>
      <c r="Q3623">
        <v>0.02</v>
      </c>
      <c r="R3623" s="7" t="str">
        <f t="shared" si="71"/>
        <v>E:\附赠：Excel模板\精美EXCEL模板\网友极力推荐的Excel模板1000例</v>
      </c>
      <c r="S3623" s="9">
        <v>43600.3821875</v>
      </c>
      <c r="T3623" s="9">
        <v>43390.516412037</v>
      </c>
    </row>
    <row r="3624" spans="14:20">
      <c r="N3624" s="7" t="str">
        <f>HYPERLINK("E:\附赠：Excel模板\精美EXCEL模板\网友极力推荐的Excel模板1000例\家庭居室装饰工程人工费参考价目表.xls","家庭居室装饰工程人工费参考价目表.xls")</f>
        <v>家庭居室装饰工程人工费参考价目表.xls</v>
      </c>
      <c r="Q3624">
        <v>0.03</v>
      </c>
      <c r="R3624" s="7" t="str">
        <f t="shared" si="71"/>
        <v>E:\附赠：Excel模板\精美EXCEL模板\网友极力推荐的Excel模板1000例</v>
      </c>
      <c r="S3624" s="9">
        <v>43600.3821875</v>
      </c>
      <c r="T3624" s="9">
        <v>43390.5165046296</v>
      </c>
    </row>
    <row r="3625" spans="14:20">
      <c r="N3625" s="7" t="str">
        <f>HYPERLINK("E:\附赠：Excel模板\精美EXCEL模板\网友极力推荐的Excel模板1000例\家庭居室装饰装修工程施工合同协议条款.xls","家庭居室装饰装修工程施工合同协议条款.xls")</f>
        <v>家庭居室装饰装修工程施工合同协议条款.xls</v>
      </c>
      <c r="Q3625">
        <v>0.03</v>
      </c>
      <c r="R3625" s="7" t="str">
        <f t="shared" si="71"/>
        <v>E:\附赠：Excel模板\精美EXCEL模板\网友极力推荐的Excel模板1000例</v>
      </c>
      <c r="S3625" s="9">
        <v>43600.3821875</v>
      </c>
      <c r="T3625" s="9">
        <v>43390.5165046296</v>
      </c>
    </row>
    <row r="3626" spans="14:20">
      <c r="N3626" s="7" t="str">
        <f>HYPERLINK("E:\附赠：Excel模板\精美EXCEL模板\网友极力推荐的Excel模板1000例\家庭暴力防治受理通报及保护令统计表.xls","家庭暴力防治受理通报及保护令统计表.xls")</f>
        <v>家庭暴力防治受理通报及保护令统计表.xls</v>
      </c>
      <c r="Q3626">
        <v>0.02</v>
      </c>
      <c r="R3626" s="7" t="str">
        <f t="shared" si="71"/>
        <v>E:\附赠：Excel模板\精美EXCEL模板\网友极力推荐的Excel模板1000例</v>
      </c>
      <c r="S3626" s="9">
        <v>43600.3821875</v>
      </c>
      <c r="T3626" s="9">
        <v>43390.5165046296</v>
      </c>
    </row>
    <row r="3627" spans="14:20">
      <c r="N3627" s="7" t="str">
        <f>HYPERLINK("E:\附赠：Excel模板\精美EXCEL模板\网友极力推荐的Excel模板1000例\家庭经济困难大学新生公示名单.xls","家庭经济困难大学新生公示名单.xls")</f>
        <v>家庭经济困难大学新生公示名单.xls</v>
      </c>
      <c r="Q3627">
        <v>0.04</v>
      </c>
      <c r="R3627" s="7" t="str">
        <f t="shared" si="71"/>
        <v>E:\附赠：Excel模板\精美EXCEL模板\网友极力推荐的Excel模板1000例</v>
      </c>
      <c r="S3627" s="9">
        <v>43600.3821875</v>
      </c>
      <c r="T3627" s="9">
        <v>43390.5165046296</v>
      </c>
    </row>
    <row r="3628" spans="14:20">
      <c r="N3628" s="7" t="str">
        <f>HYPERLINK("E:\附赠：Excel模板\精美EXCEL模板\网友极力推荐的Excel模板1000例\家庭经济困难学生免费申请汇总表.xls","家庭经济困难学生免费申请汇总表.xls")</f>
        <v>家庭经济困难学生免费申请汇总表.xls</v>
      </c>
      <c r="Q3628">
        <v>0.02</v>
      </c>
      <c r="R3628" s="7" t="str">
        <f t="shared" si="71"/>
        <v>E:\附赠：Excel模板\精美EXCEL模板\网友极力推荐的Excel模板1000例</v>
      </c>
      <c r="S3628" s="9">
        <v>43600.3821875</v>
      </c>
      <c r="T3628" s="9">
        <v>43390.5165046296</v>
      </c>
    </row>
    <row r="3629" spans="14:20">
      <c r="N3629" s="7" t="str">
        <f>HYPERLINK("E:\附赠：Excel模板\精美EXCEL模板\网友极力推荐的Excel模板1000例\家庭经济困难学生资助申请表.xls","家庭经济困难学生资助申请表.xls")</f>
        <v>家庭经济困难学生资助申请表.xls</v>
      </c>
      <c r="Q3629">
        <v>0.02</v>
      </c>
      <c r="R3629" s="7" t="str">
        <f t="shared" si="71"/>
        <v>E:\附赠：Excel模板\精美EXCEL模板\网友极力推荐的Excel模板1000例</v>
      </c>
      <c r="S3629" s="9">
        <v>43600.3821875</v>
      </c>
      <c r="T3629" s="9">
        <v>43390.5165046296</v>
      </c>
    </row>
    <row r="3630" spans="14:20">
      <c r="N3630" s="7" t="str">
        <f>HYPERLINK("E:\附赠：Excel模板\精美EXCEL模板\网友极力推荐的Excel模板1000例\家庭装修环境污染情况调查检测.xls","家庭装修环境污染情况调查检测.xls")</f>
        <v>家庭装修环境污染情况调查检测.xls</v>
      </c>
      <c r="Q3630">
        <v>0.07</v>
      </c>
      <c r="R3630" s="7" t="str">
        <f t="shared" si="71"/>
        <v>E:\附赠：Excel模板\精美EXCEL模板\网友极力推荐的Excel模板1000例</v>
      </c>
      <c r="S3630" s="9">
        <v>43600.3821875</v>
      </c>
      <c r="T3630" s="9">
        <v>43390.5165046296</v>
      </c>
    </row>
    <row r="3631" spans="14:20">
      <c r="N3631" s="7" t="str">
        <f>HYPERLINK("E:\附赠：Excel模板\精美EXCEL模板\网友极力推荐的Excel模板1000例\家庭装璜情况明细报告表.xls","家庭装璜情况明细报告表.xls")</f>
        <v>家庭装璜情况明细报告表.xls</v>
      </c>
      <c r="Q3631">
        <v>0.04</v>
      </c>
      <c r="R3631" s="7" t="str">
        <f t="shared" si="71"/>
        <v>E:\附赠：Excel模板\精美EXCEL模板\网友极力推荐的Excel模板1000例</v>
      </c>
      <c r="S3631" s="9">
        <v>43600.3821875</v>
      </c>
      <c r="T3631" s="9">
        <v>43390.5165046296</v>
      </c>
    </row>
    <row r="3632" spans="14:20">
      <c r="N3632" s="7" t="str">
        <f>HYPERLINK("E:\附赠：Excel模板\精美EXCEL模板\网友极力推荐的Excel模板1000例\寝室分配情况表.xls","寝室分配情况表.xls")</f>
        <v>寝室分配情况表.xls</v>
      </c>
      <c r="Q3632">
        <v>0.02</v>
      </c>
      <c r="R3632" s="7" t="str">
        <f t="shared" si="71"/>
        <v>E:\附赠：Excel模板\精美EXCEL模板\网友极力推荐的Excel模板1000例</v>
      </c>
      <c r="S3632" s="9">
        <v>43600.3821875</v>
      </c>
      <c r="T3632" s="9">
        <v>43390.5162268519</v>
      </c>
    </row>
    <row r="3633" spans="14:20">
      <c r="N3633" s="7" t="str">
        <f>HYPERLINK("E:\附赠：Excel模板\精美EXCEL模板\网友极力推荐的Excel模板1000例\对外承包工程项目及银行贷款付息一览表.xls","对外承包工程项目及银行贷款付息一览表.xls")</f>
        <v>对外承包工程项目及银行贷款付息一览表.xls</v>
      </c>
      <c r="Q3633">
        <v>0.02</v>
      </c>
      <c r="R3633" s="7" t="str">
        <f t="shared" si="71"/>
        <v>E:\附赠：Excel模板\精美EXCEL模板\网友极力推荐的Excel模板1000例</v>
      </c>
      <c r="S3633" s="9">
        <v>43600.3821875</v>
      </c>
      <c r="T3633" s="9">
        <v>43390.516712963</v>
      </c>
    </row>
    <row r="3634" spans="14:20">
      <c r="N3634" s="7" t="str">
        <f>HYPERLINK("E:\附赠：Excel模板\精美EXCEL模板\网友极力推荐的Excel模板1000例\对外承包工程项目贷款贴息初审汇总表.xls","对外承包工程项目贷款贴息初审汇总表.xls")</f>
        <v>对外承包工程项目贷款贴息初审汇总表.xls</v>
      </c>
      <c r="Q3634">
        <v>0.02</v>
      </c>
      <c r="R3634" s="7" t="str">
        <f t="shared" si="71"/>
        <v>E:\附赠：Excel模板\精美EXCEL模板\网友极力推荐的Excel模板1000例</v>
      </c>
      <c r="S3634" s="9">
        <v>43600.3821875</v>
      </c>
      <c r="T3634" s="9">
        <v>43390.516712963</v>
      </c>
    </row>
    <row r="3635" spans="14:20">
      <c r="N3635" s="7" t="str">
        <f>HYPERLINK("E:\附赠：Excel模板\精美EXCEL模板\网友极力推荐的Excel模板1000例\对外投资调查表.xls","对外投资调查表.xls")</f>
        <v>对外投资调查表.xls</v>
      </c>
      <c r="Q3635">
        <v>0.02</v>
      </c>
      <c r="R3635" s="7" t="str">
        <f t="shared" si="71"/>
        <v>E:\附赠：Excel模板\精美EXCEL模板\网友极力推荐的Excel模板1000例</v>
      </c>
      <c r="S3635" s="9">
        <v>43600.3821875</v>
      </c>
      <c r="T3635" s="9">
        <v>43390.516712963</v>
      </c>
    </row>
    <row r="3636" spans="14:20">
      <c r="N3636" s="7" t="str">
        <f>HYPERLINK("E:\附赠：Excel模板\精美EXCEL模板\网友极力推荐的Excel模板1000例\对外经济合作企业补充指标表.xls","对外经济合作企业补充指标表.xls")</f>
        <v>对外经济合作企业补充指标表.xls</v>
      </c>
      <c r="Q3636">
        <v>0.02</v>
      </c>
      <c r="R3636" s="7" t="str">
        <f t="shared" si="71"/>
        <v>E:\附赠：Excel模板\精美EXCEL模板\网友极力推荐的Excel模板1000例</v>
      </c>
      <c r="S3636" s="9">
        <v>43600.3821875</v>
      </c>
      <c r="T3636" s="9">
        <v>43390.516712963</v>
      </c>
    </row>
    <row r="3637" spans="14:20">
      <c r="N3637" s="7" t="str">
        <f>HYPERLINK("E:\附赠：Excel模板\精美EXCEL模板\网友极力推荐的Excel模板1000例\小区IP地址分配表.xls","小区IP地址分配表.xls")</f>
        <v>小区IP地址分配表.xls</v>
      </c>
      <c r="Q3637">
        <v>0.02</v>
      </c>
      <c r="R3637" s="7" t="str">
        <f t="shared" si="71"/>
        <v>E:\附赠：Excel模板\精美EXCEL模板\网友极力推荐的Excel模板1000例</v>
      </c>
      <c r="S3637" s="9">
        <v>43600.3821875</v>
      </c>
      <c r="T3637" s="9">
        <v>43390.5159259259</v>
      </c>
    </row>
    <row r="3638" spans="14:20">
      <c r="N3638" s="7" t="str">
        <f>HYPERLINK("E:\附赠：Excel模板\精美EXCEL模板\网友极力推荐的Excel模板1000例\小型水利体制改革完成情况统计表.xls","小型水利体制改革完成情况统计表.xls")</f>
        <v>小型水利体制改革完成情况统计表.xls</v>
      </c>
      <c r="Q3638">
        <v>0.02</v>
      </c>
      <c r="R3638" s="7" t="str">
        <f t="shared" si="71"/>
        <v>E:\附赠：Excel模板\精美EXCEL模板\网友极力推荐的Excel模板1000例</v>
      </c>
      <c r="S3638" s="9">
        <v>43600.3821875</v>
      </c>
      <c r="T3638" s="9">
        <v>43390.5159259259</v>
      </c>
    </row>
    <row r="3639" spans="14:20">
      <c r="N3639" s="7" t="str">
        <f>HYPERLINK("E:\附赠：Excel模板\精美EXCEL模板\网友极力推荐的Excel模板1000例\局年度录用计划表.xls","局年度录用计划表.xls")</f>
        <v>局年度录用计划表.xls</v>
      </c>
      <c r="Q3639">
        <v>0.02</v>
      </c>
      <c r="R3639" s="7" t="str">
        <f t="shared" si="71"/>
        <v>E:\附赠：Excel模板\精美EXCEL模板\网友极力推荐的Excel模板1000例</v>
      </c>
      <c r="S3639" s="9">
        <v>43600.3821875</v>
      </c>
      <c r="T3639" s="9">
        <v>43390.516412037</v>
      </c>
    </row>
    <row r="3640" spans="14:20">
      <c r="N3640" s="7" t="str">
        <f>HYPERLINK("E:\附赠：Excel模板\精美EXCEL模板\网友极力推荐的Excel模板1000例\履歷表.xls","履歷表.xls")</f>
        <v>履歷表.xls</v>
      </c>
      <c r="Q3640">
        <v>0.02</v>
      </c>
      <c r="R3640" s="7" t="str">
        <f t="shared" si="71"/>
        <v>E:\附赠：Excel模板\精美EXCEL模板\网友极力推荐的Excel模板1000例</v>
      </c>
      <c r="S3640" s="9">
        <v>43600.3821875</v>
      </c>
      <c r="T3640" s="9">
        <v>43390.5163425926</v>
      </c>
    </row>
    <row r="3641" spans="14:20">
      <c r="N3641" s="7" t="str">
        <f>HYPERLINK("E:\附赠：Excel模板\精美EXCEL模板\网友极力推荐的Excel模板1000例\工业企业技改项目调查表（财务会计情况）.xls","工业企业技改项目调查表（财务会计情况）.xls")</f>
        <v>工业企业技改项目调查表（财务会计情况）.xls</v>
      </c>
      <c r="Q3641">
        <v>0.02</v>
      </c>
      <c r="R3641" s="7" t="str">
        <f t="shared" si="71"/>
        <v>E:\附赠：Excel模板\精美EXCEL模板\网友极力推荐的Excel模板1000例</v>
      </c>
      <c r="S3641" s="9">
        <v>43600.3821875</v>
      </c>
      <c r="T3641" s="9">
        <v>43390.5166435185</v>
      </c>
    </row>
    <row r="3642" spans="14:20">
      <c r="N3642" s="7" t="str">
        <f>HYPERLINK("E:\附赠：Excel模板\精美EXCEL模板\网友极力推荐的Excel模板1000例\工业企业技术改造财政奖励资助资金申请表.xls","工业企业技术改造财政奖励资助资金申请表.xls")</f>
        <v>工业企业技术改造财政奖励资助资金申请表.xls</v>
      </c>
      <c r="Q3642">
        <v>0.02</v>
      </c>
      <c r="R3642" s="7" t="str">
        <f t="shared" si="71"/>
        <v>E:\附赠：Excel模板\精美EXCEL模板\网友极力推荐的Excel模板1000例</v>
      </c>
      <c r="S3642" s="9">
        <v>43600.3821875</v>
      </c>
      <c r="T3642" s="9">
        <v>43390.5166435185</v>
      </c>
    </row>
    <row r="3643" spans="14:20">
      <c r="N3643" s="7" t="str">
        <f>HYPERLINK("E:\附赠：Excel模板\精美EXCEL模板\网友极力推荐的Excel模板1000例\工业企业技术改造财政资助资金申请表.xls","工业企业技术改造财政资助资金申请表.xls")</f>
        <v>工业企业技术改造财政资助资金申请表.xls</v>
      </c>
      <c r="Q3643">
        <v>0.02</v>
      </c>
      <c r="R3643" s="7" t="str">
        <f t="shared" si="71"/>
        <v>E:\附赠：Excel模板\精美EXCEL模板\网友极力推荐的Excel模板1000例</v>
      </c>
      <c r="S3643" s="9">
        <v>43600.3821875</v>
      </c>
      <c r="T3643" s="9">
        <v>43390.5166898148</v>
      </c>
    </row>
    <row r="3644" spans="14:20">
      <c r="N3644" s="7" t="str">
        <f>HYPERLINK("E:\附赠：Excel模板\精美EXCEL模板\网友极力推荐的Excel模板1000例\工作人员基本情况登记表.xls","工作人员基本情况登记表.xls")</f>
        <v>工作人员基本情况登记表.xls</v>
      </c>
      <c r="Q3644">
        <v>0.02</v>
      </c>
      <c r="R3644" s="7" t="str">
        <f t="shared" si="71"/>
        <v>E:\附赠：Excel模板\精美EXCEL模板\网友极力推荐的Excel模板1000例</v>
      </c>
      <c r="S3644" s="9">
        <v>43600.3821875</v>
      </c>
      <c r="T3644" s="9">
        <v>43390.5166435185</v>
      </c>
    </row>
    <row r="3645" spans="14:20">
      <c r="N3645" s="7" t="str">
        <f>HYPERLINK("E:\附赠：Excel模板\精美EXCEL模板\网友极力推荐的Excel模板1000例\工作計劃財務報表(樣本).xls","工作計劃財務報表(樣本).xls")</f>
        <v>工作計劃財務報表(樣本).xls</v>
      </c>
      <c r="Q3645">
        <v>0.03</v>
      </c>
      <c r="R3645" s="7" t="str">
        <f t="shared" si="71"/>
        <v>E:\附赠：Excel模板\精美EXCEL模板\网友极力推荐的Excel模板1000例</v>
      </c>
      <c r="S3645" s="9">
        <v>43600.3821875</v>
      </c>
      <c r="T3645" s="9">
        <v>43390.5166435185</v>
      </c>
    </row>
    <row r="3646" spans="14:20">
      <c r="N3646" s="7" t="str">
        <f>HYPERLINK("E:\附赠：Excel模板\精美EXCEL模板\网友极力推荐的Excel模板1000例\工商司会计报表.xls","工商司会计报表.xls")</f>
        <v>工商司会计报表.xls</v>
      </c>
      <c r="Q3646">
        <v>0.08</v>
      </c>
      <c r="R3646" s="7" t="str">
        <f t="shared" si="71"/>
        <v>E:\附赠：Excel模板\精美EXCEL模板\网友极力推荐的Excel模板1000例</v>
      </c>
      <c r="S3646" s="9">
        <v>43600.3821875</v>
      </c>
      <c r="T3646" s="9">
        <v>43390.5166435185</v>
      </c>
    </row>
    <row r="3647" spans="14:20">
      <c r="N3647" s="7" t="str">
        <f>HYPERLINK("E:\附赠：Excel模板\精美EXCEL模板\网友极力推荐的Excel模板1000例\工商管理双学位专业毕业论文选题.xls","工商管理双学位专业毕业论文选题.xls")</f>
        <v>工商管理双学位专业毕业论文选题.xls</v>
      </c>
      <c r="Q3647">
        <v>0.03</v>
      </c>
      <c r="R3647" s="7" t="str">
        <f t="shared" si="71"/>
        <v>E:\附赠：Excel模板\精美EXCEL模板\网友极力推荐的Excel模板1000例</v>
      </c>
      <c r="S3647" s="9">
        <v>43600.3821875</v>
      </c>
      <c r="T3647" s="9">
        <v>43390.5166435185</v>
      </c>
    </row>
    <row r="3648" spans="14:20">
      <c r="N3648" s="7" t="str">
        <f>HYPERLINK("E:\附赠：Excel模板\精美EXCEL模板\网友极力推荐的Excel模板1000例\工商管理硕士（MBA）课程表.xls","工商管理硕士（MBA）课程表.xls")</f>
        <v>工商管理硕士（MBA）课程表.xls</v>
      </c>
      <c r="Q3648">
        <v>0.06</v>
      </c>
      <c r="R3648" s="7" t="str">
        <f t="shared" si="71"/>
        <v>E:\附赠：Excel模板\精美EXCEL模板\网友极力推荐的Excel模板1000例</v>
      </c>
      <c r="S3648" s="9">
        <v>43600.3821875</v>
      </c>
      <c r="T3648" s="9">
        <v>43390.5166435185</v>
      </c>
    </row>
    <row r="3649" spans="14:20">
      <c r="N3649" s="7" t="str">
        <f>HYPERLINK("E:\附赠：Excel模板\精美EXCEL模板\网友极力推荐的Excel模板1000例\工程立项情况表.xls","工程立项情况表.xls")</f>
        <v>工程立项情况表.xls</v>
      </c>
      <c r="Q3649">
        <v>0.02</v>
      </c>
      <c r="R3649" s="7" t="str">
        <f t="shared" si="71"/>
        <v>E:\附赠：Excel模板\精美EXCEL模板\网友极力推荐的Excel模板1000例</v>
      </c>
      <c r="S3649" s="9">
        <v>43600.3821875</v>
      </c>
      <c r="T3649" s="9">
        <v>43390.5166435185</v>
      </c>
    </row>
    <row r="3650" spans="14:20">
      <c r="N3650" s="7" t="str">
        <f>HYPERLINK("E:\附赠：Excel模板\精美EXCEL模板\网友极力推荐的Excel模板1000例\工艺卡.xls","工艺卡.xls")</f>
        <v>工艺卡.xls</v>
      </c>
      <c r="Q3650">
        <v>0.08</v>
      </c>
      <c r="R3650" s="7" t="str">
        <f t="shared" ref="R3650:R3713" si="72">HYPERLINK("E:\附赠：Excel模板\精美EXCEL模板\网友极力推荐的Excel模板1000例","E:\附赠：Excel模板\精美EXCEL模板\网友极力推荐的Excel模板1000例")</f>
        <v>E:\附赠：Excel模板\精美EXCEL模板\网友极力推荐的Excel模板1000例</v>
      </c>
      <c r="S3650" s="9">
        <v>43600.3821875</v>
      </c>
      <c r="T3650" s="9">
        <v>43390.5166435185</v>
      </c>
    </row>
    <row r="3651" spans="14:20">
      <c r="N3651" s="7" t="str">
        <f>HYPERLINK("E:\附赠：Excel模板\精美EXCEL模板\网友极力推荐的Excel模板1000例\工资.xls","工资.xls")</f>
        <v>工资.xls</v>
      </c>
      <c r="Q3651">
        <v>0.02</v>
      </c>
      <c r="R3651" s="7" t="str">
        <f t="shared" si="72"/>
        <v>E:\附赠：Excel模板\精美EXCEL模板\网友极力推荐的Excel模板1000例</v>
      </c>
      <c r="S3651" s="9">
        <v>43600.3821875</v>
      </c>
      <c r="T3651" s="9">
        <v>43390.5166435185</v>
      </c>
    </row>
    <row r="3652" spans="14:20">
      <c r="N3652" s="7" t="str">
        <f>HYPERLINK("E:\附赠：Excel模板\精美EXCEL模板\网友极力推荐的Excel模板1000例\工资晋档.xls","工资晋档.xls")</f>
        <v>工资晋档.xls</v>
      </c>
      <c r="Q3652">
        <v>0.09</v>
      </c>
      <c r="R3652" s="7" t="str">
        <f t="shared" si="72"/>
        <v>E:\附赠：Excel模板\精美EXCEL模板\网友极力推荐的Excel模板1000例</v>
      </c>
      <c r="S3652" s="9">
        <v>43600.3821875</v>
      </c>
      <c r="T3652" s="9">
        <v>43390.5166435185</v>
      </c>
    </row>
    <row r="3653" spans="14:20">
      <c r="N3653" s="7" t="str">
        <f>HYPERLINK("E:\附赠：Excel模板\精美EXCEL模板\网友极力推荐的Excel模板1000例\差旅费预支申请.xls","差旅费预支申请.xls")</f>
        <v>差旅费预支申请.xls</v>
      </c>
      <c r="Q3653">
        <v>0.02</v>
      </c>
      <c r="R3653" s="7" t="str">
        <f t="shared" si="72"/>
        <v>E:\附赠：Excel模板\精美EXCEL模板\网友极力推荐的Excel模板1000例</v>
      </c>
      <c r="S3653" s="9">
        <v>43600.3821875</v>
      </c>
      <c r="T3653" s="9">
        <v>43390.5168287037</v>
      </c>
    </row>
    <row r="3654" spans="14:20">
      <c r="N3654" s="7" t="str">
        <f>HYPERLINK("E:\附赠：Excel模板\精美EXCEL模板\网友极力推荐的Excel模板1000例\已出版本科教材及教学参考书一览表.xls","已出版本科教材及教学参考书一览表.xls")</f>
        <v>已出版本科教材及教学参考书一览表.xls</v>
      </c>
      <c r="Q3654">
        <v>0.02</v>
      </c>
      <c r="R3654" s="7" t="str">
        <f t="shared" si="72"/>
        <v>E:\附赠：Excel模板\精美EXCEL模板\网友极力推荐的Excel模板1000例</v>
      </c>
      <c r="S3654" s="9">
        <v>43600.3821875</v>
      </c>
      <c r="T3654" s="9">
        <v>43390.5157638889</v>
      </c>
    </row>
    <row r="3655" spans="14:20">
      <c r="N3655" s="7" t="str">
        <f>HYPERLINK("E:\附赠：Excel模板\精美EXCEL模板\网友极力推荐的Excel模板1000例\市(县)中小学校规范管理工作检查指标.xls","市(县)中小学校规范管理工作检查指标.xls")</f>
        <v>市(县)中小学校规范管理工作检查指标.xls</v>
      </c>
      <c r="Q3655">
        <v>0.03</v>
      </c>
      <c r="R3655" s="7" t="str">
        <f t="shared" si="72"/>
        <v>E:\附赠：Excel模板\精美EXCEL模板\网友极力推荐的Excel模板1000例</v>
      </c>
      <c r="S3655" s="9">
        <v>43600.3821875</v>
      </c>
      <c r="T3655" s="9">
        <v>43390.5161111111</v>
      </c>
    </row>
    <row r="3656" spans="14:20">
      <c r="N3656" s="7" t="str">
        <f>HYPERLINK("E:\附赠：Excel模板\精美EXCEL模板\网友极力推荐的Excel模板1000例\市(县)免费入学申报表.xls","市(县)免费入学申报表.xls")</f>
        <v>市(县)免费入学申报表.xls</v>
      </c>
      <c r="Q3656">
        <v>0.02</v>
      </c>
      <c r="R3656" s="7" t="str">
        <f t="shared" si="72"/>
        <v>E:\附赠：Excel模板\精美EXCEL模板\网友极力推荐的Excel模板1000例</v>
      </c>
      <c r="S3656" s="9">
        <v>43600.3821875</v>
      </c>
      <c r="T3656" s="9">
        <v>43390.5161111111</v>
      </c>
    </row>
    <row r="3657" spans="14:20">
      <c r="N3657" s="7" t="str">
        <f>HYPERLINK("E:\附赠：Excel模板\精美EXCEL模板\网友极力推荐的Excel模板1000例\市(县)贫困生享受免费教育学生汇总表.xls","市(县)贫困生享受免费教育学生汇总表.xls")</f>
        <v>市(县)贫困生享受免费教育学生汇总表.xls</v>
      </c>
      <c r="Q3657">
        <v>0.02</v>
      </c>
      <c r="R3657" s="7" t="str">
        <f t="shared" si="72"/>
        <v>E:\附赠：Excel模板\精美EXCEL模板\网友极力推荐的Excel模板1000例</v>
      </c>
      <c r="S3657" s="9">
        <v>43600.3821875</v>
      </c>
      <c r="T3657" s="9">
        <v>43390.5161111111</v>
      </c>
    </row>
    <row r="3658" spans="14:20">
      <c r="N3658" s="7" t="str">
        <f>HYPERLINK("E:\附赠：Excel模板\精美EXCEL模板\网友极力推荐的Excel模板1000例\市公共車船管理處財務狀況.xls","市公共車船管理處財務狀況.xls")</f>
        <v>市公共車船管理處財務狀況.xls</v>
      </c>
      <c r="Q3658">
        <v>0.06</v>
      </c>
      <c r="R3658" s="7" t="str">
        <f t="shared" si="72"/>
        <v>E:\附赠：Excel模板\精美EXCEL模板\网友极力推荐的Excel模板1000例</v>
      </c>
      <c r="S3658" s="9">
        <v>43600.3821875</v>
      </c>
      <c r="T3658" s="9">
        <v>43390.516087963</v>
      </c>
    </row>
    <row r="3659" spans="14:20">
      <c r="N3659" s="7" t="str">
        <f>HYPERLINK("E:\附赠：Excel模板\精美EXCEL模板\网友极力推荐的Excel模板1000例\市公安局面向应届毕业生招考人民警察报名表.xls","市公安局面向应届毕业生招考人民警察报名表.xls")</f>
        <v>市公安局面向应届毕业生招考人民警察报名表.xls</v>
      </c>
      <c r="Q3659">
        <v>0.02</v>
      </c>
      <c r="R3659" s="7" t="str">
        <f t="shared" si="72"/>
        <v>E:\附赠：Excel模板\精美EXCEL模板\网友极力推荐的Excel模板1000例</v>
      </c>
      <c r="S3659" s="9">
        <v>43600.3821875</v>
      </c>
      <c r="T3659" s="9">
        <v>43390.516087963</v>
      </c>
    </row>
    <row r="3660" spans="14:20">
      <c r="N3660" s="7" t="str">
        <f>HYPERLINK("E:\附赠：Excel模板\精美EXCEL模板\网友极力推荐的Excel模板1000例\市区获准运营客车号牌.xls","市区获准运营客车号牌.xls")</f>
        <v>市区获准运营客车号牌.xls</v>
      </c>
      <c r="Q3660">
        <v>0.02</v>
      </c>
      <c r="R3660" s="7" t="str">
        <f t="shared" si="72"/>
        <v>E:\附赠：Excel模板\精美EXCEL模板\网友极力推荐的Excel模板1000例</v>
      </c>
      <c r="S3660" s="9">
        <v>43600.3821875</v>
      </c>
      <c r="T3660" s="9">
        <v>43390.516087963</v>
      </c>
    </row>
    <row r="3661" spans="14:20">
      <c r="N3661" s="7" t="str">
        <f>HYPERLINK("E:\附赠：Excel模板\精美EXCEL模板\网友极力推荐的Excel模板1000例\市国税局目标管理考核内容及标准.xls","市国税局目标管理考核内容及标准.xls")</f>
        <v>市国税局目标管理考核内容及标准.xls</v>
      </c>
      <c r="Q3661">
        <v>0.02</v>
      </c>
      <c r="R3661" s="7" t="str">
        <f t="shared" si="72"/>
        <v>E:\附赠：Excel模板\精美EXCEL模板\网友极力推荐的Excel模板1000例</v>
      </c>
      <c r="S3661" s="9">
        <v>43600.3821875</v>
      </c>
      <c r="T3661" s="9">
        <v>43390.516087963</v>
      </c>
    </row>
    <row r="3662" spans="14:20">
      <c r="N3662" s="7" t="str">
        <f>HYPERLINK("E:\附赠：Excel模板\精美EXCEL模板\网友极力推荐的Excel模板1000例\市场信息.xls","市场信息.xls")</f>
        <v>市场信息.xls</v>
      </c>
      <c r="Q3662">
        <v>0.01</v>
      </c>
      <c r="R3662" s="7" t="str">
        <f t="shared" si="72"/>
        <v>E:\附赠：Excel模板\精美EXCEL模板\网友极力推荐的Excel模板1000例</v>
      </c>
      <c r="S3662" s="9">
        <v>43600.3821875</v>
      </c>
      <c r="T3662" s="9">
        <v>43390.516087963</v>
      </c>
    </row>
    <row r="3663" spans="14:20">
      <c r="N3663" s="7" t="str">
        <f>HYPERLINK("E:\附赠：Excel模板\精美EXCEL模板\网友极力推荐的Excel模板1000例\市场推广费用明细表.xls","市场推广费用明细表.xls")</f>
        <v>市场推广费用明细表.xls</v>
      </c>
      <c r="Q3663">
        <v>0.02</v>
      </c>
      <c r="R3663" s="7" t="str">
        <f t="shared" si="72"/>
        <v>E:\附赠：Excel模板\精美EXCEL模板\网友极力推荐的Excel模板1000例</v>
      </c>
      <c r="S3663" s="9">
        <v>43600.3821875</v>
      </c>
      <c r="T3663" s="9">
        <v>43390.516087963</v>
      </c>
    </row>
    <row r="3664" spans="14:20">
      <c r="N3664" s="7" t="str">
        <f>HYPERLINK("E:\附赠：Excel模板\精美EXCEL模板\网友极力推荐的Excel模板1000例\市基本建设项目申报表.xls","市基本建设项目申报表.xls")</f>
        <v>市基本建设项目申报表.xls</v>
      </c>
      <c r="Q3664">
        <v>0.02</v>
      </c>
      <c r="R3664" s="7" t="str">
        <f t="shared" si="72"/>
        <v>E:\附赠：Excel模板\精美EXCEL模板\网友极力推荐的Excel模板1000例</v>
      </c>
      <c r="S3664" s="9">
        <v>43600.3821875</v>
      </c>
      <c r="T3664" s="9">
        <v>43390.516087963</v>
      </c>
    </row>
    <row r="3665" spans="14:20">
      <c r="N3665" s="7" t="str">
        <f>HYPERLINK("E:\附赠：Excel模板\精美EXCEL模板\网友极力推荐的Excel模板1000例\市容环境卫生情况统计表.xls","市容环境卫生情况统计表.xls")</f>
        <v>市容环境卫生情况统计表.xls</v>
      </c>
      <c r="Q3665">
        <v>0.03</v>
      </c>
      <c r="R3665" s="7" t="str">
        <f t="shared" si="72"/>
        <v>E:\附赠：Excel模板\精美EXCEL模板\网友极力推荐的Excel模板1000例</v>
      </c>
      <c r="S3665" s="9">
        <v>43600.3821875</v>
      </c>
      <c r="T3665" s="9">
        <v>43390.516087963</v>
      </c>
    </row>
    <row r="3666" spans="14:20">
      <c r="N3666" s="7" t="str">
        <f>HYPERLINK("E:\附赠：Excel模板\精美EXCEL模板\网友极力推荐的Excel模板1000例\市工业重点技术创新项目指导性计划.xls","市工业重点技术创新项目指导性计划.xls")</f>
        <v>市工业重点技术创新项目指导性计划.xls</v>
      </c>
      <c r="Q3666">
        <v>0.02</v>
      </c>
      <c r="R3666" s="7" t="str">
        <f t="shared" si="72"/>
        <v>E:\附赠：Excel模板\精美EXCEL模板\网友极力推荐的Excel模板1000例</v>
      </c>
      <c r="S3666" s="9">
        <v>43600.3821875</v>
      </c>
      <c r="T3666" s="9">
        <v>43390.516087963</v>
      </c>
    </row>
    <row r="3667" spans="14:20">
      <c r="N3667" s="7" t="str">
        <f>HYPERLINK("E:\附赠：Excel模板\精美EXCEL模板\网友极力推荐的Excel模板1000例\市政工程监督公示授牌单位.xls","市政工程监督公示授牌单位.xls")</f>
        <v>市政工程监督公示授牌单位.xls</v>
      </c>
      <c r="Q3667">
        <v>0.03</v>
      </c>
      <c r="R3667" s="7" t="str">
        <f t="shared" si="72"/>
        <v>E:\附赠：Excel模板\精美EXCEL模板\网友极力推荐的Excel模板1000例</v>
      </c>
      <c r="S3667" s="9">
        <v>43600.3821875</v>
      </c>
      <c r="T3667" s="9">
        <v>43390.516087963</v>
      </c>
    </row>
    <row r="3668" spans="14:20">
      <c r="N3668" s="7" t="str">
        <f>HYPERLINK("E:\附赠：Excel模板\精美EXCEL模板\网友极力推荐的Excel模板1000例\市政府集中采购执行计划审批表.xls","市政府集中采购执行计划审批表.xls")</f>
        <v>市政府集中采购执行计划审批表.xls</v>
      </c>
      <c r="Q3668">
        <v>0.02</v>
      </c>
      <c r="R3668" s="7" t="str">
        <f t="shared" si="72"/>
        <v>E:\附赠：Excel模板\精美EXCEL模板\网友极力推荐的Excel模板1000例</v>
      </c>
      <c r="S3668" s="9">
        <v>43600.3821875</v>
      </c>
      <c r="T3668" s="9">
        <v>43390.516087963</v>
      </c>
    </row>
    <row r="3669" spans="14:20">
      <c r="N3669" s="7" t="str">
        <f>HYPERLINK("E:\附赠：Excel模板\精美EXCEL模板\网友极力推荐的Excel模板1000例\市政府集中采购计划表.xls","市政府集中采购计划表.xls")</f>
        <v>市政府集中采购计划表.xls</v>
      </c>
      <c r="Q3669">
        <v>0.02</v>
      </c>
      <c r="R3669" s="7" t="str">
        <f t="shared" si="72"/>
        <v>E:\附赠：Excel模板\精美EXCEL模板\网友极力推荐的Excel模板1000例</v>
      </c>
      <c r="S3669" s="9">
        <v>43600.3821875</v>
      </c>
      <c r="T3669" s="9">
        <v>43390.516087963</v>
      </c>
    </row>
    <row r="3670" spans="14:20">
      <c r="N3670" s="7" t="str">
        <f>HYPERLINK("E:\附赠：Excel模板\精美EXCEL模板\网友极力推荐的Excel模板1000例\市旅游业重点项目一览表.xls","市旅游业重点项目一览表.xls")</f>
        <v>市旅游业重点项目一览表.xls</v>
      </c>
      <c r="Q3670">
        <v>0.03</v>
      </c>
      <c r="R3670" s="7" t="str">
        <f t="shared" si="72"/>
        <v>E:\附赠：Excel模板\精美EXCEL模板\网友极力推荐的Excel模板1000例</v>
      </c>
      <c r="S3670" s="9">
        <v>43600.3821875</v>
      </c>
      <c r="T3670" s="9">
        <v>43390.516087963</v>
      </c>
    </row>
    <row r="3671" spans="14:20">
      <c r="N3671" s="7" t="str">
        <f>HYPERLINK("E:\附赠：Excel模板\精美EXCEL模板\网友极力推荐的Excel模板1000例\市本级基本建设支出预算表.xls","市本级基本建设支出预算表.xls")</f>
        <v>市本级基本建设支出预算表.xls</v>
      </c>
      <c r="Q3671">
        <v>0.02</v>
      </c>
      <c r="R3671" s="7" t="str">
        <f t="shared" si="72"/>
        <v>E:\附赠：Excel模板\精美EXCEL模板\网友极力推荐的Excel模板1000例</v>
      </c>
      <c r="S3671" s="9">
        <v>43600.3821875</v>
      </c>
      <c r="T3671" s="9">
        <v>43390.516087963</v>
      </c>
    </row>
    <row r="3672" spans="14:20">
      <c r="N3672" s="7" t="str">
        <f>HYPERLINK("E:\附赠：Excel模板\精美EXCEL模板\网友极力推荐的Excel模板1000例\市机关事业单位车辆保险申请表.xls","市机关事业单位车辆保险申请表.xls")</f>
        <v>市机关事业单位车辆保险申请表.xls</v>
      </c>
      <c r="Q3672">
        <v>0.02</v>
      </c>
      <c r="R3672" s="7" t="str">
        <f t="shared" si="72"/>
        <v>E:\附赠：Excel模板\精美EXCEL模板\网友极力推荐的Excel模板1000例</v>
      </c>
      <c r="S3672" s="9">
        <v>43600.3821875</v>
      </c>
      <c r="T3672" s="9">
        <v>43390.516087963</v>
      </c>
    </row>
    <row r="3673" spans="14:20">
      <c r="N3673" s="7" t="str">
        <f>HYPERLINK("E:\附赠：Excel模板\精美EXCEL模板\网友极力推荐的Excel模板1000例\市直行政事业单位基本信息表.xls","市直行政事业单位基本信息表.xls")</f>
        <v>市直行政事业单位基本信息表.xls</v>
      </c>
      <c r="Q3673">
        <v>0.02</v>
      </c>
      <c r="R3673" s="7" t="str">
        <f t="shared" si="72"/>
        <v>E:\附赠：Excel模板\精美EXCEL模板\网友极力推荐的Excel模板1000例</v>
      </c>
      <c r="S3673" s="9">
        <v>43600.3821875</v>
      </c>
      <c r="T3673" s="9">
        <v>43390.5160648148</v>
      </c>
    </row>
    <row r="3674" spans="14:20">
      <c r="N3674" s="7" t="str">
        <f>HYPERLINK("E:\附赠：Excel模板\精美EXCEL模板\网友极力推荐的Excel模板1000例\市直财政基金预算收支决算总表.xls","市直财政基金预算收支决算总表.xls")</f>
        <v>市直财政基金预算收支决算总表.xls</v>
      </c>
      <c r="Q3674">
        <v>0.02</v>
      </c>
      <c r="R3674" s="7" t="str">
        <f t="shared" si="72"/>
        <v>E:\附赠：Excel模板\精美EXCEL模板\网友极力推荐的Excel模板1000例</v>
      </c>
      <c r="S3674" s="9">
        <v>43600.3821875</v>
      </c>
      <c r="T3674" s="9">
        <v>43390.5160648148</v>
      </c>
    </row>
    <row r="3675" spans="14:20">
      <c r="N3675" s="7" t="str">
        <f>HYPERLINK("E:\附赠：Excel模板\精美EXCEL模板\网友极力推荐的Excel模板1000例\市级基本建设投资项目预算表.xls","市级基本建设投资项目预算表.xls")</f>
        <v>市级基本建设投资项目预算表.xls</v>
      </c>
      <c r="Q3675">
        <v>0.02</v>
      </c>
      <c r="R3675" s="7" t="str">
        <f t="shared" si="72"/>
        <v>E:\附赠：Excel模板\精美EXCEL模板\网友极力推荐的Excel模板1000例</v>
      </c>
      <c r="S3675" s="9">
        <v>43600.3821875</v>
      </c>
      <c r="T3675" s="9">
        <v>43390.516087963</v>
      </c>
    </row>
    <row r="3676" spans="14:20">
      <c r="N3676" s="7" t="str">
        <f>HYPERLINK("E:\附赠：Excel模板\精美EXCEL模板\网友极力推荐的Excel模板1000例\市级机关目标管理奖金审批单.xls","市级机关目标管理奖金审批单.xls")</f>
        <v>市级机关目标管理奖金审批单.xls</v>
      </c>
      <c r="Q3676">
        <v>0.02</v>
      </c>
      <c r="R3676" s="7" t="str">
        <f t="shared" si="72"/>
        <v>E:\附赠：Excel模板\精美EXCEL模板\网友极力推荐的Excel模板1000例</v>
      </c>
      <c r="S3676" s="9">
        <v>43600.3821875</v>
      </c>
      <c r="T3676" s="9">
        <v>43390.516087963</v>
      </c>
    </row>
    <row r="3677" spans="14:20">
      <c r="N3677" s="7" t="str">
        <f>HYPERLINK("E:\附赠：Excel模板\精美EXCEL模板\网友极力推荐的Excel模板1000例\市节水灌溉发展情况统计表.xls","市节水灌溉发展情况统计表.xls")</f>
        <v>市节水灌溉发展情况统计表.xls</v>
      </c>
      <c r="Q3677">
        <v>0.02</v>
      </c>
      <c r="R3677" s="7" t="str">
        <f t="shared" si="72"/>
        <v>E:\附赠：Excel模板\精美EXCEL模板\网友极力推荐的Excel模板1000例</v>
      </c>
      <c r="S3677" s="9">
        <v>43600.3821875</v>
      </c>
      <c r="T3677" s="9">
        <v>43390.516087963</v>
      </c>
    </row>
    <row r="3678" spans="14:20">
      <c r="N3678" s="7" t="str">
        <f>HYPERLINK("E:\附赠：Excel模板\精美EXCEL模板\网友极力推荐的Excel模板1000例\平时作业抽查上报名单.xls","平时作业抽查上报名单.xls")</f>
        <v>平时作业抽查上报名单.xls</v>
      </c>
      <c r="Q3678">
        <v>0.02</v>
      </c>
      <c r="R3678" s="7" t="str">
        <f t="shared" si="72"/>
        <v>E:\附赠：Excel模板\精美EXCEL模板\网友极力推荐的Excel模板1000例</v>
      </c>
      <c r="S3678" s="9">
        <v>43600.3821875</v>
      </c>
      <c r="T3678" s="9">
        <v>43390.5162731481</v>
      </c>
    </row>
    <row r="3679" spans="14:20">
      <c r="N3679" s="7" t="str">
        <f>HYPERLINK("E:\附赠：Excel模板\精美EXCEL模板\网友极力推荐的Excel模板1000例\平衡计分卡项目总结表.xls","平衡计分卡项目总结表.xls")</f>
        <v>平衡计分卡项目总结表.xls</v>
      </c>
      <c r="Q3679">
        <v>0.02</v>
      </c>
      <c r="R3679" s="7" t="str">
        <f t="shared" si="72"/>
        <v>E:\附赠：Excel模板\精美EXCEL模板\网友极力推荐的Excel模板1000例</v>
      </c>
      <c r="S3679" s="9">
        <v>43600.3821875</v>
      </c>
      <c r="T3679" s="9">
        <v>43390.5162731481</v>
      </c>
    </row>
    <row r="3680" spans="14:20">
      <c r="N3680" s="7" t="str">
        <f>HYPERLINK("E:\附赠：Excel模板\精美EXCEL模板\网友极力推荐的Excel模板1000例\平衡计分卡项目指标滞后领先比较.xls","平衡计分卡项目指标滞后领先比较.xls")</f>
        <v>平衡计分卡项目指标滞后领先比较.xls</v>
      </c>
      <c r="Q3680">
        <v>0.02</v>
      </c>
      <c r="R3680" s="7" t="str">
        <f t="shared" si="72"/>
        <v>E:\附赠：Excel模板\精美EXCEL模板\网友极力推荐的Excel模板1000例</v>
      </c>
      <c r="S3680" s="9">
        <v>43600.3821875</v>
      </c>
      <c r="T3680" s="9">
        <v>43390.5162731481</v>
      </c>
    </row>
    <row r="3681" spans="14:20">
      <c r="N3681" s="7" t="str">
        <f>HYPERLINK("E:\附赠：Excel模板\精美EXCEL模板\网友极力推荐的Excel模板1000例\平衡计分卡项目绩效指标概要.xls","平衡计分卡项目绩效指标概要.xls")</f>
        <v>平衡计分卡项目绩效指标概要.xls</v>
      </c>
      <c r="Q3681">
        <v>0.02</v>
      </c>
      <c r="R3681" s="7" t="str">
        <f t="shared" si="72"/>
        <v>E:\附赠：Excel模板\精美EXCEL模板\网友极力推荐的Excel模板1000例</v>
      </c>
      <c r="S3681" s="9">
        <v>43600.3821875</v>
      </c>
      <c r="T3681" s="9">
        <v>43390.5162731481</v>
      </c>
    </row>
    <row r="3682" spans="14:20">
      <c r="N3682" s="7" t="str">
        <f>HYPERLINK("E:\附赠：Excel模板\精美EXCEL模板\网友极力推荐的Excel模板1000例\年全省部门财支出表.xls","年全省部门财支出表.xls")</f>
        <v>年全省部门财支出表.xls</v>
      </c>
      <c r="Q3682">
        <v>0.02</v>
      </c>
      <c r="R3682" s="7" t="str">
        <f t="shared" si="72"/>
        <v>E:\附赠：Excel模板\精美EXCEL模板\网友极力推荐的Excel模板1000例</v>
      </c>
      <c r="S3682" s="9">
        <v>43600.3821875</v>
      </c>
      <c r="T3682" s="9">
        <v>43390.5162962963</v>
      </c>
    </row>
    <row r="3683" spans="14:20">
      <c r="N3683" s="7" t="str">
        <f>HYPERLINK("E:\附赠：Excel模板\精美EXCEL模板\网友极力推荐的Excel模板1000例\年度国民经济主要指标.xls","年度国民经济主要指标.xls")</f>
        <v>年度国民经济主要指标.xls</v>
      </c>
      <c r="Q3683">
        <v>0.02</v>
      </c>
      <c r="R3683" s="7" t="str">
        <f t="shared" si="72"/>
        <v>E:\附赠：Excel模板\精美EXCEL模板\网友极力推荐的Excel模板1000例</v>
      </c>
      <c r="S3683" s="9">
        <v>43600.3821875</v>
      </c>
      <c r="T3683" s="9">
        <v>43390.5162962963</v>
      </c>
    </row>
    <row r="3684" spans="14:20">
      <c r="N3684" s="7" t="str">
        <f>HYPERLINK("E:\附赠：Excel模板\精美EXCEL模板\网友极力推荐的Excel模板1000例\年度国民经济发展情况.xls","年度国民经济发展情况.xls")</f>
        <v>年度国民经济发展情况.xls</v>
      </c>
      <c r="Q3684">
        <v>0.02</v>
      </c>
      <c r="R3684" s="7" t="str">
        <f t="shared" si="72"/>
        <v>E:\附赠：Excel模板\精美EXCEL模板\网友极力推荐的Excel模板1000例</v>
      </c>
      <c r="S3684" s="9">
        <v>43600.3821875</v>
      </c>
      <c r="T3684" s="9">
        <v>43390.5162962963</v>
      </c>
    </row>
    <row r="3685" spans="14:20">
      <c r="N3685" s="7" t="str">
        <f>HYPERLINK("E:\附赠：Excel模板\精美EXCEL模板\网友极力推荐的Excel模板1000例\年度培训计划及实施统计表.xls","年度培训计划及实施统计表.xls")</f>
        <v>年度培训计划及实施统计表.xls</v>
      </c>
      <c r="Q3685">
        <v>0.02</v>
      </c>
      <c r="R3685" s="7" t="str">
        <f t="shared" si="72"/>
        <v>E:\附赠：Excel模板\精美EXCEL模板\网友极力推荐的Excel模板1000例</v>
      </c>
      <c r="S3685" s="9">
        <v>43600.3821875</v>
      </c>
      <c r="T3685" s="9">
        <v>43390.5162962963</v>
      </c>
    </row>
    <row r="3686" spans="14:20">
      <c r="N3686" s="7" t="str">
        <f>HYPERLINK("E:\附赠：Excel模板\精美EXCEL模板\网友极力推荐的Excel模板1000例\年度水利系统财务表.xls","年度水利系统财务表.xls")</f>
        <v>年度水利系统财务表.xls</v>
      </c>
      <c r="Q3686">
        <v>0.06</v>
      </c>
      <c r="R3686" s="7" t="str">
        <f t="shared" si="72"/>
        <v>E:\附赠：Excel模板\精美EXCEL模板\网友极力推荐的Excel模板1000例</v>
      </c>
      <c r="S3686" s="9">
        <v>43600.3821875</v>
      </c>
      <c r="T3686" s="9">
        <v>43390.5162962963</v>
      </c>
    </row>
    <row r="3687" spans="14:20">
      <c r="N3687" s="7" t="str">
        <f>HYPERLINK("E:\附赠：Excel模板\精美EXCEL模板\网友极力推荐的Excel模板1000例\年度財務收入比例圖.xls","年度財務收入比例圖.xls")</f>
        <v>年度財務收入比例圖.xls</v>
      </c>
      <c r="Q3687">
        <v>0.03</v>
      </c>
      <c r="R3687" s="7" t="str">
        <f t="shared" si="72"/>
        <v>E:\附赠：Excel模板\精美EXCEL模板\网友极力推荐的Excel模板1000例</v>
      </c>
      <c r="S3687" s="9">
        <v>43600.3821875</v>
      </c>
      <c r="T3687" s="9">
        <v>43390.5162962963</v>
      </c>
    </row>
    <row r="3688" spans="14:20">
      <c r="N3688" s="7" t="str">
        <f>HYPERLINK("E:\附赠：Excel模板\精美EXCEL模板\网友极力推荐的Excel模板1000例\年度财务决算预测表.xls","年度财务决算预测表.xls")</f>
        <v>年度财务决算预测表.xls</v>
      </c>
      <c r="Q3688">
        <v>0.02</v>
      </c>
      <c r="R3688" s="7" t="str">
        <f t="shared" si="72"/>
        <v>E:\附赠：Excel模板\精美EXCEL模板\网友极力推荐的Excel模板1000例</v>
      </c>
      <c r="S3688" s="9">
        <v>43600.3821875</v>
      </c>
      <c r="T3688" s="9">
        <v>43390.5163194444</v>
      </c>
    </row>
    <row r="3689" spans="14:20">
      <c r="N3689" s="7" t="str">
        <f>HYPERLINK("E:\附赠：Excel模板\精美EXCEL模板\网友极力推荐的Excel模板1000例\年度财务决算预测表2.xls","年度财务决算预测表2.xls")</f>
        <v>年度财务决算预测表2.xls</v>
      </c>
      <c r="Q3689">
        <v>0.02</v>
      </c>
      <c r="R3689" s="7" t="str">
        <f t="shared" si="72"/>
        <v>E:\附赠：Excel模板\精美EXCEL模板\网友极力推荐的Excel模板1000例</v>
      </c>
      <c r="S3689" s="9">
        <v>43600.3821875</v>
      </c>
      <c r="T3689" s="9">
        <v>43390.5163194444</v>
      </c>
    </row>
    <row r="3690" spans="14:20">
      <c r="N3690" s="7" t="str">
        <f>HYPERLINK("E:\附赠：Excel模板\精美EXCEL模板\网友极力推荐的Excel模板1000例\年度财务收支情况自查表.xls","年度财务收支情况自查表.xls")</f>
        <v>年度财务收支情况自查表.xls</v>
      </c>
      <c r="Q3690">
        <v>0.02</v>
      </c>
      <c r="R3690" s="7" t="str">
        <f t="shared" si="72"/>
        <v>E:\附赠：Excel模板\精美EXCEL模板\网友极力推荐的Excel模板1000例</v>
      </c>
      <c r="S3690" s="9">
        <v>43600.3821875</v>
      </c>
      <c r="T3690" s="9">
        <v>43390.5163194444</v>
      </c>
    </row>
    <row r="3691" spans="14:20">
      <c r="N3691" s="7" t="str">
        <f>HYPERLINK("E:\附赠：Excel模板\精美EXCEL模板\网友极力推荐的Excel模板1000例\年考核合格获省种子检验员证人员名单.xls","年考核合格获省种子检验员证人员名单.xls")</f>
        <v>年考核合格获省种子检验员证人员名单.xls</v>
      </c>
      <c r="Q3691">
        <v>0.04</v>
      </c>
      <c r="R3691" s="7" t="str">
        <f t="shared" si="72"/>
        <v>E:\附赠：Excel模板\精美EXCEL模板\网友极力推荐的Excel模板1000例</v>
      </c>
      <c r="S3691" s="9">
        <v>43600.3821875</v>
      </c>
      <c r="T3691" s="9">
        <v>43390.5162962963</v>
      </c>
    </row>
    <row r="3692" spans="14:20">
      <c r="N3692" s="7" t="str">
        <f>HYPERLINK("E:\附赠：Excel模板\精美EXCEL模板\网友极力推荐的Excel模板1000例\年获国家奖学金学生名单备案表.xls","年获国家奖学金学生名单备案表.xls")</f>
        <v>年获国家奖学金学生名单备案表.xls</v>
      </c>
      <c r="Q3692">
        <v>0.02</v>
      </c>
      <c r="R3692" s="7" t="str">
        <f t="shared" si="72"/>
        <v>E:\附赠：Excel模板\精美EXCEL模板\网友极力推荐的Excel模板1000例</v>
      </c>
      <c r="S3692" s="9">
        <v>43600.3821875</v>
      </c>
      <c r="T3692" s="9">
        <v>43390.5162962963</v>
      </c>
    </row>
    <row r="3693" spans="14:20">
      <c r="N3693" s="7" t="str">
        <f>HYPERLINK("E:\附赠：Excel模板\精美EXCEL模板\网友极力推荐的Excel模板1000例\年财政教育经费投入情况调查表.xls","年财政教育经费投入情况调查表.xls")</f>
        <v>年财政教育经费投入情况调查表.xls</v>
      </c>
      <c r="Q3693">
        <v>0.02</v>
      </c>
      <c r="R3693" s="7" t="str">
        <f t="shared" si="72"/>
        <v>E:\附赠：Excel模板\精美EXCEL模板\网友极力推荐的Excel模板1000例</v>
      </c>
      <c r="S3693" s="9">
        <v>43600.3821875</v>
      </c>
      <c r="T3693" s="9">
        <v>43390.5163194444</v>
      </c>
    </row>
    <row r="3694" spans="14:20">
      <c r="N3694" s="7" t="str">
        <f>HYPERLINK("E:\附赠：Excel模板\精美EXCEL模板\网友极力推荐的Excel模板1000例\库存报表.xls","库存报表.xls")</f>
        <v>库存报表.xls</v>
      </c>
      <c r="Q3694">
        <v>0.02</v>
      </c>
      <c r="R3694" s="7" t="str">
        <f t="shared" si="72"/>
        <v>E:\附赠：Excel模板\精美EXCEL模板\网友极力推荐的Excel模板1000例</v>
      </c>
      <c r="S3694" s="9">
        <v>43600.3821875</v>
      </c>
      <c r="T3694" s="9">
        <v>43390.5163888889</v>
      </c>
    </row>
    <row r="3695" spans="14:20">
      <c r="N3695" s="7" t="str">
        <f>HYPERLINK("E:\附赠：Excel模板\精美EXCEL模板\网友极力推荐的Excel模板1000例\应交财政收益明细表.xls","应交财政收益明细表.xls")</f>
        <v>应交财政收益明细表.xls</v>
      </c>
      <c r="Q3695">
        <v>0.02</v>
      </c>
      <c r="R3695" s="7" t="str">
        <f t="shared" si="72"/>
        <v>E:\附赠：Excel模板\精美EXCEL模板\网友极力推荐的Excel模板1000例</v>
      </c>
      <c r="S3695" s="9">
        <v>43600.3821875</v>
      </c>
      <c r="T3695" s="9">
        <v>43390.5157638889</v>
      </c>
    </row>
    <row r="3696" spans="14:20">
      <c r="N3696" s="7" t="str">
        <f>HYPERLINK("E:\附赠：Excel模板\精美EXCEL模板\网友极力推荐的Excel模板1000例\应收帐款明细及帐龄分析表.xls","应收帐款明细及帐龄分析表.xls")</f>
        <v>应收帐款明细及帐龄分析表.xls</v>
      </c>
      <c r="Q3696">
        <v>0.02</v>
      </c>
      <c r="R3696" s="7" t="str">
        <f t="shared" si="72"/>
        <v>E:\附赠：Excel模板\精美EXCEL模板\网友极力推荐的Excel模板1000例</v>
      </c>
      <c r="S3696" s="9">
        <v>43600.3821875</v>
      </c>
      <c r="T3696" s="9">
        <v>43390.5157638889</v>
      </c>
    </row>
    <row r="3697" spans="14:20">
      <c r="N3697" s="7" t="str">
        <f>HYPERLINK("E:\附赠：Excel模板\精美EXCEL模板\网友极力推荐的Excel模板1000例\应收应付统计表.xls","应收应付统计表.xls")</f>
        <v>应收应付统计表.xls</v>
      </c>
      <c r="Q3697">
        <v>0.02</v>
      </c>
      <c r="R3697" s="7" t="str">
        <f t="shared" si="72"/>
        <v>E:\附赠：Excel模板\精美EXCEL模板\网友极力推荐的Excel模板1000例</v>
      </c>
      <c r="S3697" s="9">
        <v>43600.3821875</v>
      </c>
      <c r="T3697" s="9">
        <v>43390.5157638889</v>
      </c>
    </row>
    <row r="3698" spans="14:20">
      <c r="N3698" s="7" t="str">
        <f>HYPERLINK("E:\附赠：Excel模板\精美EXCEL模板\网友极力推荐的Excel模板1000例\应收款统计.xls","应收款统计.xls")</f>
        <v>应收款统计.xls</v>
      </c>
      <c r="Q3698">
        <v>0.02</v>
      </c>
      <c r="R3698" s="7" t="str">
        <f t="shared" si="72"/>
        <v>E:\附赠：Excel模板\精美EXCEL模板\网友极力推荐的Excel模板1000例</v>
      </c>
      <c r="S3698" s="9">
        <v>43600.3821875</v>
      </c>
      <c r="T3698" s="9">
        <v>43390.5157638889</v>
      </c>
    </row>
    <row r="3699" spans="14:20">
      <c r="N3699" s="7" t="str">
        <f>HYPERLINK("E:\附赠：Excel模板\精美EXCEL模板\网友极力推荐的Excel模板1000例\度科研成果统计表.xls","度科研成果统计表.xls")</f>
        <v>度科研成果统计表.xls</v>
      </c>
      <c r="Q3699">
        <v>0.01</v>
      </c>
      <c r="R3699" s="7" t="str">
        <f t="shared" si="72"/>
        <v>E:\附赠：Excel模板\精美EXCEL模板\网友极力推荐的Excel模板1000例</v>
      </c>
      <c r="S3699" s="9">
        <v>43600.3821875</v>
      </c>
      <c r="T3699" s="9">
        <v>43390.516712963</v>
      </c>
    </row>
    <row r="3700" spans="14:20">
      <c r="N3700" s="7" t="str">
        <f>HYPERLINK("E:\附赠：Excel模板\精美EXCEL模板\网友极力推荐的Excel模板1000例\建筑业企业主要财务状况.xls","建筑业企业主要财务状况.xls")</f>
        <v>建筑业企业主要财务状况.xls</v>
      </c>
      <c r="Q3700">
        <v>0.02</v>
      </c>
      <c r="R3700" s="7" t="str">
        <f t="shared" si="72"/>
        <v>E:\附赠：Excel模板\精美EXCEL模板\网友极力推荐的Excel模板1000例</v>
      </c>
      <c r="S3700" s="9">
        <v>43600.3821875</v>
      </c>
      <c r="T3700" s="9">
        <v>43390.5164814815</v>
      </c>
    </row>
    <row r="3701" spans="14:20">
      <c r="N3701" s="7" t="str">
        <f>HYPERLINK("E:\附赠：Excel模板\精美EXCEL模板\网友极力推荐的Excel模板1000例\建设项目基本情况表.xls","建设项目基本情况表.xls")</f>
        <v>建设项目基本情况表.xls</v>
      </c>
      <c r="Q3701">
        <v>0.02</v>
      </c>
      <c r="R3701" s="7" t="str">
        <f t="shared" si="72"/>
        <v>E:\附赠：Excel模板\精美EXCEL模板\网友极力推荐的Excel模板1000例</v>
      </c>
      <c r="S3701" s="9">
        <v>43600.3821875</v>
      </c>
      <c r="T3701" s="9">
        <v>43390.5164814815</v>
      </c>
    </row>
    <row r="3702" spans="14:20">
      <c r="N3702" s="7" t="str">
        <f>HYPERLINK("E:\附赠：Excel模板\精美EXCEL模板\网友极力推荐的Excel模板1000例\建设项目资金拨付申请书.xls","建设项目资金拨付申请书.xls")</f>
        <v>建设项目资金拨付申请书.xls</v>
      </c>
      <c r="Q3702">
        <v>0.02</v>
      </c>
      <c r="R3702" s="7" t="str">
        <f t="shared" si="72"/>
        <v>E:\附赠：Excel模板\精美EXCEL模板\网友极力推荐的Excel模板1000例</v>
      </c>
      <c r="S3702" s="9">
        <v>43600.3821875</v>
      </c>
      <c r="T3702" s="9">
        <v>43390.5164814815</v>
      </c>
    </row>
    <row r="3703" spans="14:20">
      <c r="N3703" s="7" t="str">
        <f>HYPERLINK("E:\附赠：Excel模板\精美EXCEL模板\网友极力推荐的Excel模板1000例\开发高层次人才资金资助申请书.xls","开发高层次人才资金资助申请书.xls")</f>
        <v>开发高层次人才资金资助申请书.xls</v>
      </c>
      <c r="Q3703">
        <v>0.04</v>
      </c>
      <c r="R3703" s="7" t="str">
        <f t="shared" si="72"/>
        <v>E:\附赠：Excel模板\精美EXCEL模板\网友极力推荐的Excel模板1000例</v>
      </c>
      <c r="S3703" s="9">
        <v>43600.3821875</v>
      </c>
      <c r="T3703" s="9">
        <v>43390.516412037</v>
      </c>
    </row>
    <row r="3704" spans="14:20">
      <c r="N3704" s="7" t="str">
        <f>HYPERLINK("E:\附赠：Excel模板\精美EXCEL模板\网友极力推荐的Excel模板1000例\开拓资金项目资金计划申报评审表.xls","开拓资金项目资金计划申报评审表.xls")</f>
        <v>开拓资金项目资金计划申报评审表.xls</v>
      </c>
      <c r="Q3704">
        <v>0.02</v>
      </c>
      <c r="R3704" s="7" t="str">
        <f t="shared" si="72"/>
        <v>E:\附赠：Excel模板\精美EXCEL模板\网友极力推荐的Excel模板1000例</v>
      </c>
      <c r="S3704" s="9">
        <v>43600.3821875</v>
      </c>
      <c r="T3704" s="9">
        <v>43390.516412037</v>
      </c>
    </row>
    <row r="3705" spans="14:20">
      <c r="N3705" s="7" t="str">
        <f>HYPERLINK("E:\附赠：Excel模板\精美EXCEL模板\网友极力推荐的Excel模板1000例\开放本科会计学专业课程教材征订表.xls","开放本科会计学专业课程教材征订表.xls")</f>
        <v>开放本科会计学专业课程教材征订表.xls</v>
      </c>
      <c r="Q3705">
        <v>0.02</v>
      </c>
      <c r="R3705" s="7" t="str">
        <f t="shared" si="72"/>
        <v>E:\附赠：Excel模板\精美EXCEL模板\网友极力推荐的Excel模板1000例</v>
      </c>
      <c r="S3705" s="9">
        <v>43600.3821875</v>
      </c>
      <c r="T3705" s="9">
        <v>43390.516412037</v>
      </c>
    </row>
    <row r="3706" spans="14:20">
      <c r="N3706" s="7" t="str">
        <f>HYPERLINK("E:\附赠：Excel模板\精美EXCEL模板\网友极力推荐的Excel模板1000例\开放本科英语专业课程教材征订表.xls","开放本科英语专业课程教材征订表.xls")</f>
        <v>开放本科英语专业课程教材征订表.xls</v>
      </c>
      <c r="Q3706">
        <v>0.02</v>
      </c>
      <c r="R3706" s="7" t="str">
        <f t="shared" si="72"/>
        <v>E:\附赠：Excel模板\精美EXCEL模板\网友极力推荐的Excel模板1000例</v>
      </c>
      <c r="S3706" s="9">
        <v>43600.3821875</v>
      </c>
      <c r="T3706" s="9">
        <v>43390.516412037</v>
      </c>
    </row>
    <row r="3707" spans="14:20">
      <c r="N3707" s="7" t="str">
        <f>HYPERLINK("E:\附赠：Excel模板\精美EXCEL模板\网友极力推荐的Excel模板1000例\强制承运人责任保险承保情况统计表.xls","强制承运人责任保险承保情况统计表.xls")</f>
        <v>强制承运人责任保险承保情况统计表.xls</v>
      </c>
      <c r="Q3707">
        <v>0.02</v>
      </c>
      <c r="R3707" s="7" t="str">
        <f t="shared" si="72"/>
        <v>E:\附赠：Excel模板\精美EXCEL模板\网友极力推荐的Excel模板1000例</v>
      </c>
      <c r="S3707" s="9">
        <v>43600.3821875</v>
      </c>
      <c r="T3707" s="9">
        <v>43390.5162268519</v>
      </c>
    </row>
    <row r="3708" spans="14:20">
      <c r="N3708" s="7" t="str">
        <f>HYPERLINK("E:\附赠：Excel模板\精美EXCEL模板\网友极力推荐的Excel模板1000例\往来款项明细表.xls","往来款项明细表.xls")</f>
        <v>往来款项明细表.xls</v>
      </c>
      <c r="Q3708">
        <v>0.02</v>
      </c>
      <c r="R3708" s="7" t="str">
        <f t="shared" si="72"/>
        <v>E:\附赠：Excel模板\精美EXCEL模板\网友极力推荐的Excel模板1000例</v>
      </c>
      <c r="S3708" s="9">
        <v>43600.3821875</v>
      </c>
      <c r="T3708" s="9">
        <v>43390.5159953704</v>
      </c>
    </row>
    <row r="3709" spans="14:20">
      <c r="N3709" s="7" t="str">
        <f>HYPERLINK("E:\附赠：Excel模板\精美EXCEL模板\网友极力推荐的Excel模板1000例\征收计划表.xls","征收计划表.xls")</f>
        <v>征收计划表.xls</v>
      </c>
      <c r="Q3709">
        <v>0.02</v>
      </c>
      <c r="R3709" s="7" t="str">
        <f t="shared" si="72"/>
        <v>E:\附赠：Excel模板\精美EXCEL模板\网友极力推荐的Excel模板1000例</v>
      </c>
      <c r="S3709" s="9">
        <v>43600.3821875</v>
      </c>
      <c r="T3709" s="9">
        <v>43390.5157175926</v>
      </c>
    </row>
    <row r="3710" spans="14:20">
      <c r="N3710" s="7" t="str">
        <f>HYPERLINK("E:\附赠：Excel模板\精美EXCEL模板\网友极力推荐的Excel模板1000例\总决算表.xls","总决算表.xls")</f>
        <v>总决算表.xls</v>
      </c>
      <c r="Q3710">
        <v>0.02</v>
      </c>
      <c r="R3710" s="7" t="str">
        <f t="shared" si="72"/>
        <v>E:\附赠：Excel模板\精美EXCEL模板\网友极力推荐的Excel模板1000例</v>
      </c>
      <c r="S3710" s="9">
        <v>43600.3821875</v>
      </c>
      <c r="T3710" s="9">
        <v>43390.5155787037</v>
      </c>
    </row>
    <row r="3711" spans="14:20">
      <c r="N3711" s="7" t="str">
        <f>HYPERLINK("E:\附赠：Excel模板\精美EXCEL模板\网友极力推荐的Excel模板1000例\总成本费用估算表.xls","总成本费用估算表.xls")</f>
        <v>总成本费用估算表.xls</v>
      </c>
      <c r="Q3711">
        <v>0.01</v>
      </c>
      <c r="R3711" s="7" t="str">
        <f t="shared" si="72"/>
        <v>E:\附赠：Excel模板\精美EXCEL模板\网友极力推荐的Excel模板1000例</v>
      </c>
      <c r="S3711" s="9">
        <v>43600.3821875</v>
      </c>
      <c r="T3711" s="9">
        <v>43390.5155787037</v>
      </c>
    </row>
    <row r="3712" spans="14:20">
      <c r="N3712" s="7" t="str">
        <f>HYPERLINK("E:\附赠：Excel模板\精美EXCEL模板\网友极力推荐的Excel模板1000例\成本费用预算表.xls","成本费用预算表.xls")</f>
        <v>成本费用预算表.xls</v>
      </c>
      <c r="Q3712">
        <v>0.02</v>
      </c>
      <c r="R3712" s="7" t="str">
        <f t="shared" si="72"/>
        <v>E:\附赠：Excel模板\精美EXCEL模板\网友极力推荐的Excel模板1000例</v>
      </c>
      <c r="S3712" s="9">
        <v>43600.3821875</v>
      </c>
      <c r="T3712" s="9">
        <v>43390.5168287037</v>
      </c>
    </row>
    <row r="3713" spans="14:20">
      <c r="N3713" s="7" t="str">
        <f>HYPERLINK("E:\附赠：Excel模板\精美EXCEL模板\网友极力推荐的Excel模板1000例\成果统计表.xls","成果统计表.xls")</f>
        <v>成果统计表.xls</v>
      </c>
      <c r="Q3713">
        <v>0.02</v>
      </c>
      <c r="R3713" s="7" t="str">
        <f t="shared" si="72"/>
        <v>E:\附赠：Excel模板\精美EXCEL模板\网友极力推荐的Excel模板1000例</v>
      </c>
      <c r="S3713" s="9">
        <v>43600.3821875</v>
      </c>
      <c r="T3713" s="9">
        <v>43390.5168055556</v>
      </c>
    </row>
    <row r="3714" spans="14:20">
      <c r="N3714" s="7" t="str">
        <f>HYPERLINK("E:\附赠：Excel模板\精美EXCEL模板\网友极力推荐的Excel模板1000例\成绩单.xls","成绩单.xls")</f>
        <v>成绩单.xls</v>
      </c>
      <c r="Q3714">
        <v>0.02</v>
      </c>
      <c r="R3714" s="7" t="str">
        <f t="shared" ref="R3714:R3777" si="73">HYPERLINK("E:\附赠：Excel模板\精美EXCEL模板\网友极力推荐的Excel模板1000例","E:\附赠：Excel模板\精美EXCEL模板\网友极力推荐的Excel模板1000例")</f>
        <v>E:\附赠：Excel模板\精美EXCEL模板\网友极力推荐的Excel模板1000例</v>
      </c>
      <c r="S3714" s="9">
        <v>43600.3821875</v>
      </c>
      <c r="T3714" s="9">
        <v>43390.5168055556</v>
      </c>
    </row>
    <row r="3715" spans="14:20">
      <c r="N3715" s="7" t="str">
        <f>HYPERLINK("E:\附赠：Excel模板\精美EXCEL模板\网友极力推荐的Excel模板1000例\成绩考核方式表.xls","成绩考核方式表.xls")</f>
        <v>成绩考核方式表.xls</v>
      </c>
      <c r="Q3715">
        <v>0.01</v>
      </c>
      <c r="R3715" s="7" t="str">
        <f t="shared" si="73"/>
        <v>E:\附赠：Excel模板\精美EXCEL模板\网友极力推荐的Excel模板1000例</v>
      </c>
      <c r="S3715" s="9">
        <v>43600.3821875</v>
      </c>
      <c r="T3715" s="9">
        <v>43390.5168055556</v>
      </c>
    </row>
    <row r="3716" spans="14:20">
      <c r="N3716" s="7" t="str">
        <f>HYPERLINK("E:\附赠：Excel模板\精美EXCEL模板\网友极力推荐的Excel模板1000例\成绩考核登记表.xls","成绩考核登记表.xls")</f>
        <v>成绩考核登记表.xls</v>
      </c>
      <c r="Q3716">
        <v>0.02</v>
      </c>
      <c r="R3716" s="7" t="str">
        <f t="shared" si="73"/>
        <v>E:\附赠：Excel模板\精美EXCEL模板\网友极力推荐的Excel模板1000例</v>
      </c>
      <c r="S3716" s="9">
        <v>43600.3821875</v>
      </c>
      <c r="T3716" s="9">
        <v>43390.5168055556</v>
      </c>
    </row>
    <row r="3717" spans="14:20">
      <c r="N3717" s="7" t="str">
        <f>HYPERLINK("E:\附赠：Excel模板\精美EXCEL模板\网友极力推荐的Excel模板1000例\成绩表.xls","成绩表.xls")</f>
        <v>成绩表.xls</v>
      </c>
      <c r="Q3717">
        <v>0.08</v>
      </c>
      <c r="R3717" s="7" t="str">
        <f t="shared" si="73"/>
        <v>E:\附赠：Excel模板\精美EXCEL模板\网友极力推荐的Excel模板1000例</v>
      </c>
      <c r="S3717" s="9">
        <v>43600.3821875</v>
      </c>
      <c r="T3717" s="9">
        <v>43390.5168055556</v>
      </c>
    </row>
    <row r="3718" spans="14:20">
      <c r="N3718" s="7" t="str">
        <f>HYPERLINK("E:\附赠：Excel模板\精美EXCEL模板\网友极力推荐的Excel模板1000例\截至××年底财政拨款资金结余情况表.xls","截至××年底财政拨款资金结余情况表.xls")</f>
        <v>截至××年底财政拨款资金结余情况表.xls</v>
      </c>
      <c r="Q3718">
        <v>0.02</v>
      </c>
      <c r="R3718" s="7" t="str">
        <f t="shared" si="73"/>
        <v>E:\附赠：Excel模板\精美EXCEL模板\网友极力推荐的Excel模板1000例</v>
      </c>
      <c r="S3718" s="9">
        <v>43600.3821875</v>
      </c>
      <c r="T3718" s="9">
        <v>43390.5164583333</v>
      </c>
    </row>
    <row r="3719" spans="14:20">
      <c r="N3719" s="7" t="str">
        <f>HYPERLINK("E:\附赠：Excel模板\精美EXCEL模板\网友极力推荐的Excel模板1000例\房产登记.xls","房产登记.xls")</f>
        <v>房产登记.xls</v>
      </c>
      <c r="Q3719">
        <v>0.02</v>
      </c>
      <c r="R3719" s="7" t="str">
        <f t="shared" si="73"/>
        <v>E:\附赠：Excel模板\精美EXCEL模板\网友极力推荐的Excel模板1000例</v>
      </c>
      <c r="S3719" s="9">
        <v>43600.3821875</v>
      </c>
      <c r="T3719" s="9">
        <v>43390.5166898148</v>
      </c>
    </row>
    <row r="3720" spans="14:20">
      <c r="N3720" s="7" t="str">
        <f>HYPERLINK("E:\附赠：Excel模板\精美EXCEL模板\网友极力推荐的Excel模板1000例\房地产中介服务统计基层表.xls","房地产中介服务统计基层表.xls")</f>
        <v>房地产中介服务统计基层表.xls</v>
      </c>
      <c r="Q3720">
        <v>0.02</v>
      </c>
      <c r="R3720" s="7" t="str">
        <f t="shared" si="73"/>
        <v>E:\附赠：Excel模板\精美EXCEL模板\网友极力推荐的Excel模板1000例</v>
      </c>
      <c r="S3720" s="9">
        <v>43600.3821875</v>
      </c>
      <c r="T3720" s="9">
        <v>43390.5166898148</v>
      </c>
    </row>
    <row r="3721" spans="14:20">
      <c r="N3721" s="7" t="str">
        <f>HYPERLINK("E:\附赠：Excel模板\精美EXCEL模板\网友极力推荐的Excel模板1000例\房地产开发企业财务状况.xls","房地产开发企业财务状况.xls")</f>
        <v>房地产开发企业财务状况.xls</v>
      </c>
      <c r="Q3721">
        <v>0.02</v>
      </c>
      <c r="R3721" s="7" t="str">
        <f t="shared" si="73"/>
        <v>E:\附赠：Excel模板\精美EXCEL模板\网友极力推荐的Excel模板1000例</v>
      </c>
      <c r="S3721" s="9">
        <v>43600.3821875</v>
      </c>
      <c r="T3721" s="9">
        <v>43390.5166898148</v>
      </c>
    </row>
    <row r="3722" spans="14:20">
      <c r="N3722" s="7" t="str">
        <f>HYPERLINK("E:\附赠：Excel模板\精美EXCEL模板\网友极力推荐的Excel模板1000例\房屋占用费预算明细表.xls","房屋占用费预算明细表.xls")</f>
        <v>房屋占用费预算明细表.xls</v>
      </c>
      <c r="Q3722">
        <v>0.02</v>
      </c>
      <c r="R3722" s="7" t="str">
        <f t="shared" si="73"/>
        <v>E:\附赠：Excel模板\精美EXCEL模板\网友极力推荐的Excel模板1000例</v>
      </c>
      <c r="S3722" s="9">
        <v>43600.3821875</v>
      </c>
      <c r="T3722" s="9">
        <v>43390.5166898148</v>
      </c>
    </row>
    <row r="3723" spans="14:20">
      <c r="N3723" s="7" t="str">
        <f>HYPERLINK("E:\附赠：Excel模板\精美EXCEL模板\网友极力推荐的Excel模板1000例\房屋建筑物明细表.xls","房屋建筑物明细表.xls")</f>
        <v>房屋建筑物明细表.xls</v>
      </c>
      <c r="Q3723">
        <v>0.02</v>
      </c>
      <c r="R3723" s="7" t="str">
        <f t="shared" si="73"/>
        <v>E:\附赠：Excel模板\精美EXCEL模板\网友极力推荐的Excel模板1000例</v>
      </c>
      <c r="S3723" s="9">
        <v>43600.3821875</v>
      </c>
      <c r="T3723" s="9">
        <v>43390.5166898148</v>
      </c>
    </row>
    <row r="3724" spans="14:20">
      <c r="N3724" s="7" t="str">
        <f>HYPERLINK("E:\附赠：Excel模板\精美EXCEL模板\网友极力推荐的Excel模板1000例\房屋建筑物类固定资产调查表.xls","房屋建筑物类固定资产调查表.xls")</f>
        <v>房屋建筑物类固定资产调查表.xls</v>
      </c>
      <c r="Q3724">
        <v>0.02</v>
      </c>
      <c r="R3724" s="7" t="str">
        <f t="shared" si="73"/>
        <v>E:\附赠：Excel模板\精美EXCEL模板\网友极力推荐的Excel模板1000例</v>
      </c>
      <c r="S3724" s="9">
        <v>43600.3821875</v>
      </c>
      <c r="T3724" s="9">
        <v>43390.5166898148</v>
      </c>
    </row>
    <row r="3725" spans="14:20">
      <c r="N3725" s="7" t="str">
        <f>HYPERLINK("E:\附赠：Excel模板\精美EXCEL模板\网友极力推荐的Excel模板1000例\房屋权属登记情况.xls","房屋权属登记情况.xls")</f>
        <v>房屋权属登记情况.xls</v>
      </c>
      <c r="Q3725">
        <v>0.02</v>
      </c>
      <c r="R3725" s="7" t="str">
        <f t="shared" si="73"/>
        <v>E:\附赠：Excel模板\精美EXCEL模板\网友极力推荐的Excel模板1000例</v>
      </c>
      <c r="S3725" s="9">
        <v>43600.3821875</v>
      </c>
      <c r="T3725" s="9">
        <v>43390.5166898148</v>
      </c>
    </row>
    <row r="3726" spans="14:20">
      <c r="N3726" s="7" t="str">
        <f>HYPERLINK("E:\附赠：Excel模板\精美EXCEL模板\网友极力推荐的Excel模板1000例\房屋类资产情况明细表.xls","房屋类资产情况明细表.xls")</f>
        <v>房屋类资产情况明细表.xls</v>
      </c>
      <c r="Q3726">
        <v>0.02</v>
      </c>
      <c r="R3726" s="7" t="str">
        <f t="shared" si="73"/>
        <v>E:\附赠：Excel模板\精美EXCEL模板\网友极力推荐的Excel模板1000例</v>
      </c>
      <c r="S3726" s="9">
        <v>43600.3821875</v>
      </c>
      <c r="T3726" s="9">
        <v>43390.5166898148</v>
      </c>
    </row>
    <row r="3727" spans="14:20">
      <c r="N3727" s="7" t="str">
        <f>HYPERLINK("E:\附赠：Excel模板\精美EXCEL模板\网友极力推荐的Excel模板1000例\技改贷款财政贴息资金项目申请表.xls","技改贷款财政贴息资金项目申请表.xls")</f>
        <v>技改贷款财政贴息资金项目申请表.xls</v>
      </c>
      <c r="Q3727">
        <v>0.01</v>
      </c>
      <c r="R3727" s="7" t="str">
        <f t="shared" si="73"/>
        <v>E:\附赠：Excel模板\精美EXCEL模板\网友极力推荐的Excel模板1000例</v>
      </c>
      <c r="S3727" s="9">
        <v>43600.3821875</v>
      </c>
      <c r="T3727" s="9">
        <v>43390.5165277778</v>
      </c>
    </row>
    <row r="3728" spans="14:20">
      <c r="N3728" s="7" t="str">
        <f>HYPERLINK("E:\附赠：Excel模板\精美EXCEL模板\网友极力推荐的Excel模板1000例\技改项目完成投资财务清单.xls","技改项目完成投资财务清单.xls")</f>
        <v>技改项目完成投资财务清单.xls</v>
      </c>
      <c r="Q3728">
        <v>0.02</v>
      </c>
      <c r="R3728" s="7" t="str">
        <f t="shared" si="73"/>
        <v>E:\附赠：Excel模板\精美EXCEL模板\网友极力推荐的Excel模板1000例</v>
      </c>
      <c r="S3728" s="9">
        <v>43600.3821875</v>
      </c>
      <c r="T3728" s="9">
        <v>43390.5165277778</v>
      </c>
    </row>
    <row r="3729" spans="14:20">
      <c r="N3729" s="7" t="str">
        <f>HYPERLINK("E:\附赠：Excel模板\精美EXCEL模板\网友极力推荐的Excel模板1000例\技改项目财政挖潜资金申请表.xls","技改项目财政挖潜资金申请表.xls")</f>
        <v>技改项目财政挖潜资金申请表.xls</v>
      </c>
      <c r="Q3729">
        <v>0.02</v>
      </c>
      <c r="R3729" s="7" t="str">
        <f t="shared" si="73"/>
        <v>E:\附赠：Excel模板\精美EXCEL模板\网友极力推荐的Excel模板1000例</v>
      </c>
      <c r="S3729" s="9">
        <v>43600.3821875</v>
      </c>
      <c r="T3729" s="9">
        <v>43390.5165277778</v>
      </c>
    </row>
    <row r="3730" spans="14:20">
      <c r="N3730" s="7" t="str">
        <f>HYPERLINK("E:\附赠：Excel模板\精美EXCEL模板\网友极力推荐的Excel模板1000例\技术骨干工作经历及主要业绩简介.xls","技术骨干工作经历及主要业绩简介.xls")</f>
        <v>技术骨干工作经历及主要业绩简介.xls</v>
      </c>
      <c r="Q3730">
        <v>0.02</v>
      </c>
      <c r="R3730" s="7" t="str">
        <f t="shared" si="73"/>
        <v>E:\附赠：Excel模板\精美EXCEL模板\网友极力推荐的Excel模板1000例</v>
      </c>
      <c r="S3730" s="9">
        <v>43600.3821875</v>
      </c>
      <c r="T3730" s="9">
        <v>43390.5165277778</v>
      </c>
    </row>
    <row r="3731" spans="14:20">
      <c r="N3731" s="7" t="str">
        <f>HYPERLINK("E:\附赠：Excel模板\精美EXCEL模板\网友极力推荐的Excel模板1000例\投资储蓄型保险业务统计表.xls","投资储蓄型保险业务统计表.xls")</f>
        <v>投资储蓄型保险业务统计表.xls</v>
      </c>
      <c r="Q3731">
        <v>0.02</v>
      </c>
      <c r="R3731" s="7" t="str">
        <f t="shared" si="73"/>
        <v>E:\附赠：Excel模板\精美EXCEL模板\网友极力推荐的Excel模板1000例</v>
      </c>
      <c r="S3731" s="9">
        <v>43600.3821875</v>
      </c>
      <c r="T3731" s="9">
        <v>43390.5160416667</v>
      </c>
    </row>
    <row r="3732" spans="14:20">
      <c r="N3732" s="7" t="str">
        <f>HYPERLINK("E:\附赠：Excel模板\精美EXCEL模板\网友极力推荐的Excel模板1000例\投资报表.xls","投资报表.xls")</f>
        <v>投资报表.xls</v>
      </c>
      <c r="Q3732">
        <v>0.02</v>
      </c>
      <c r="R3732" s="7" t="str">
        <f t="shared" si="73"/>
        <v>E:\附赠：Excel模板\精美EXCEL模板\网友极力推荐的Excel模板1000例</v>
      </c>
      <c r="S3732" s="9">
        <v>43600.3821875</v>
      </c>
      <c r="T3732" s="9">
        <v>43390.5160416667</v>
      </c>
    </row>
    <row r="3733" spans="14:20">
      <c r="N3733" s="7" t="str">
        <f>HYPERLINK("E:\附赠：Excel模板\精美EXCEL模板\网友极力推荐的Excel模板1000例\投资收益分析表.xls","投资收益分析表.xls")</f>
        <v>投资收益分析表.xls</v>
      </c>
      <c r="Q3733">
        <v>0.02</v>
      </c>
      <c r="R3733" s="7" t="str">
        <f t="shared" si="73"/>
        <v>E:\附赠：Excel模板\精美EXCEL模板\网友极力推荐的Excel模板1000例</v>
      </c>
      <c r="S3733" s="9">
        <v>43600.3821875</v>
      </c>
      <c r="T3733" s="9">
        <v>43390.5160416667</v>
      </c>
    </row>
    <row r="3734" spans="14:20">
      <c r="N3734" s="7" t="str">
        <f>HYPERLINK("E:\附赠：Excel模板\精美EXCEL模板\网友极力推荐的Excel模板1000例\投资收益明细表.xls","投资收益明细表.xls")</f>
        <v>投资收益明细表.xls</v>
      </c>
      <c r="Q3734">
        <v>0.02</v>
      </c>
      <c r="R3734" s="7" t="str">
        <f t="shared" si="73"/>
        <v>E:\附赠：Excel模板\精美EXCEL模板\网友极力推荐的Excel模板1000例</v>
      </c>
      <c r="S3734" s="9">
        <v>43600.3821875</v>
      </c>
      <c r="T3734" s="9">
        <v>43390.5160185185</v>
      </c>
    </row>
    <row r="3735" spans="14:20">
      <c r="N3735" s="7" t="str">
        <f>HYPERLINK("E:\附赠：Excel模板\精美EXCEL模板\网友极力推荐的Excel模板1000例\投资收益预算表.xls","投资收益预算表.xls")</f>
        <v>投资收益预算表.xls</v>
      </c>
      <c r="Q3735">
        <v>0.02</v>
      </c>
      <c r="R3735" s="7" t="str">
        <f t="shared" si="73"/>
        <v>E:\附赠：Excel模板\精美EXCEL模板\网友极力推荐的Excel模板1000例</v>
      </c>
      <c r="S3735" s="9">
        <v>43600.3821875</v>
      </c>
      <c r="T3735" s="9">
        <v>43390.5160185185</v>
      </c>
    </row>
    <row r="3736" spans="14:20">
      <c r="N3736" s="7" t="str">
        <f>HYPERLINK("E:\附赠：Excel模板\精美EXCEL模板\网友极力推荐的Excel模板1000例\报价单.xls","报价单.xls")</f>
        <v>报价单.xls</v>
      </c>
      <c r="Q3736">
        <v>0.02</v>
      </c>
      <c r="R3736" s="7" t="str">
        <f t="shared" si="73"/>
        <v>E:\附赠：Excel模板\精美EXCEL模板\网友极力推荐的Excel模板1000例</v>
      </c>
      <c r="S3736" s="9">
        <v>43600.3821875</v>
      </c>
      <c r="T3736" s="9">
        <v>43390.5169212963</v>
      </c>
    </row>
    <row r="3737" spans="14:20">
      <c r="N3737" s="7" t="str">
        <f>HYPERLINK("E:\附赠：Excel模板\精美EXCEL模板\网友极力推荐的Excel模板1000例\报税明细表.xls","报税明细表.xls")</f>
        <v>报税明细表.xls</v>
      </c>
      <c r="Q3737">
        <v>0.03</v>
      </c>
      <c r="R3737" s="7" t="str">
        <f t="shared" si="73"/>
        <v>E:\附赠：Excel模板\精美EXCEL模板\网友极力推荐的Excel模板1000例</v>
      </c>
      <c r="S3737" s="9">
        <v>43600.3821875</v>
      </c>
      <c r="T3737" s="9">
        <v>43390.5169212963</v>
      </c>
    </row>
    <row r="3738" spans="14:20">
      <c r="N3738" s="7" t="str">
        <f>HYPERLINK("E:\附赠：Excel模板\精美EXCEL模板\网友极力推荐的Excel模板1000例\拆入(出)资金明细表.xls","拆入(出)资金明细表.xls")</f>
        <v>拆入(出)资金明细表.xls</v>
      </c>
      <c r="Q3738">
        <v>0.02</v>
      </c>
      <c r="R3738" s="7" t="str">
        <f t="shared" si="73"/>
        <v>E:\附赠：Excel模板\精美EXCEL模板\网友极力推荐的Excel模板1000例</v>
      </c>
      <c r="S3738" s="9">
        <v>43600.3821875</v>
      </c>
      <c r="T3738" s="9">
        <v>43390.5168287037</v>
      </c>
    </row>
    <row r="3739" spans="14:20">
      <c r="N3739" s="7" t="str">
        <f>HYPERLINK("E:\附赠：Excel模板\精美EXCEL模板\网友极力推荐的Excel模板1000例\招商引资项目卡片.xls","招商引资项目卡片.xls")</f>
        <v>招商引资项目卡片.xls</v>
      </c>
      <c r="Q3739">
        <v>0.02</v>
      </c>
      <c r="R3739" s="7" t="str">
        <f t="shared" si="73"/>
        <v>E:\附赠：Excel模板\精美EXCEL模板\网友极力推荐的Excel模板1000例</v>
      </c>
      <c r="S3739" s="9">
        <v>43600.3821875</v>
      </c>
      <c r="T3739" s="9">
        <v>43390.5157175926</v>
      </c>
    </row>
    <row r="3740" spans="14:20">
      <c r="N3740" s="7" t="str">
        <f>HYPERLINK("E:\附赠：Excel模板\精美EXCEL模板\网友极力推荐的Excel模板1000例\招录高校毕业生报名登记表.xls","招录高校毕业生报名登记表.xls")</f>
        <v>招录高校毕业生报名登记表.xls</v>
      </c>
      <c r="Q3740">
        <v>0.02</v>
      </c>
      <c r="R3740" s="7" t="str">
        <f t="shared" si="73"/>
        <v>E:\附赠：Excel模板\精美EXCEL模板\网友极力推荐的Excel模板1000例</v>
      </c>
      <c r="S3740" s="9">
        <v>43600.3821875</v>
      </c>
      <c r="T3740" s="9">
        <v>43390.5157175926</v>
      </c>
    </row>
    <row r="3741" spans="14:20">
      <c r="N3741" s="7" t="str">
        <f>HYPERLINK("E:\附赠：Excel模板\精美EXCEL模板\网友极力推荐的Excel模板1000例\招标代理机构基本情况表.xls","招标代理机构基本情况表.xls")</f>
        <v>招标代理机构基本情况表.xls</v>
      </c>
      <c r="Q3741">
        <v>0.02</v>
      </c>
      <c r="R3741" s="7" t="str">
        <f t="shared" si="73"/>
        <v>E:\附赠：Excel模板\精美EXCEL模板\网友极力推荐的Excel模板1000例</v>
      </c>
      <c r="S3741" s="9">
        <v>43600.3821875</v>
      </c>
      <c r="T3741" s="9">
        <v>43390.5157175926</v>
      </c>
    </row>
    <row r="3742" spans="14:20">
      <c r="N3742" s="7" t="str">
        <f>HYPERLINK("E:\附赠：Excel模板\精美EXCEL模板\网友极力推荐的Excel模板1000例\招聘岗位说明表.xls","招聘岗位说明表.xls")</f>
        <v>招聘岗位说明表.xls</v>
      </c>
      <c r="Q3742">
        <v>0.02</v>
      </c>
      <c r="R3742" s="7" t="str">
        <f t="shared" si="73"/>
        <v>E:\附赠：Excel模板\精美EXCEL模板\网友极力推荐的Excel模板1000例</v>
      </c>
      <c r="S3742" s="9">
        <v>43600.3821875</v>
      </c>
      <c r="T3742" s="9">
        <v>43390.5157175926</v>
      </c>
    </row>
    <row r="3743" spans="14:20">
      <c r="N3743" s="7" t="str">
        <f>HYPERLINK("E:\附赠：Excel模板\精美EXCEL模板\网友极力推荐的Excel模板1000例\拟保留开发区情况汇总表.xls","拟保留开发区情况汇总表.xls")</f>
        <v>拟保留开发区情况汇总表.xls</v>
      </c>
      <c r="Q3743">
        <v>0.12</v>
      </c>
      <c r="R3743" s="7" t="str">
        <f t="shared" si="73"/>
        <v>E:\附赠：Excel模板\精美EXCEL模板\网友极力推荐的Excel模板1000例</v>
      </c>
      <c r="S3743" s="9">
        <v>43600.3821875</v>
      </c>
      <c r="T3743" s="9">
        <v>43390.5163194444</v>
      </c>
    </row>
    <row r="3744" spans="14:20">
      <c r="N3744" s="7" t="str">
        <f>HYPERLINK("E:\附赠：Excel模板\精美EXCEL模板\网友极力推荐的Excel模板1000例\拨款拖欠的项目工程款调查汇总表.xls","拨款拖欠的项目工程款调查汇总表.xls")</f>
        <v>拨款拖欠的项目工程款调查汇总表.xls</v>
      </c>
      <c r="Q3744">
        <v>0.02</v>
      </c>
      <c r="R3744" s="7" t="str">
        <f t="shared" si="73"/>
        <v>E:\附赠：Excel模板\精美EXCEL模板\网友极力推荐的Excel模板1000例</v>
      </c>
      <c r="S3744" s="9">
        <v>43600.3821875</v>
      </c>
      <c r="T3744" s="9">
        <v>43390.5168981481</v>
      </c>
    </row>
    <row r="3745" spans="14:20">
      <c r="N3745" s="7" t="str">
        <f>HYPERLINK("E:\附赠：Excel模板\精美EXCEL模板\网友极力推荐的Excel模板1000例\按条件取数.xls","按条件取数.xls")</f>
        <v>按条件取数.xls</v>
      </c>
      <c r="Q3745">
        <v>0.05</v>
      </c>
      <c r="R3745" s="7" t="str">
        <f t="shared" si="73"/>
        <v>E:\附赠：Excel模板\精美EXCEL模板\网友极力推荐的Excel模板1000例</v>
      </c>
      <c r="S3745" s="9">
        <v>43600.3821875</v>
      </c>
      <c r="T3745" s="9">
        <v>43390.5169444444</v>
      </c>
    </row>
    <row r="3746" spans="14:20">
      <c r="N3746" s="7" t="str">
        <f>HYPERLINK("E:\附赠：Excel模板\精美EXCEL模板\网友极力推荐的Excel模板1000例\探矿权、采矿权出让情况.xls","探矿权、采矿权出让情况.xls")</f>
        <v>探矿权、采矿权出让情况.xls</v>
      </c>
      <c r="Q3746">
        <v>0.02</v>
      </c>
      <c r="R3746" s="7" t="str">
        <f t="shared" si="73"/>
        <v>E:\附赠：Excel模板\精美EXCEL模板\网友极力推荐的Excel模板1000例</v>
      </c>
      <c r="S3746" s="9">
        <v>43600.3821875</v>
      </c>
      <c r="T3746" s="9">
        <v>43390.5160416667</v>
      </c>
    </row>
    <row r="3747" spans="14:20">
      <c r="N3747" s="7" t="str">
        <f>HYPERLINK("E:\附赠：Excel模板\精美EXCEL模板\网友极力推荐的Excel模板1000例\支付离休人员工资明细表.xls","支付离休人员工资明细表.xls")</f>
        <v>支付离休人员工资明细表.xls</v>
      </c>
      <c r="Q3747">
        <v>0.02</v>
      </c>
      <c r="R3747" s="7" t="str">
        <f t="shared" si="73"/>
        <v>E:\附赠：Excel模板\精美EXCEL模板\网友极力推荐的Excel模板1000例</v>
      </c>
      <c r="S3747" s="9">
        <v>43600.3821875</v>
      </c>
      <c r="T3747" s="9">
        <v>43390.5156944444</v>
      </c>
    </row>
    <row r="3748" spans="14:20">
      <c r="N3748" s="7" t="str">
        <f>HYPERLINK("E:\附赠：Excel模板\精美EXCEL模板\网友极力推荐的Excel模板1000例\支出明细表.xls","支出明细表.xls")</f>
        <v>支出明细表.xls</v>
      </c>
      <c r="Q3748">
        <v>0.02</v>
      </c>
      <c r="R3748" s="7" t="str">
        <f t="shared" si="73"/>
        <v>E:\附赠：Excel模板\精美EXCEL模板\网友极力推荐的Excel模板1000例</v>
      </c>
      <c r="S3748" s="9">
        <v>43600.3821875</v>
      </c>
      <c r="T3748" s="9">
        <v>43390.5156944444</v>
      </c>
    </row>
    <row r="3749" spans="14:20">
      <c r="N3749" s="7" t="str">
        <f>HYPERLINK("E:\附赠：Excel模板\精美EXCEL模板\网友极力推荐的Excel模板1000例\支出项目明细表.xls","支出项目明细表.xls")</f>
        <v>支出项目明细表.xls</v>
      </c>
      <c r="Q3749">
        <v>0.06</v>
      </c>
      <c r="R3749" s="7" t="str">
        <f t="shared" si="73"/>
        <v>E:\附赠：Excel模板\精美EXCEL模板\网友极力推荐的Excel模板1000例</v>
      </c>
      <c r="S3749" s="9">
        <v>43600.3821875</v>
      </c>
      <c r="T3749" s="9">
        <v>43390.5156944444</v>
      </c>
    </row>
    <row r="3750" spans="14:20">
      <c r="N3750" s="7" t="str">
        <f>HYPERLINK("E:\附赠：Excel模板\精美EXCEL模板\网友极力推荐的Excel模板1000例\收付款单.xls","收付款单.xls")</f>
        <v>收付款单.xls</v>
      </c>
      <c r="Q3750">
        <v>0.02</v>
      </c>
      <c r="R3750" s="7" t="str">
        <f t="shared" si="73"/>
        <v>E:\附赠：Excel模板\精美EXCEL模板\网友极力推荐的Excel模板1000例</v>
      </c>
      <c r="S3750" s="9">
        <v>43600.3821875</v>
      </c>
      <c r="T3750" s="9">
        <v>43390.5160648148</v>
      </c>
    </row>
    <row r="3751" spans="14:20">
      <c r="N3751" s="7" t="str">
        <f>HYPERLINK("E:\附赠：Excel模板\精美EXCEL模板\网友极力推荐的Excel模板1000例\收入结构明细表.xls","收入结构明细表.xls")</f>
        <v>收入结构明细表.xls</v>
      </c>
      <c r="Q3751">
        <v>0.01</v>
      </c>
      <c r="R3751" s="7" t="str">
        <f t="shared" si="73"/>
        <v>E:\附赠：Excel模板\精美EXCEL模板\网友极力推荐的Excel模板1000例</v>
      </c>
      <c r="S3751" s="9">
        <v>43600.3821875</v>
      </c>
      <c r="T3751" s="9">
        <v>43390.5160648148</v>
      </c>
    </row>
    <row r="3752" spans="14:20">
      <c r="N3752" s="7" t="str">
        <f>HYPERLINK("E:\附赠：Excel模板\精美EXCEL模板\网友极力推荐的Excel模板1000例\收入项目预算表.xls","收入项目预算表.xls")</f>
        <v>收入项目预算表.xls</v>
      </c>
      <c r="Q3752">
        <v>0.02</v>
      </c>
      <c r="R3752" s="7" t="str">
        <f t="shared" si="73"/>
        <v>E:\附赠：Excel模板\精美EXCEL模板\网友极力推荐的Excel模板1000例</v>
      </c>
      <c r="S3752" s="9">
        <v>43600.3821875</v>
      </c>
      <c r="T3752" s="9">
        <v>43390.5160648148</v>
      </c>
    </row>
    <row r="3753" spans="14:20">
      <c r="N3753" s="7" t="str">
        <f>HYPERLINK("E:\附赠：Excel模板\精美EXCEL模板\网友极力推荐的Excel模板1000例\收支情况表.xls","收支情况表.xls")</f>
        <v>收支情况表.xls</v>
      </c>
      <c r="Q3753">
        <v>0.04</v>
      </c>
      <c r="R3753" s="7" t="str">
        <f t="shared" si="73"/>
        <v>E:\附赠：Excel模板\精美EXCEL模板\网友极力推荐的Excel模板1000例</v>
      </c>
      <c r="S3753" s="9">
        <v>43600.3821875</v>
      </c>
      <c r="T3753" s="9">
        <v>43390.5160648148</v>
      </c>
    </row>
    <row r="3754" spans="14:20">
      <c r="N3754" s="7" t="str">
        <f>HYPERLINK("E:\附赠：Excel模板\精美EXCEL模板\网友极力推荐的Excel模板1000例\收支月报表.xls","收支月报表.xls")</f>
        <v>收支月报表.xls</v>
      </c>
      <c r="Q3754">
        <v>0.02</v>
      </c>
      <c r="R3754" s="7" t="str">
        <f t="shared" si="73"/>
        <v>E:\附赠：Excel模板\精美EXCEL模板\网友极力推荐的Excel模板1000例</v>
      </c>
      <c r="S3754" s="9">
        <v>43600.3821875</v>
      </c>
      <c r="T3754" s="9">
        <v>43390.5160648148</v>
      </c>
    </row>
    <row r="3755" spans="14:20">
      <c r="N3755" s="7" t="str">
        <f>HYPERLINK("E:\附赠：Excel模板\精美EXCEL模板\网友极力推荐的Excel模板1000例\收支概况表.xls","收支概况表.xls")</f>
        <v>收支概况表.xls</v>
      </c>
      <c r="Q3755">
        <v>0.02</v>
      </c>
      <c r="R3755" s="7" t="str">
        <f t="shared" si="73"/>
        <v>E:\附赠：Excel模板\精美EXCEL模板\网友极力推荐的Excel模板1000例</v>
      </c>
      <c r="S3755" s="9">
        <v>43600.3821875</v>
      </c>
      <c r="T3755" s="9">
        <v>43390.5160648148</v>
      </c>
    </row>
    <row r="3756" spans="14:20">
      <c r="N3756" s="7" t="str">
        <f>HYPERLINK("E:\附赠：Excel模板\精美EXCEL模板\网友极力推荐的Excel模板1000例\政府采购商品调拨验收单.xls","政府采购商品调拨验收单.xls")</f>
        <v>政府采购商品调拨验收单.xls</v>
      </c>
      <c r="Q3756">
        <v>0.02</v>
      </c>
      <c r="R3756" s="7" t="str">
        <f t="shared" si="73"/>
        <v>E:\附赠：Excel模板\精美EXCEL模板\网友极力推荐的Excel模板1000例</v>
      </c>
      <c r="S3756" s="9">
        <v>43600.3821875</v>
      </c>
      <c r="T3756" s="9">
        <v>43390.5157175926</v>
      </c>
    </row>
    <row r="3757" spans="14:20">
      <c r="N3757" s="7" t="str">
        <f>HYPERLINK("E:\附赠：Excel模板\精美EXCEL模板\网友极力推荐的Excel模板1000例\政府采购执行计划表.xls","政府采购执行计划表.xls")</f>
        <v>政府采购执行计划表.xls</v>
      </c>
      <c r="Q3757">
        <v>0.02</v>
      </c>
      <c r="R3757" s="7" t="str">
        <f t="shared" si="73"/>
        <v>E:\附赠：Excel模板\精美EXCEL模板\网友极力推荐的Excel模板1000例</v>
      </c>
      <c r="S3757" s="9">
        <v>43600.3821875</v>
      </c>
      <c r="T3757" s="9">
        <v>43390.5156944444</v>
      </c>
    </row>
    <row r="3758" spans="14:20">
      <c r="N3758" s="7" t="str">
        <f>HYPERLINK("E:\附赠：Excel模板\精美EXCEL模板\网友极力推荐的Excel模板1000例\政府采购用款申请书.xls","政府采购用款申请书.xls")</f>
        <v>政府采购用款申请书.xls</v>
      </c>
      <c r="Q3758">
        <v>0.02</v>
      </c>
      <c r="R3758" s="7" t="str">
        <f t="shared" si="73"/>
        <v>E:\附赠：Excel模板\精美EXCEL模板\网友极力推荐的Excel模板1000例</v>
      </c>
      <c r="S3758" s="9">
        <v>43600.3821875</v>
      </c>
      <c r="T3758" s="9">
        <v>43390.5156944444</v>
      </c>
    </row>
    <row r="3759" spans="14:20">
      <c r="N3759" s="7" t="str">
        <f>HYPERLINK("E:\附赠：Excel模板\精美EXCEL模板\网友极力推荐的Excel模板1000例\政府采购申请表.xls","政府采购申请表.xls")</f>
        <v>政府采购申请表.xls</v>
      </c>
      <c r="Q3759">
        <v>0.02</v>
      </c>
      <c r="R3759" s="7" t="str">
        <f t="shared" si="73"/>
        <v>E:\附赠：Excel模板\精美EXCEL模板\网友极力推荐的Excel模板1000例</v>
      </c>
      <c r="S3759" s="9">
        <v>43600.3821875</v>
      </c>
      <c r="T3759" s="9">
        <v>43390.5156944444</v>
      </c>
    </row>
    <row r="3760" spans="14:20">
      <c r="N3760" s="7" t="str">
        <f>HYPERLINK("E:\附赠：Excel模板\精美EXCEL模板\网友极力推荐的Excel模板1000例\政府采购立项表.xls","政府采购立项表.xls")</f>
        <v>政府采购立项表.xls</v>
      </c>
      <c r="Q3760">
        <v>0.02</v>
      </c>
      <c r="R3760" s="7" t="str">
        <f t="shared" si="73"/>
        <v>E:\附赠：Excel模板\精美EXCEL模板\网友极力推荐的Excel模板1000例</v>
      </c>
      <c r="S3760" s="9">
        <v>43600.3821875</v>
      </c>
      <c r="T3760" s="9">
        <v>43390.5157175926</v>
      </c>
    </row>
    <row r="3761" spans="14:20">
      <c r="N3761" s="7" t="str">
        <f>HYPERLINK("E:\附赠：Excel模板\精美EXCEL模板\网友极力推荐的Excel模板1000例\政府采购计划批复表.xls","政府采购计划批复表.xls")</f>
        <v>政府采购计划批复表.xls</v>
      </c>
      <c r="Q3761">
        <v>0.02</v>
      </c>
      <c r="R3761" s="7" t="str">
        <f t="shared" si="73"/>
        <v>E:\附赠：Excel模板\精美EXCEL模板\网友极力推荐的Excel模板1000例</v>
      </c>
      <c r="S3761" s="9">
        <v>43600.3821875</v>
      </c>
      <c r="T3761" s="9">
        <v>43390.5157175926</v>
      </c>
    </row>
    <row r="3762" spans="14:20">
      <c r="N3762" s="7" t="str">
        <f>HYPERLINK("E:\附赠：Excel模板\精美EXCEL模板\网友极力推荐的Excel模板1000例\政府采购评审专家登记表.xls","政府采购评审专家登记表.xls")</f>
        <v>政府采购评审专家登记表.xls</v>
      </c>
      <c r="Q3762">
        <v>0.02</v>
      </c>
      <c r="R3762" s="7" t="str">
        <f t="shared" si="73"/>
        <v>E:\附赠：Excel模板\精美EXCEL模板\网友极力推荐的Excel模板1000例</v>
      </c>
      <c r="S3762" s="9">
        <v>43600.3821875</v>
      </c>
      <c r="T3762" s="9">
        <v>43390.5157175926</v>
      </c>
    </row>
    <row r="3763" spans="14:20">
      <c r="N3763" s="7" t="str">
        <f>HYPERLINK("E:\附赠：Excel模板\精美EXCEL模板\网友极力推荐的Excel模板1000例\政府采购预算表.xls","政府采购预算表.xls")</f>
        <v>政府采购预算表.xls</v>
      </c>
      <c r="Q3763">
        <v>0.02</v>
      </c>
      <c r="R3763" s="7" t="str">
        <f t="shared" si="73"/>
        <v>E:\附赠：Excel模板\精美EXCEL模板\网友极力推荐的Excel模板1000例</v>
      </c>
      <c r="S3763" s="9">
        <v>43600.3821875</v>
      </c>
      <c r="T3763" s="9">
        <v>43390.5156944444</v>
      </c>
    </row>
    <row r="3764" spans="14:20">
      <c r="N3764" s="7" t="str">
        <f>HYPERLINK("E:\附赠：Excel模板\精美EXCEL模板\网友极力推荐的Excel模板1000例\政府预算收入科目.xls","政府预算收入科目.xls")</f>
        <v>政府预算收入科目.xls</v>
      </c>
      <c r="Q3764">
        <v>0.03</v>
      </c>
      <c r="R3764" s="7" t="str">
        <f t="shared" si="73"/>
        <v>E:\附赠：Excel模板\精美EXCEL模板\网友极力推荐的Excel模板1000例</v>
      </c>
      <c r="S3764" s="9">
        <v>43600.3821875</v>
      </c>
      <c r="T3764" s="9">
        <v>43390.5156944444</v>
      </c>
    </row>
    <row r="3765" spans="14:20">
      <c r="N3765" s="7" t="str">
        <f>HYPERLINK("E:\附赠：Excel模板\精美EXCEL模板\网友极力推荐的Excel模板1000例\教学内容设置更改申请单.xls","教学内容设置更改申请单.xls")</f>
        <v>教学内容设置更改申请单.xls</v>
      </c>
      <c r="Q3765">
        <v>0.02</v>
      </c>
      <c r="R3765" s="7" t="str">
        <f t="shared" si="73"/>
        <v>E:\附赠：Excel模板\精美EXCEL模板\网友极力推荐的Excel模板1000例</v>
      </c>
      <c r="S3765" s="9">
        <v>43600.3821875</v>
      </c>
      <c r="T3765" s="9">
        <v>43390.5164583333</v>
      </c>
    </row>
    <row r="3766" spans="14:20">
      <c r="N3766" s="7" t="str">
        <f>HYPERLINK("E:\附赠：Excel模板\精美EXCEL模板\网友极力推荐的Excel模板1000例\教学安排.xls","教学安排.xls")</f>
        <v>教学安排.xls</v>
      </c>
      <c r="Q3766">
        <v>0.07</v>
      </c>
      <c r="R3766" s="7" t="str">
        <f t="shared" si="73"/>
        <v>E:\附赠：Excel模板\精美EXCEL模板\网友极力推荐的Excel模板1000例</v>
      </c>
      <c r="S3766" s="9">
        <v>43600.3821875</v>
      </c>
      <c r="T3766" s="9">
        <v>43390.5164814815</v>
      </c>
    </row>
    <row r="3767" spans="14:20">
      <c r="N3767" s="7" t="str">
        <f>HYPERLINK("E:\附赠：Excel模板\精美EXCEL模板\网友极力推荐的Excel模板1000例\教学服务中心分组名单.xls","教学服务中心分组名单.xls")</f>
        <v>教学服务中心分组名单.xls</v>
      </c>
      <c r="Q3767">
        <v>0.02</v>
      </c>
      <c r="R3767" s="7" t="str">
        <f t="shared" si="73"/>
        <v>E:\附赠：Excel模板\精美EXCEL模板\网友极力推荐的Excel模板1000例</v>
      </c>
      <c r="S3767" s="9">
        <v>43600.3821875</v>
      </c>
      <c r="T3767" s="9">
        <v>43390.5164814815</v>
      </c>
    </row>
    <row r="3768" spans="14:20">
      <c r="N3768" s="7" t="str">
        <f>HYPERLINK("E:\附赠：Excel模板\精美EXCEL模板\网友极力推荐的Excel模板1000例\教学研究与改革课题及成果一览表.xls","教学研究与改革课题及成果一览表.xls")</f>
        <v>教学研究与改革课题及成果一览表.xls</v>
      </c>
      <c r="Q3768">
        <v>0.02</v>
      </c>
      <c r="R3768" s="7" t="str">
        <f t="shared" si="73"/>
        <v>E:\附赠：Excel模板\精美EXCEL模板\网友极力推荐的Excel模板1000例</v>
      </c>
      <c r="S3768" s="9">
        <v>43600.3821875</v>
      </c>
      <c r="T3768" s="9">
        <v>43390.5164583333</v>
      </c>
    </row>
    <row r="3769" spans="14:20">
      <c r="N3769" s="7" t="str">
        <f>HYPERLINK("E:\附赠：Excel模板\精美EXCEL模板\网友极力推荐的Excel模板1000例\教学研究论文一览表.xls","教学研究论文一览表.xls")</f>
        <v>教学研究论文一览表.xls</v>
      </c>
      <c r="Q3769">
        <v>0.02</v>
      </c>
      <c r="R3769" s="7" t="str">
        <f t="shared" si="73"/>
        <v>E:\附赠：Excel模板\精美EXCEL模板\网友极力推荐的Excel模板1000例</v>
      </c>
      <c r="S3769" s="9">
        <v>43600.3821875</v>
      </c>
      <c r="T3769" s="9">
        <v>43390.5164583333</v>
      </c>
    </row>
    <row r="3770" spans="14:20">
      <c r="N3770" s="7" t="str">
        <f>HYPERLINK("E:\附赠：Excel模板\精美EXCEL模板\网友极力推荐的Excel模板1000例\教学管理及其改革的研究与实践课题成果一览表.xls","教学管理及其改革的研究与实践课题成果一览表.xls")</f>
        <v>教学管理及其改革的研究与实践课题成果一览表.xls</v>
      </c>
      <c r="Q3770">
        <v>0.02</v>
      </c>
      <c r="R3770" s="7" t="str">
        <f t="shared" si="73"/>
        <v>E:\附赠：Excel模板\精美EXCEL模板\网友极力推荐的Excel模板1000例</v>
      </c>
      <c r="S3770" s="9">
        <v>43600.3821875</v>
      </c>
      <c r="T3770" s="9">
        <v>43390.5164583333</v>
      </c>
    </row>
    <row r="3771" spans="14:20">
      <c r="N3771" s="7" t="str">
        <f>HYPERLINK("E:\附赠：Excel模板\精美EXCEL模板\网友极力推荐的Excel模板1000例\教学管理用办公现代化设备清单.xls","教学管理用办公现代化设备清单.xls")</f>
        <v>教学管理用办公现代化设备清单.xls</v>
      </c>
      <c r="Q3771">
        <v>0.02</v>
      </c>
      <c r="R3771" s="7" t="str">
        <f t="shared" si="73"/>
        <v>E:\附赠：Excel模板\精美EXCEL模板\网友极力推荐的Excel模板1000例</v>
      </c>
      <c r="S3771" s="9">
        <v>43600.3821875</v>
      </c>
      <c r="T3771" s="9">
        <v>43390.5164583333</v>
      </c>
    </row>
    <row r="3772" spans="14:20">
      <c r="N3772" s="7" t="str">
        <f>HYPERLINK("E:\附赠：Excel模板\精美EXCEL模板\网友极力推荐的Excel模板1000例\教学管理队伍一览表.xls","教学管理队伍一览表.xls")</f>
        <v>教学管理队伍一览表.xls</v>
      </c>
      <c r="Q3772">
        <v>0.02</v>
      </c>
      <c r="R3772" s="7" t="str">
        <f t="shared" si="73"/>
        <v>E:\附赠：Excel模板\精美EXCEL模板\网友极力推荐的Excel模板1000例</v>
      </c>
      <c r="S3772" s="9">
        <v>43600.3821875</v>
      </c>
      <c r="T3772" s="9">
        <v>43390.5164814815</v>
      </c>
    </row>
    <row r="3773" spans="14:20">
      <c r="N3773" s="7" t="str">
        <f>HYPERLINK("E:\附赠：Excel模板\精美EXCEL模板\网友极力推荐的Excel模板1000例\教学管理队伍结构分析表.xls","教学管理队伍结构分析表.xls")</f>
        <v>教学管理队伍结构分析表.xls</v>
      </c>
      <c r="Q3773">
        <v>0.02</v>
      </c>
      <c r="R3773" s="7" t="str">
        <f t="shared" si="73"/>
        <v>E:\附赠：Excel模板\精美EXCEL模板\网友极力推荐的Excel模板1000例</v>
      </c>
      <c r="S3773" s="9">
        <v>43600.3821875</v>
      </c>
      <c r="T3773" s="9">
        <v>43390.5164814815</v>
      </c>
    </row>
    <row r="3774" spans="14:20">
      <c r="N3774" s="7" t="str">
        <f>HYPERLINK("E:\附赠：Excel模板\精美EXCEL模板\网友极力推荐的Excel模板1000例\教学进度表.xls","教学进度表.xls")</f>
        <v>教学进度表.xls</v>
      </c>
      <c r="Q3774">
        <v>0.02</v>
      </c>
      <c r="R3774" s="7" t="str">
        <f t="shared" si="73"/>
        <v>E:\附赠：Excel模板\精美EXCEL模板\网友极力推荐的Excel模板1000例</v>
      </c>
      <c r="S3774" s="9">
        <v>43600.3821875</v>
      </c>
      <c r="T3774" s="9">
        <v>43390.5164583333</v>
      </c>
    </row>
    <row r="3775" spans="14:20">
      <c r="N3775" s="7" t="str">
        <f>HYPERLINK("E:\附赠：Excel模板\精美EXCEL模板\网友极力推荐的Excel模板1000例\教师名册.xls","教师名册.xls")</f>
        <v>教师名册.xls</v>
      </c>
      <c r="Q3775">
        <v>0.02</v>
      </c>
      <c r="R3775" s="7" t="str">
        <f t="shared" si="73"/>
        <v>E:\附赠：Excel模板\精美EXCEL模板\网友极力推荐的Excel模板1000例</v>
      </c>
      <c r="S3775" s="9">
        <v>43600.3821875</v>
      </c>
      <c r="T3775" s="9">
        <v>43390.5164814815</v>
      </c>
    </row>
    <row r="3776" spans="14:20">
      <c r="N3776" s="7" t="str">
        <f>HYPERLINK("E:\附赠：Excel模板\精美EXCEL模板\网友极力推荐的Excel模板1000例\教师承担双语教学情况统计表.xls","教师承担双语教学情况统计表.xls")</f>
        <v>教师承担双语教学情况统计表.xls</v>
      </c>
      <c r="Q3776">
        <v>0.02</v>
      </c>
      <c r="R3776" s="7" t="str">
        <f t="shared" si="73"/>
        <v>E:\附赠：Excel模板\精美EXCEL模板\网友极力推荐的Excel模板1000例</v>
      </c>
      <c r="S3776" s="9">
        <v>43600.3821875</v>
      </c>
      <c r="T3776" s="9">
        <v>43390.5164814815</v>
      </c>
    </row>
    <row r="3777" spans="14:20">
      <c r="N3777" s="7" t="str">
        <f>HYPERLINK("E:\附赠：Excel模板\精美EXCEL模板\网友极力推荐的Excel模板1000例\教师教学、科研成果获省部级以上奖励情况统计表.xls","教师教学、科研成果获省部级以上奖励情况统计表.xls")</f>
        <v>教师教学、科研成果获省部级以上奖励情况统计表.xls</v>
      </c>
      <c r="Q3777">
        <v>0.02</v>
      </c>
      <c r="R3777" s="7" t="str">
        <f t="shared" si="73"/>
        <v>E:\附赠：Excel模板\精美EXCEL模板\网友极力推荐的Excel模板1000例</v>
      </c>
      <c r="S3777" s="9">
        <v>43600.3821875</v>
      </c>
      <c r="T3777" s="9">
        <v>43390.5164814815</v>
      </c>
    </row>
    <row r="3778" spans="14:20">
      <c r="N3778" s="7" t="str">
        <f>HYPERLINK("E:\附赠：Excel模板\精美EXCEL模板\网友极力推荐的Excel模板1000例\教师教学事故情况统计表.xls","教师教学事故情况统计表.xls")</f>
        <v>教师教学事故情况统计表.xls</v>
      </c>
      <c r="Q3778">
        <v>0.02</v>
      </c>
      <c r="R3778" s="7" t="str">
        <f t="shared" ref="R3778:R3841" si="74">HYPERLINK("E:\附赠：Excel模板\精美EXCEL模板\网友极力推荐的Excel模板1000例","E:\附赠：Excel模板\精美EXCEL模板\网友极力推荐的Excel模板1000例")</f>
        <v>E:\附赠：Excel模板\精美EXCEL模板\网友极力推荐的Excel模板1000例</v>
      </c>
      <c r="S3778" s="9">
        <v>43600.3821875</v>
      </c>
      <c r="T3778" s="9">
        <v>43390.5164814815</v>
      </c>
    </row>
    <row r="3779" spans="14:20">
      <c r="N3779" s="7" t="str">
        <f>HYPERLINK("E:\附赠：Excel模板\精美EXCEL模板\网友极力推荐的Excel模板1000例\教师获各类教学奖情况统计表.xls","教师获各类教学奖情况统计表.xls")</f>
        <v>教师获各类教学奖情况统计表.xls</v>
      </c>
      <c r="Q3779">
        <v>0.02</v>
      </c>
      <c r="R3779" s="7" t="str">
        <f t="shared" si="74"/>
        <v>E:\附赠：Excel模板\精美EXCEL模板\网友极力推荐的Excel模板1000例</v>
      </c>
      <c r="S3779" s="9">
        <v>43600.3821875</v>
      </c>
      <c r="T3779" s="9">
        <v>43390.5164814815</v>
      </c>
    </row>
    <row r="3780" spans="14:20">
      <c r="N3780" s="7" t="str">
        <f>HYPERLINK("E:\附赠：Excel模板\精美EXCEL模板\网友极力推荐的Excel模板1000例\教科文事业经费收支情况表.xls","教科文事业经费收支情况表.xls")</f>
        <v>教科文事业经费收支情况表.xls</v>
      </c>
      <c r="Q3780">
        <v>0.02</v>
      </c>
      <c r="R3780" s="7" t="str">
        <f t="shared" si="74"/>
        <v>E:\附赠：Excel模板\精美EXCEL模板\网友极力推荐的Excel模板1000例</v>
      </c>
      <c r="S3780" s="9">
        <v>43600.3821875</v>
      </c>
      <c r="T3780" s="9">
        <v>43390.5164814815</v>
      </c>
    </row>
    <row r="3781" spans="14:20">
      <c r="N3781" s="7" t="str">
        <f>HYPERLINK("E:\附赠：Excel模板\精美EXCEL模板\网友极力推荐的Excel模板1000例\数值积分.xls","数值积分.xls")</f>
        <v>数值积分.xls</v>
      </c>
      <c r="Q3781">
        <v>0.02</v>
      </c>
      <c r="R3781" s="7" t="str">
        <f t="shared" si="74"/>
        <v>E:\附赠：Excel模板\精美EXCEL模板\网友极力推荐的Excel模板1000例</v>
      </c>
      <c r="S3781" s="9">
        <v>43600.3821875</v>
      </c>
      <c r="T3781" s="9">
        <v>43390.5160416667</v>
      </c>
    </row>
    <row r="3782" spans="14:20">
      <c r="N3782" s="7" t="str">
        <f>HYPERLINK("E:\附赠：Excel模板\精美EXCEL模板\网友极力推荐的Excel模板1000例\数据结构- 灾后评估信息.xls","数据结构- 灾后评估信息.xls")</f>
        <v>数据结构- 灾后评估信息.xls</v>
      </c>
      <c r="Q3782">
        <v>0.02</v>
      </c>
      <c r="R3782" s="7" t="str">
        <f t="shared" si="74"/>
        <v>E:\附赠：Excel模板\精美EXCEL模板\网友极力推荐的Excel模板1000例</v>
      </c>
      <c r="S3782" s="9">
        <v>43600.3821875</v>
      </c>
      <c r="T3782" s="9">
        <v>43390.5160648148</v>
      </c>
    </row>
    <row r="3783" spans="14:20">
      <c r="N3783" s="7" t="str">
        <f>HYPERLINK("E:\附赠：Excel模板\精美EXCEL模板\网友极力推荐的Excel模板1000例\数据结构- 道路桥梁信息.xls","数据结构- 道路桥梁信息.xls")</f>
        <v>数据结构- 道路桥梁信息.xls</v>
      </c>
      <c r="Q3783">
        <v>0.02</v>
      </c>
      <c r="R3783" s="7" t="str">
        <f t="shared" si="74"/>
        <v>E:\附赠：Excel模板\精美EXCEL模板\网友极力推荐的Excel模板1000例</v>
      </c>
      <c r="S3783" s="9">
        <v>43600.3821875</v>
      </c>
      <c r="T3783" s="9">
        <v>43390.5160648148</v>
      </c>
    </row>
    <row r="3784" spans="14:20">
      <c r="N3784" s="7" t="str">
        <f>HYPERLINK("E:\附赠：Excel模板\精美EXCEL模板\网友极力推荐的Excel模板1000例\数据结构-卫星影像信息.xls","数据结构-卫星影像信息.xls")</f>
        <v>数据结构-卫星影像信息.xls</v>
      </c>
      <c r="Q3784">
        <v>0.02</v>
      </c>
      <c r="R3784" s="7" t="str">
        <f t="shared" si="74"/>
        <v>E:\附赠：Excel模板\精美EXCEL模板\网友极力推荐的Excel模板1000例</v>
      </c>
      <c r="S3784" s="9">
        <v>43600.3821875</v>
      </c>
      <c r="T3784" s="9">
        <v>43390.5160416667</v>
      </c>
    </row>
    <row r="3785" spans="14:20">
      <c r="N3785" s="7" t="str">
        <f>HYPERLINK("E:\附赠：Excel模板\精美EXCEL模板\网友极力推荐的Excel模板1000例\数据结构-地貌与地物信息.xls","数据结构-地貌与地物信息.xls")</f>
        <v>数据结构-地貌与地物信息.xls</v>
      </c>
      <c r="Q3785">
        <v>0.02</v>
      </c>
      <c r="R3785" s="7" t="str">
        <f t="shared" si="74"/>
        <v>E:\附赠：Excel模板\精美EXCEL模板\网友极力推荐的Excel模板1000例</v>
      </c>
      <c r="S3785" s="9">
        <v>43600.3821875</v>
      </c>
      <c r="T3785" s="9">
        <v>43390.5160648148</v>
      </c>
    </row>
    <row r="3786" spans="14:20">
      <c r="N3786" s="7" t="str">
        <f>HYPERLINK("E:\附赠：Excel模板\精美EXCEL模板\网友极力推荐的Excel模板1000例\数据结构-森林资源调查信息.xls","数据结构-森林资源调查信息.xls")</f>
        <v>数据结构-森林资源调查信息.xls</v>
      </c>
      <c r="Q3786">
        <v>0.04</v>
      </c>
      <c r="R3786" s="7" t="str">
        <f t="shared" si="74"/>
        <v>E:\附赠：Excel模板\精美EXCEL模板\网友极力推荐的Excel模板1000例</v>
      </c>
      <c r="S3786" s="9">
        <v>43600.3821875</v>
      </c>
      <c r="T3786" s="9">
        <v>43390.5160416667</v>
      </c>
    </row>
    <row r="3787" spans="14:20">
      <c r="N3787" s="7" t="str">
        <f>HYPERLINK("E:\附赠：Excel模板\精美EXCEL模板\网友极力推荐的Excel模板1000例\数据结构-火灾预警信息.xls","数据结构-火灾预警信息.xls")</f>
        <v>数据结构-火灾预警信息.xls</v>
      </c>
      <c r="Q3787">
        <v>0.02</v>
      </c>
      <c r="R3787" s="7" t="str">
        <f t="shared" si="74"/>
        <v>E:\附赠：Excel模板\精美EXCEL模板\网友极力推荐的Excel模板1000例</v>
      </c>
      <c r="S3787" s="9">
        <v>43600.3821875</v>
      </c>
      <c r="T3787" s="9">
        <v>43390.5160416667</v>
      </c>
    </row>
    <row r="3788" spans="14:20">
      <c r="N3788" s="7" t="str">
        <f>HYPERLINK("E:\附赠：Excel模板\精美EXCEL模板\网友极力推荐的Excel模板1000例\数据结构-社会经济信息.xls","数据结构-社会经济信息.xls")</f>
        <v>数据结构-社会经济信息.xls</v>
      </c>
      <c r="Q3788">
        <v>0.02</v>
      </c>
      <c r="R3788" s="7" t="str">
        <f t="shared" si="74"/>
        <v>E:\附赠：Excel模板\精美EXCEL模板\网友极力推荐的Excel模板1000例</v>
      </c>
      <c r="S3788" s="9">
        <v>43600.3821875</v>
      </c>
      <c r="T3788" s="9">
        <v>43390.5160648148</v>
      </c>
    </row>
    <row r="3789" spans="14:20">
      <c r="N3789" s="7" t="str">
        <f>HYPERLINK("E:\附赠：Excel模板\精美EXCEL模板\网友极力推荐的Excel模板1000例\数据结构-系统用户管理信息.xls","数据结构-系统用户管理信息.xls")</f>
        <v>数据结构-系统用户管理信息.xls</v>
      </c>
      <c r="Q3789">
        <v>0.02</v>
      </c>
      <c r="R3789" s="7" t="str">
        <f t="shared" si="74"/>
        <v>E:\附赠：Excel模板\精美EXCEL模板\网友极力推荐的Excel模板1000例</v>
      </c>
      <c r="S3789" s="9">
        <v>43600.3821875</v>
      </c>
      <c r="T3789" s="9">
        <v>43390.5160416667</v>
      </c>
    </row>
    <row r="3790" spans="14:20">
      <c r="N3790" s="7" t="str">
        <f>HYPERLINK("E:\附赠：Excel模板\精美EXCEL模板\网友极力推荐的Excel模板1000例\数据结构-行政区划信息.xls","数据结构-行政区划信息.xls")</f>
        <v>数据结构-行政区划信息.xls</v>
      </c>
      <c r="Q3790">
        <v>0.02</v>
      </c>
      <c r="R3790" s="7" t="str">
        <f t="shared" si="74"/>
        <v>E:\附赠：Excel模板\精美EXCEL模板\网友极力推荐的Excel模板1000例</v>
      </c>
      <c r="S3790" s="9">
        <v>43600.3821875</v>
      </c>
      <c r="T3790" s="9">
        <v>43390.5160416667</v>
      </c>
    </row>
    <row r="3791" spans="14:20">
      <c r="N3791" s="7" t="str">
        <f>HYPERLINK("E:\附赠：Excel模板\精美EXCEL模板\网友极力推荐的Excel模板1000例\文艺活動成果統計.xls","文艺活動成果統計.xls")</f>
        <v>文艺活動成果統計.xls</v>
      </c>
      <c r="Q3791">
        <v>0.02</v>
      </c>
      <c r="R3791" s="7" t="str">
        <f t="shared" si="74"/>
        <v>E:\附赠：Excel模板\精美EXCEL模板\网友极力推荐的Excel模板1000例</v>
      </c>
      <c r="S3791" s="9">
        <v>43600.3821875</v>
      </c>
      <c r="T3791" s="9">
        <v>43390.5159953704</v>
      </c>
    </row>
    <row r="3792" spans="14:20">
      <c r="N3792" s="7" t="str">
        <f>HYPERLINK("E:\附赠：Excel模板\精美EXCEL模板\网友极力推荐的Excel模板1000例\新型农村合作医疗制度情况表.xls","新型农村合作医疗制度情况表.xls")</f>
        <v>新型农村合作医疗制度情况表.xls</v>
      </c>
      <c r="Q3792">
        <v>0.02</v>
      </c>
      <c r="R3792" s="7" t="str">
        <f t="shared" si="74"/>
        <v>E:\附赠：Excel模板\精美EXCEL模板\网友极力推荐的Excel模板1000例</v>
      </c>
      <c r="S3792" s="9">
        <v>43600.3821875</v>
      </c>
      <c r="T3792" s="9">
        <v>43390.5159027778</v>
      </c>
    </row>
    <row r="3793" spans="14:20">
      <c r="N3793" s="7" t="str">
        <f>HYPERLINK("E:\附赠：Excel模板\精美EXCEL模板\网友极力推荐的Excel模板1000例\新型农村合作医疗制度扩大试点情况表.xls","新型农村合作医疗制度扩大试点情况表.xls")</f>
        <v>新型农村合作医疗制度扩大试点情况表.xls</v>
      </c>
      <c r="Q3793">
        <v>0.02</v>
      </c>
      <c r="R3793" s="7" t="str">
        <f t="shared" si="74"/>
        <v>E:\附赠：Excel模板\精美EXCEL模板\网友极力推荐的Excel模板1000例</v>
      </c>
      <c r="S3793" s="9">
        <v>43600.3821875</v>
      </c>
      <c r="T3793" s="9">
        <v>43390.5159259259</v>
      </c>
    </row>
    <row r="3794" spans="14:20">
      <c r="N3794" s="7" t="str">
        <f>HYPERLINK("E:\附赠：Excel模板\精美EXCEL模板\网友极力推荐的Excel模板1000例\新增旅游产业直接就业人数情况.xls","新增旅游产业直接就业人数情况.xls")</f>
        <v>新增旅游产业直接就业人数情况.xls</v>
      </c>
      <c r="Q3794">
        <v>0.02</v>
      </c>
      <c r="R3794" s="7" t="str">
        <f t="shared" si="74"/>
        <v>E:\附赠：Excel模板\精美EXCEL模板\网友极力推荐的Excel模板1000例</v>
      </c>
      <c r="S3794" s="9">
        <v>43600.3821875</v>
      </c>
      <c r="T3794" s="9">
        <v>43390.5159259259</v>
      </c>
    </row>
    <row r="3795" spans="14:20">
      <c r="N3795" s="7" t="str">
        <f>HYPERLINK("E:\附赠：Excel模板\精美EXCEL模板\网友极力推荐的Excel模板1000例\新增生产能力主要统计指标年报.xls","新增生产能力主要统计指标年报.xls")</f>
        <v>新增生产能力主要统计指标年报.xls</v>
      </c>
      <c r="Q3795">
        <v>0.02</v>
      </c>
      <c r="R3795" s="7" t="str">
        <f t="shared" si="74"/>
        <v>E:\附赠：Excel模板\精美EXCEL模板\网友极力推荐的Excel模板1000例</v>
      </c>
      <c r="S3795" s="9">
        <v>43600.3821875</v>
      </c>
      <c r="T3795" s="9">
        <v>43390.5159027778</v>
      </c>
    </row>
    <row r="3796" spans="14:20">
      <c r="N3796" s="7" t="str">
        <f>HYPERLINK("E:\附赠：Excel模板\精美EXCEL模板\网友极力推荐的Excel模板1000例\新進人員起薪表.xls","新進人員起薪表.xls")</f>
        <v>新進人員起薪表.xls</v>
      </c>
      <c r="Q3796">
        <v>0.08</v>
      </c>
      <c r="R3796" s="7" t="str">
        <f t="shared" si="74"/>
        <v>E:\附赠：Excel模板\精美EXCEL模板\网友极力推荐的Excel模板1000例</v>
      </c>
      <c r="S3796" s="9">
        <v>43600.3821875</v>
      </c>
      <c r="T3796" s="9">
        <v>43390.5159027778</v>
      </c>
    </row>
    <row r="3797" spans="14:20">
      <c r="N3797" s="7" t="str">
        <f>HYPERLINK("E:\附赠：Excel模板\精美EXCEL模板\网友极力推荐的Excel模板1000例\施工企业补充指标表.xls","施工企业补充指标表.xls")</f>
        <v>施工企业补充指标表.xls</v>
      </c>
      <c r="Q3797">
        <v>0.02</v>
      </c>
      <c r="R3797" s="7" t="str">
        <f t="shared" si="74"/>
        <v>E:\附赠：Excel模板\精美EXCEL模板\网友极力推荐的Excel模板1000例</v>
      </c>
      <c r="S3797" s="9">
        <v>43600.3821875</v>
      </c>
      <c r="T3797" s="9">
        <v>43390.5161342593</v>
      </c>
    </row>
    <row r="3798" spans="14:20">
      <c r="N3798" s="7" t="str">
        <f>HYPERLINK("E:\附赠：Excel模板\精美EXCEL模板\网友极力推荐的Excel模板1000例\旅游业统计表.xls","旅游业统计表.xls")</f>
        <v>旅游业统计表.xls</v>
      </c>
      <c r="Q3798">
        <v>0.02</v>
      </c>
      <c r="R3798" s="7" t="str">
        <f t="shared" si="74"/>
        <v>E:\附赠：Excel模板\精美EXCEL模板\网友极力推荐的Excel模板1000例</v>
      </c>
      <c r="S3798" s="9">
        <v>43600.3821875</v>
      </c>
      <c r="T3798" s="9">
        <v>43390.5163425926</v>
      </c>
    </row>
    <row r="3799" spans="14:20">
      <c r="N3799" s="7" t="str">
        <f>HYPERLINK("E:\附赠：Excel模板\精美EXCEL模板\网友极力推荐的Excel模板1000例\旅游企业经营情况指标基层月报表.xls","旅游企业经营情况指标基层月报表.xls")</f>
        <v>旅游企业经营情况指标基层月报表.xls</v>
      </c>
      <c r="Q3799">
        <v>0.02</v>
      </c>
      <c r="R3799" s="7" t="str">
        <f t="shared" si="74"/>
        <v>E:\附赠：Excel模板\精美EXCEL模板\网友极力推荐的Excel模板1000例</v>
      </c>
      <c r="S3799" s="9">
        <v>43600.3821875</v>
      </c>
      <c r="T3799" s="9">
        <v>43390.5163425926</v>
      </c>
    </row>
    <row r="3800" spans="14:20">
      <c r="N3800" s="7" t="str">
        <f>HYPERLINK("E:\附赠：Excel模板\精美EXCEL模板\网友极力推荐的Excel模板1000例\旅游企业补充指标表.xls","旅游企业补充指标表.xls")</f>
        <v>旅游企业补充指标表.xls</v>
      </c>
      <c r="Q3800">
        <v>0.02</v>
      </c>
      <c r="R3800" s="7" t="str">
        <f t="shared" si="74"/>
        <v>E:\附赠：Excel模板\精美EXCEL模板\网友极力推荐的Excel模板1000例</v>
      </c>
      <c r="S3800" s="9">
        <v>43600.3821875</v>
      </c>
      <c r="T3800" s="9">
        <v>43390.5163425926</v>
      </c>
    </row>
    <row r="3801" spans="14:20">
      <c r="N3801" s="7" t="str">
        <f>HYPERLINK("E:\附赠：Excel模板\精美EXCEL模板\网友极力推荐的Excel模板1000例\旅游住宿旅游设施接待情况.xls","旅游住宿旅游设施接待情况.xls")</f>
        <v>旅游住宿旅游设施接待情况.xls</v>
      </c>
      <c r="Q3801">
        <v>0.02</v>
      </c>
      <c r="R3801" s="7" t="str">
        <f t="shared" si="74"/>
        <v>E:\附赠：Excel模板\精美EXCEL模板\网友极力推荐的Excel模板1000例</v>
      </c>
      <c r="S3801" s="9">
        <v>43600.3821875</v>
      </c>
      <c r="T3801" s="9">
        <v>43390.5163425926</v>
      </c>
    </row>
    <row r="3802" spans="14:20">
      <c r="N3802" s="7" t="str">
        <f>HYPERLINK("E:\附赠：Excel模板\精美EXCEL模板\网友极力推荐的Excel模板1000例\旅游区(点)环境质量测评表.xls","旅游区(点)环境质量测评表.xls")</f>
        <v>旅游区(点)环境质量测评表.xls</v>
      </c>
      <c r="Q3802">
        <v>0.02</v>
      </c>
      <c r="R3802" s="7" t="str">
        <f t="shared" si="74"/>
        <v>E:\附赠：Excel模板\精美EXCEL模板\网友极力推荐的Excel模板1000例</v>
      </c>
      <c r="S3802" s="9">
        <v>43600.3821875</v>
      </c>
      <c r="T3802" s="9">
        <v>43390.5163425926</v>
      </c>
    </row>
    <row r="3803" spans="14:20">
      <c r="N3803" s="7" t="str">
        <f>HYPERLINK("E:\附赠：Excel模板\精美EXCEL模板\网友极力推荐的Excel模板1000例\旅游区游客调查表.xls","旅游区游客调查表.xls")</f>
        <v>旅游区游客调查表.xls</v>
      </c>
      <c r="Q3803">
        <v>0.1</v>
      </c>
      <c r="R3803" s="7" t="str">
        <f t="shared" si="74"/>
        <v>E:\附赠：Excel模板\精美EXCEL模板\网友极力推荐的Excel模板1000例</v>
      </c>
      <c r="S3803" s="9">
        <v>43600.3821875</v>
      </c>
      <c r="T3803" s="9">
        <v>43390.5163425926</v>
      </c>
    </row>
    <row r="3804" spans="14:20">
      <c r="N3804" s="7" t="str">
        <f>HYPERLINK("E:\附赠：Excel模板\精美EXCEL模板\网友极力推荐的Excel模板1000例\旅游区（点）经营情况基层表.xls","旅游区（点）经营情况基层表.xls")</f>
        <v>旅游区（点）经营情况基层表.xls</v>
      </c>
      <c r="Q3804">
        <v>0.02</v>
      </c>
      <c r="R3804" s="7" t="str">
        <f t="shared" si="74"/>
        <v>E:\附赠：Excel模板\精美EXCEL模板\网友极力推荐的Excel模板1000例</v>
      </c>
      <c r="S3804" s="9">
        <v>43600.3821875</v>
      </c>
      <c r="T3804" s="9">
        <v>43390.5163425926</v>
      </c>
    </row>
    <row r="3805" spans="14:20">
      <c r="N3805" s="7" t="str">
        <f>HYPERLINK("E:\附赠：Excel模板\精美EXCEL模板\网友极力推荐的Excel模板1000例\旅游单位基本情况.xls","旅游单位基本情况.xls")</f>
        <v>旅游单位基本情况.xls</v>
      </c>
      <c r="Q3805">
        <v>0.02</v>
      </c>
      <c r="R3805" s="7" t="str">
        <f t="shared" si="74"/>
        <v>E:\附赠：Excel模板\精美EXCEL模板\网友极力推荐的Excel模板1000例</v>
      </c>
      <c r="S3805" s="9">
        <v>43600.3821875</v>
      </c>
      <c r="T3805" s="9">
        <v>43390.5163425926</v>
      </c>
    </row>
    <row r="3806" spans="14:20">
      <c r="N3806" s="7" t="str">
        <f>HYPERLINK("E:\附赠：Excel模板\精美EXCEL模板\网友极力推荐的Excel模板1000例\旅游客运中心有限公司资金预算计划表.xls","旅游客运中心有限公司资金预算计划表.xls")</f>
        <v>旅游客运中心有限公司资金预算计划表.xls</v>
      </c>
      <c r="Q3806">
        <v>0.02</v>
      </c>
      <c r="R3806" s="7" t="str">
        <f t="shared" si="74"/>
        <v>E:\附赠：Excel模板\精美EXCEL模板\网友极力推荐的Excel模板1000例</v>
      </c>
      <c r="S3806" s="9">
        <v>43600.3821875</v>
      </c>
      <c r="T3806" s="9">
        <v>43390.5163425926</v>
      </c>
    </row>
    <row r="3807" spans="14:20">
      <c r="N3807" s="7" t="str">
        <f>HYPERLINK("E:\附赠：Excel模板\精美EXCEL模板\网友极力推荐的Excel模板1000例\旅游报名详细清单.xls","旅游报名详细清单.xls")</f>
        <v>旅游报名详细清单.xls</v>
      </c>
      <c r="Q3807">
        <v>0.02</v>
      </c>
      <c r="R3807" s="7" t="str">
        <f t="shared" si="74"/>
        <v>E:\附赠：Excel模板\精美EXCEL模板\网友极力推荐的Excel模板1000例</v>
      </c>
      <c r="S3807" s="9">
        <v>43600.3821875</v>
      </c>
      <c r="T3807" s="9">
        <v>43390.5163425926</v>
      </c>
    </row>
    <row r="3808" spans="14:20">
      <c r="N3808" s="7" t="str">
        <f>HYPERLINK("E:\附赠：Excel模板\精美EXCEL模板\网友极力推荐的Excel模板1000例\旅游接待户通讯录.xls","旅游接待户通讯录.xls")</f>
        <v>旅游接待户通讯录.xls</v>
      </c>
      <c r="Q3808">
        <v>0.02</v>
      </c>
      <c r="R3808" s="7" t="str">
        <f t="shared" si="74"/>
        <v>E:\附赠：Excel模板\精美EXCEL模板\网友极力推荐的Excel模板1000例</v>
      </c>
      <c r="S3808" s="9">
        <v>43600.3821875</v>
      </c>
      <c r="T3808" s="9">
        <v>43390.5163425926</v>
      </c>
    </row>
    <row r="3809" spans="14:20">
      <c r="N3809" s="7" t="str">
        <f>HYPERLINK("E:\附赠：Excel模板\精美EXCEL模板\网友极力推荐的Excel模板1000例\旅游服务网络问卷调查.xls","旅游服务网络问卷调查.xls")</f>
        <v>旅游服务网络问卷调查.xls</v>
      </c>
      <c r="Q3809">
        <v>0.02</v>
      </c>
      <c r="R3809" s="7" t="str">
        <f t="shared" si="74"/>
        <v>E:\附赠：Excel模板\精美EXCEL模板\网友极力推荐的Excel模板1000例</v>
      </c>
      <c r="S3809" s="9">
        <v>43600.3821875</v>
      </c>
      <c r="T3809" s="9">
        <v>43390.5163425926</v>
      </c>
    </row>
    <row r="3810" spans="14:20">
      <c r="N3810" s="7" t="str">
        <f>HYPERLINK("E:\附赠：Excel模板\精美EXCEL模板\网友极力推荐的Excel模板1000例\旅游活动出行确认表.xls","旅游活动出行确认表.xls")</f>
        <v>旅游活动出行确认表.xls</v>
      </c>
      <c r="Q3810">
        <v>0.02</v>
      </c>
      <c r="R3810" s="7" t="str">
        <f t="shared" si="74"/>
        <v>E:\附赠：Excel模板\精美EXCEL模板\网友极力推荐的Excel模板1000例</v>
      </c>
      <c r="S3810" s="9">
        <v>43600.3821875</v>
      </c>
      <c r="T3810" s="9">
        <v>43390.5163425926</v>
      </c>
    </row>
    <row r="3811" spans="14:20">
      <c r="N3811" s="7" t="str">
        <f>HYPERLINK("E:\附赠：Excel模板\精美EXCEL模板\网友极力推荐的Excel模板1000例\旅游精华日程表.xls","旅游精华日程表.xls")</f>
        <v>旅游精华日程表.xls</v>
      </c>
      <c r="Q3811">
        <v>0.02</v>
      </c>
      <c r="R3811" s="7" t="str">
        <f t="shared" si="74"/>
        <v>E:\附赠：Excel模板\精美EXCEL模板\网友极力推荐的Excel模板1000例</v>
      </c>
      <c r="S3811" s="9">
        <v>43600.3821875</v>
      </c>
      <c r="T3811" s="9">
        <v>43390.5163425926</v>
      </c>
    </row>
    <row r="3812" spans="14:20">
      <c r="N3812" s="7" t="str">
        <f>HYPERLINK("E:\附赠：Excel模板\精美EXCEL模板\网友极力推荐的Excel模板1000例\旅游超市预订系统申请表.xls","旅游超市预订系统申请表.xls")</f>
        <v>旅游超市预订系统申请表.xls</v>
      </c>
      <c r="Q3812">
        <v>0.02</v>
      </c>
      <c r="R3812" s="7" t="str">
        <f t="shared" si="74"/>
        <v>E:\附赠：Excel模板\精美EXCEL模板\网友极力推荐的Excel模板1000例</v>
      </c>
      <c r="S3812" s="9">
        <v>43600.3821875</v>
      </c>
      <c r="T3812" s="9">
        <v>43390.5163425926</v>
      </c>
    </row>
    <row r="3813" spans="14:20">
      <c r="N3813" s="7" t="str">
        <f>HYPERLINK("E:\附赠：Excel模板\精美EXCEL模板\网友极力推荐的Excel模板1000例\旅行社业务年检通告.xls","旅行社业务年检通告.xls")</f>
        <v>旅行社业务年检通告.xls</v>
      </c>
      <c r="Q3813">
        <v>0.02</v>
      </c>
      <c r="R3813" s="7" t="str">
        <f t="shared" si="74"/>
        <v>E:\附赠：Excel模板\精美EXCEL模板\网友极力推荐的Excel模板1000例</v>
      </c>
      <c r="S3813" s="9">
        <v>43600.3821875</v>
      </c>
      <c r="T3813" s="9">
        <v>43390.5163657407</v>
      </c>
    </row>
    <row r="3814" spans="14:20">
      <c r="N3814" s="7" t="str">
        <f>HYPERLINK("E:\附赠：Excel模板\精美EXCEL模板\网友极力推荐的Excel模板1000例\旅行社基本情况.xls","旅行社基本情况.xls")</f>
        <v>旅行社基本情况.xls</v>
      </c>
      <c r="Q3814">
        <v>0.02</v>
      </c>
      <c r="R3814" s="7" t="str">
        <f t="shared" si="74"/>
        <v>E:\附赠：Excel模板\精美EXCEL模板\网友极力推荐的Excel模板1000例</v>
      </c>
      <c r="S3814" s="9">
        <v>43600.3821875</v>
      </c>
      <c r="T3814" s="9">
        <v>43390.5163657407</v>
      </c>
    </row>
    <row r="3815" spans="14:20">
      <c r="N3815" s="7" t="str">
        <f>HYPERLINK("E:\附赠：Excel模板\精美EXCEL模板\网友极力推荐的Excel模板1000例\旅行社外联和接待情况.xls","旅行社外联和接待情况.xls")</f>
        <v>旅行社外联和接待情况.xls</v>
      </c>
      <c r="Q3815">
        <v>0.02</v>
      </c>
      <c r="R3815" s="7" t="str">
        <f t="shared" si="74"/>
        <v>E:\附赠：Excel模板\精美EXCEL模板\网友极力推荐的Excel模板1000例</v>
      </c>
      <c r="S3815" s="9">
        <v>43600.3821875</v>
      </c>
      <c r="T3815" s="9">
        <v>43390.5163657407</v>
      </c>
    </row>
    <row r="3816" spans="14:20">
      <c r="N3816" s="7" t="str">
        <f>HYPERLINK("E:\附赠：Excel模板\精美EXCEL模板\网友极力推荐的Excel模板1000例\旅行社接待国内旅游者情况基层报表.xls","旅行社接待国内旅游者情况基层报表.xls")</f>
        <v>旅行社接待国内旅游者情况基层报表.xls</v>
      </c>
      <c r="Q3816">
        <v>0.02</v>
      </c>
      <c r="R3816" s="7" t="str">
        <f t="shared" si="74"/>
        <v>E:\附赠：Excel模板\精美EXCEL模板\网友极力推荐的Excel模板1000例</v>
      </c>
      <c r="S3816" s="9">
        <v>43600.3821875</v>
      </c>
      <c r="T3816" s="9">
        <v>43390.5163657407</v>
      </c>
    </row>
    <row r="3817" spans="14:20">
      <c r="N3817" s="7" t="str">
        <f>HYPERLINK("E:\附赠：Excel模板\精美EXCEL模板\网友极力推荐的Excel模板1000例\旅行社组团出境旅游情况基层报表.xls","旅行社组团出境旅游情况基层报表.xls")</f>
        <v>旅行社组团出境旅游情况基层报表.xls</v>
      </c>
      <c r="Q3817">
        <v>0.02</v>
      </c>
      <c r="R3817" s="7" t="str">
        <f t="shared" si="74"/>
        <v>E:\附赠：Excel模板\精美EXCEL模板\网友极力推荐的Excel模板1000例</v>
      </c>
      <c r="S3817" s="9">
        <v>43600.3821875</v>
      </c>
      <c r="T3817" s="9">
        <v>43390.5163657407</v>
      </c>
    </row>
    <row r="3818" spans="14:20">
      <c r="N3818" s="7" t="str">
        <f>HYPERLINK("E:\附赠：Excel模板\精美EXCEL模板\网友极力推荐的Excel模板1000例\旅行社经营情况.xls","旅行社经营情况.xls")</f>
        <v>旅行社经营情况.xls</v>
      </c>
      <c r="Q3818">
        <v>0.02</v>
      </c>
      <c r="R3818" s="7" t="str">
        <f t="shared" si="74"/>
        <v>E:\附赠：Excel模板\精美EXCEL模板\网友极力推荐的Excel模板1000例</v>
      </c>
      <c r="S3818" s="9">
        <v>43600.3821875</v>
      </c>
      <c r="T3818" s="9">
        <v>43390.5163657407</v>
      </c>
    </row>
    <row r="3819" spans="14:20">
      <c r="N3819" s="7" t="str">
        <f>HYPERLINK("E:\附赠：Excel模板\精美EXCEL模板\网友极力推荐的Excel模板1000例\旅行社预订上、下午统计分析表.xls","旅行社预订上、下午统计分析表.xls")</f>
        <v>旅行社预订上、下午统计分析表.xls</v>
      </c>
      <c r="Q3819">
        <v>0.03</v>
      </c>
      <c r="R3819" s="7" t="str">
        <f t="shared" si="74"/>
        <v>E:\附赠：Excel模板\精美EXCEL模板\网友极力推荐的Excel模板1000例</v>
      </c>
      <c r="S3819" s="9">
        <v>43600.3821875</v>
      </c>
      <c r="T3819" s="9">
        <v>43390.5163657407</v>
      </c>
    </row>
    <row r="3820" spans="14:20">
      <c r="N3820" s="7" t="str">
        <f>HYPERLINK("E:\附赠：Excel模板\精美EXCEL模板\网友极力推荐的Excel模板1000例\旅行行程价目表.xls","旅行行程价目表.xls")</f>
        <v>旅行行程价目表.xls</v>
      </c>
      <c r="Q3820">
        <v>0.02</v>
      </c>
      <c r="R3820" s="7" t="str">
        <f t="shared" si="74"/>
        <v>E:\附赠：Excel模板\精美EXCEL模板\网友极力推荐的Excel模板1000例</v>
      </c>
      <c r="S3820" s="9">
        <v>43600.3821875</v>
      </c>
      <c r="T3820" s="9">
        <v>43390.5163425926</v>
      </c>
    </row>
    <row r="3821" spans="14:20">
      <c r="N3821" s="7" t="str">
        <f>HYPERLINK("E:\附赠：Excel模板\精美EXCEL模板\网友极力推荐的Excel模板1000例\无公害农产品基地创建县基本情况表.xls","无公害农产品基地创建县基本情况表.xls")</f>
        <v>无公害农产品基地创建县基本情况表.xls</v>
      </c>
      <c r="Q3821">
        <v>0.02</v>
      </c>
      <c r="R3821" s="7" t="str">
        <f t="shared" si="74"/>
        <v>E:\附赠：Excel模板\精美EXCEL模板\网友极力推荐的Excel模板1000例</v>
      </c>
      <c r="S3821" s="9">
        <v>43600.3821875</v>
      </c>
      <c r="T3821" s="9">
        <v>43390.5159953704</v>
      </c>
    </row>
    <row r="3822" spans="14:20">
      <c r="N3822" s="7" t="str">
        <f>HYPERLINK("E:\附赠：Excel模板\精美EXCEL模板\网友极力推荐的Excel模板1000例\无形资产、长期待摊费用明细表.xls","无形资产、长期待摊费用明细表.xls")</f>
        <v>无形资产、长期待摊费用明细表.xls</v>
      </c>
      <c r="Q3822">
        <v>0.02</v>
      </c>
      <c r="R3822" s="7" t="str">
        <f t="shared" si="74"/>
        <v>E:\附赠：Excel模板\精美EXCEL模板\网友极力推荐的Excel模板1000例</v>
      </c>
      <c r="S3822" s="9">
        <v>43600.3821875</v>
      </c>
      <c r="T3822" s="9">
        <v>43390.5159953704</v>
      </c>
    </row>
    <row r="3823" spans="14:20">
      <c r="N3823" s="7" t="str">
        <f>HYPERLINK("E:\附赠：Excel模板\精美EXCEL模板\网友极力推荐的Excel模板1000例\旧版票据购领、使用和缴销情况表.xls","旧版票据购领、使用和缴销情况表.xls")</f>
        <v>旧版票据购领、使用和缴销情况表.xls</v>
      </c>
      <c r="Q3823">
        <v>0.02</v>
      </c>
      <c r="R3823" s="7" t="str">
        <f t="shared" si="74"/>
        <v>E:\附赠：Excel模板\精美EXCEL模板\网友极力推荐的Excel模板1000例</v>
      </c>
      <c r="S3823" s="9">
        <v>43600.3821875</v>
      </c>
      <c r="T3823" s="9">
        <v>43390.516412037</v>
      </c>
    </row>
    <row r="3824" spans="14:20">
      <c r="N3824" s="7" t="str">
        <f>HYPERLINK("E:\附赠：Excel模板\精美EXCEL模板\网友极力推荐的Excel模板1000例\晋升职称人员增加工资发放表.xls","晋升职称人员增加工资发放表.xls")</f>
        <v>晋升职称人员增加工资发放表.xls</v>
      </c>
      <c r="Q3824">
        <v>0.25</v>
      </c>
      <c r="R3824" s="7" t="str">
        <f t="shared" si="74"/>
        <v>E:\附赠：Excel模板\精美EXCEL模板\网友极力推荐的Excel模板1000例</v>
      </c>
      <c r="S3824" s="9">
        <v>43600.3821875</v>
      </c>
      <c r="T3824" s="9">
        <v>43390.5164351852</v>
      </c>
    </row>
    <row r="3825" spans="14:20">
      <c r="N3825" s="7" t="str">
        <f>HYPERLINK("E:\附赠：Excel模板\精美EXCEL模板\网友极力推荐的Excel模板1000例\普通（限价）商品住房现房其它套型中选准购对象名单.xls","普通（限价）商品住房现房其它套型中选准购对象名单.xls")</f>
        <v>普通（限价）商品住房现房其它套型中选准购对象名单.xls</v>
      </c>
      <c r="Q3825">
        <v>0.05</v>
      </c>
      <c r="R3825" s="7" t="str">
        <f t="shared" si="74"/>
        <v>E:\附赠：Excel模板\精美EXCEL模板\网友极力推荐的Excel模板1000例</v>
      </c>
      <c r="S3825" s="9">
        <v>43600.3821875</v>
      </c>
      <c r="T3825" s="9">
        <v>43390.51625</v>
      </c>
    </row>
    <row r="3826" spans="14:20">
      <c r="N3826" s="7" t="str">
        <f>HYPERLINK("E:\附赠：Excel模板\精美EXCEL模板\网友极力推荐的Excel模板1000例\景点火车票价表.xls","景点火车票价表.xls")</f>
        <v>景点火车票价表.xls</v>
      </c>
      <c r="Q3826">
        <v>0.02</v>
      </c>
      <c r="R3826" s="7" t="str">
        <f t="shared" si="74"/>
        <v>E:\附赠：Excel模板\精美EXCEL模板\网友极力推荐的Excel模板1000例</v>
      </c>
      <c r="S3826" s="9">
        <v>43600.3821875</v>
      </c>
      <c r="T3826" s="9">
        <v>43390.5164583333</v>
      </c>
    </row>
    <row r="3827" spans="14:20">
      <c r="N3827" s="7" t="str">
        <f>HYPERLINK("E:\附赠：Excel模板\精美EXCEL模板\网友极力推荐的Excel模板1000例\有关教学计划和人才培养模式研究的课题及成果.xls","有关教学计划和人才培养模式研究的课题及成果.xls")</f>
        <v>有关教学计划和人才培养模式研究的课题及成果.xls</v>
      </c>
      <c r="Q3827">
        <v>0.02</v>
      </c>
      <c r="R3827" s="7" t="str">
        <f t="shared" si="74"/>
        <v>E:\附赠：Excel模板\精美EXCEL模板\网友极力推荐的Excel模板1000例</v>
      </c>
      <c r="S3827" s="9">
        <v>43600.3821875</v>
      </c>
      <c r="T3827" s="9">
        <v>43390.5157638889</v>
      </c>
    </row>
    <row r="3828" spans="14:20">
      <c r="N3828" s="7" t="str">
        <f>HYPERLINK("E:\附赠：Excel模板\精美EXCEL模板\网友极力推荐的Excel模板1000例\有限公司招聘要求表.xls","有限公司招聘要求表.xls")</f>
        <v>有限公司招聘要求表.xls</v>
      </c>
      <c r="Q3828">
        <v>0.02</v>
      </c>
      <c r="R3828" s="7" t="str">
        <f t="shared" si="74"/>
        <v>E:\附赠：Excel模板\精美EXCEL模板\网友极力推荐的Excel模板1000例</v>
      </c>
      <c r="S3828" s="9">
        <v>43600.3821875</v>
      </c>
      <c r="T3828" s="9">
        <v>43390.5157407407</v>
      </c>
    </row>
    <row r="3829" spans="14:20">
      <c r="N3829" s="7" t="str">
        <f>HYPERLINK("E:\附赠：Excel模板\精美EXCEL模板\网友极力推荐的Excel模板1000例\有限公司见习单位见习岗位汇总.xls","有限公司见习单位见习岗位汇总.xls")</f>
        <v>有限公司见习单位见习岗位汇总.xls</v>
      </c>
      <c r="Q3829">
        <v>0.03</v>
      </c>
      <c r="R3829" s="7" t="str">
        <f t="shared" si="74"/>
        <v>E:\附赠：Excel模板\精美EXCEL模板\网友极力推荐的Excel模板1000例</v>
      </c>
      <c r="S3829" s="9">
        <v>43600.3821875</v>
      </c>
      <c r="T3829" s="9">
        <v>43390.5157407407</v>
      </c>
    </row>
    <row r="3830" spans="14:20">
      <c r="N3830" s="7" t="str">
        <f>HYPERLINK("E:\附赠：Excel模板\精美EXCEL模板\网友极力推荐的Excel模板1000例\期间费用分析表.xls","期间费用分析表.xls")</f>
        <v>期间费用分析表.xls</v>
      </c>
      <c r="Q3830">
        <v>0.02</v>
      </c>
      <c r="R3830" s="7" t="str">
        <f t="shared" si="74"/>
        <v>E:\附赠：Excel模板\精美EXCEL模板\网友极力推荐的Excel模板1000例</v>
      </c>
      <c r="S3830" s="9">
        <v>43600.3821875</v>
      </c>
      <c r="T3830" s="9">
        <v>43390.5162731481</v>
      </c>
    </row>
    <row r="3831" spans="14:20">
      <c r="N3831" s="7" t="str">
        <f>HYPERLINK("E:\附赠：Excel模板\精美EXCEL模板\网友极力推荐的Excel模板1000例\期间费用实绩预算对照表.xls","期间费用实绩预算对照表.xls")</f>
        <v>期间费用实绩预算对照表.xls</v>
      </c>
      <c r="Q3831">
        <v>0.02</v>
      </c>
      <c r="R3831" s="7" t="str">
        <f t="shared" si="74"/>
        <v>E:\附赠：Excel模板\精美EXCEL模板\网友极力推荐的Excel模板1000例</v>
      </c>
      <c r="S3831" s="9">
        <v>43600.3821875</v>
      </c>
      <c r="T3831" s="9">
        <v>43390.5162731481</v>
      </c>
    </row>
    <row r="3832" spans="14:20">
      <c r="N3832" s="7" t="str">
        <f>HYPERLINK("E:\附赠：Excel模板\精美EXCEL模板\网友极力推荐的Excel模板1000例\未聘人员分流安置情况调查表.xls","未聘人员分流安置情况调查表.xls")</f>
        <v>未聘人员分流安置情况调查表.xls</v>
      </c>
      <c r="Q3832">
        <v>0.02</v>
      </c>
      <c r="R3832" s="7" t="str">
        <f t="shared" si="74"/>
        <v>E:\附赠：Excel模板\精美EXCEL模板\网友极力推荐的Excel模板1000例</v>
      </c>
      <c r="S3832" s="9">
        <v>43600.3821875</v>
      </c>
      <c r="T3832" s="9">
        <v>43390.5159953704</v>
      </c>
    </row>
    <row r="3833" spans="14:20">
      <c r="N3833" s="7" t="str">
        <f>HYPERLINK("E:\附赠：Excel模板\精美EXCEL模板\网友极力推荐的Excel模板1000例\本科专业设置一览表.xls","本科专业设置一览表.xls")</f>
        <v>本科专业设置一览表.xls</v>
      </c>
      <c r="Q3833">
        <v>0.02</v>
      </c>
      <c r="R3833" s="7" t="str">
        <f t="shared" si="74"/>
        <v>E:\附赠：Excel模板\精美EXCEL模板\网友极力推荐的Excel模板1000例</v>
      </c>
      <c r="S3833" s="9">
        <v>43600.3821875</v>
      </c>
      <c r="T3833" s="9">
        <v>43390.5169212963</v>
      </c>
    </row>
    <row r="3834" spans="14:20">
      <c r="N3834" s="7" t="str">
        <f>HYPERLINK("E:\附赠：Excel模板\精美EXCEL模板\网友极力推荐的Excel模板1000例\本科毕业实习地点意向调查表.xls","本科毕业实习地点意向调查表.xls")</f>
        <v>本科毕业实习地点意向调查表.xls</v>
      </c>
      <c r="Q3834">
        <v>0.13</v>
      </c>
      <c r="R3834" s="7" t="str">
        <f t="shared" si="74"/>
        <v>E:\附赠：Excel模板\精美EXCEL模板\网友极力推荐的Excel模板1000例</v>
      </c>
      <c r="S3834" s="9">
        <v>43600.3821875</v>
      </c>
      <c r="T3834" s="9">
        <v>43390.5169212963</v>
      </c>
    </row>
    <row r="3835" spans="14:20">
      <c r="N3835" s="7" t="str">
        <f>HYPERLINK("E:\附赠：Excel模板\精美EXCEL模板\网友极力推荐的Excel模板1000例\机关、事业单位离退休人员待遇情况统计表.xls","机关、事业单位离退休人员待遇情况统计表.xls")</f>
        <v>机关、事业单位离退休人员待遇情况统计表.xls</v>
      </c>
      <c r="Q3835">
        <v>0.02</v>
      </c>
      <c r="R3835" s="7" t="str">
        <f t="shared" si="74"/>
        <v>E:\附赠：Excel模板\精美EXCEL模板\网友极力推荐的Excel模板1000例</v>
      </c>
      <c r="S3835" s="9">
        <v>43600.3821875</v>
      </c>
      <c r="T3835" s="9">
        <v>43390.5165509259</v>
      </c>
    </row>
    <row r="3836" spans="14:20">
      <c r="N3836" s="7" t="str">
        <f>HYPERLINK("E:\附赠：Excel模板\精美EXCEL模板\网友极力推荐的Excel模板1000例\机关事业单位在岗职工人数变动情况.xls","机关事业单位在岗职工人数变动情况.xls")</f>
        <v>机关事业单位在岗职工人数变动情况.xls</v>
      </c>
      <c r="Q3836">
        <v>0.02</v>
      </c>
      <c r="R3836" s="7" t="str">
        <f t="shared" si="74"/>
        <v>E:\附赠：Excel模板\精美EXCEL模板\网友极力推荐的Excel模板1000例</v>
      </c>
      <c r="S3836" s="9">
        <v>43600.3821875</v>
      </c>
      <c r="T3836" s="9">
        <v>43390.5165509259</v>
      </c>
    </row>
    <row r="3837" spans="14:20">
      <c r="N3837" s="7" t="str">
        <f>HYPERLINK("E:\附赠：Excel模板\精美EXCEL模板\网友极力推荐的Excel模板1000例\机关事业单位工作人员增发岗位津贴花名册.xls","机关事业单位工作人员增发岗位津贴花名册.xls")</f>
        <v>机关事业单位工作人员增发岗位津贴花名册.xls</v>
      </c>
      <c r="Q3837">
        <v>0.02</v>
      </c>
      <c r="R3837" s="7" t="str">
        <f t="shared" si="74"/>
        <v>E:\附赠：Excel模板\精美EXCEL模板\网友极力推荐的Excel模板1000例</v>
      </c>
      <c r="S3837" s="9">
        <v>43600.3821875</v>
      </c>
      <c r="T3837" s="9">
        <v>43390.5165509259</v>
      </c>
    </row>
    <row r="3838" spans="14:20">
      <c r="N3838" s="7" t="str">
        <f>HYPERLINK("E:\附赠：Excel模板\精美EXCEL模板\网友极力推荐的Excel模板1000例\机关事业单位职工人数和劳动报酬情况.xls","机关事业单位职工人数和劳动报酬情况.xls")</f>
        <v>机关事业单位职工人数和劳动报酬情况.xls</v>
      </c>
      <c r="Q3838">
        <v>0.02</v>
      </c>
      <c r="R3838" s="7" t="str">
        <f t="shared" si="74"/>
        <v>E:\附赠：Excel模板\精美EXCEL模板\网友极力推荐的Excel模板1000例</v>
      </c>
      <c r="S3838" s="9">
        <v>43600.3821875</v>
      </c>
      <c r="T3838" s="9">
        <v>43390.5165277778</v>
      </c>
    </row>
    <row r="3839" spans="14:20">
      <c r="N3839" s="7" t="str">
        <f>HYPERLINK("E:\附赠：Excel模板\精美EXCEL模板\网友极力推荐的Excel模板1000例\机关事业单位职工人数和工资情况.xls","机关事业单位职工人数和工资情况.xls")</f>
        <v>机关事业单位职工人数和工资情况.xls</v>
      </c>
      <c r="Q3839">
        <v>0.02</v>
      </c>
      <c r="R3839" s="7" t="str">
        <f t="shared" si="74"/>
        <v>E:\附赠：Excel模板\精美EXCEL模板\网友极力推荐的Excel模板1000例</v>
      </c>
      <c r="S3839" s="9">
        <v>43600.3821875</v>
      </c>
      <c r="T3839" s="9">
        <v>43390.5165277778</v>
      </c>
    </row>
    <row r="3840" spans="14:20">
      <c r="N3840" s="7" t="str">
        <f>HYPERLINK("E:\附赠：Excel模板\精美EXCEL模板\网友极力推荐的Excel模板1000例\机关从业人员学历情况.xls","机关从业人员学历情况.xls")</f>
        <v>机关从业人员学历情况.xls</v>
      </c>
      <c r="Q3840">
        <v>0.02</v>
      </c>
      <c r="R3840" s="7" t="str">
        <f t="shared" si="74"/>
        <v>E:\附赠：Excel模板\精美EXCEL模板\网友极力推荐的Excel模板1000例</v>
      </c>
      <c r="S3840" s="9">
        <v>43600.3821875</v>
      </c>
      <c r="T3840" s="9">
        <v>43390.5165509259</v>
      </c>
    </row>
    <row r="3841" spans="14:20">
      <c r="N3841" s="7" t="str">
        <f>HYPERLINK("E:\附赠：Excel模板\精美EXCEL模板\网友极力推荐的Excel模板1000例\机关党政人才交流情况.xls","机关党政人才交流情况.xls")</f>
        <v>机关党政人才交流情况.xls</v>
      </c>
      <c r="Q3841">
        <v>0.02</v>
      </c>
      <c r="R3841" s="7" t="str">
        <f t="shared" si="74"/>
        <v>E:\附赠：Excel模板\精美EXCEL模板\网友极力推荐的Excel模板1000例</v>
      </c>
      <c r="S3841" s="9">
        <v>43600.3821875</v>
      </c>
      <c r="T3841" s="9">
        <v>43390.5165509259</v>
      </c>
    </row>
    <row r="3842" spans="14:20">
      <c r="N3842" s="7" t="str">
        <f>HYPERLINK("E:\附赠：Excel模板\精美EXCEL模板\网友极力推荐的Excel模板1000例\机关党政人才免职、降职、辞职和受奖惩情况.xls","机关党政人才免职、降职、辞职和受奖惩情况.xls")</f>
        <v>机关党政人才免职、降职、辞职和受奖惩情况.xls</v>
      </c>
      <c r="Q3842">
        <v>0.02</v>
      </c>
      <c r="R3842" s="7" t="str">
        <f t="shared" ref="R3842:R3905" si="75">HYPERLINK("E:\附赠：Excel模板\精美EXCEL模板\网友极力推荐的Excel模板1000例","E:\附赠：Excel模板\精美EXCEL模板\网友极力推荐的Excel模板1000例")</f>
        <v>E:\附赠：Excel模板\精美EXCEL模板\网友极力推荐的Excel模板1000例</v>
      </c>
      <c r="S3842" s="9">
        <v>43600.3821875</v>
      </c>
      <c r="T3842" s="9">
        <v>43390.5165509259</v>
      </c>
    </row>
    <row r="3843" spans="14:20">
      <c r="N3843" s="7" t="str">
        <f>HYPERLINK("E:\附赠：Excel模板\精美EXCEL模板\网友极力推荐的Excel模板1000例\机关党政人才变化情况.xls","机关党政人才变化情况.xls")</f>
        <v>机关党政人才变化情况.xls</v>
      </c>
      <c r="Q3843">
        <v>0.02</v>
      </c>
      <c r="R3843" s="7" t="str">
        <f t="shared" si="75"/>
        <v>E:\附赠：Excel模板\精美EXCEL模板\网友极力推荐的Excel模板1000例</v>
      </c>
      <c r="S3843" s="9">
        <v>43600.3821875</v>
      </c>
      <c r="T3843" s="9">
        <v>43390.5165509259</v>
      </c>
    </row>
    <row r="3844" spans="14:20">
      <c r="N3844" s="7" t="str">
        <f>HYPERLINK("E:\附赠：Excel模板\精美EXCEL模板\网友极力推荐的Excel模板1000例\机关党政人才培训情况.xls","机关党政人才培训情况.xls")</f>
        <v>机关党政人才培训情况.xls</v>
      </c>
      <c r="Q3844">
        <v>0.02</v>
      </c>
      <c r="R3844" s="7" t="str">
        <f t="shared" si="75"/>
        <v>E:\附赠：Excel模板\精美EXCEL模板\网友极力推荐的Excel模板1000例</v>
      </c>
      <c r="S3844" s="9">
        <v>43600.3821875</v>
      </c>
      <c r="T3844" s="9">
        <v>43390.5165509259</v>
      </c>
    </row>
    <row r="3845" spans="14:20">
      <c r="N3845" s="7" t="str">
        <f>HYPERLINK("E:\附赠：Excel模板\精美EXCEL模板\网友极力推荐的Excel模板1000例\机关党政人才晋升职务和公开选拔、竞争上岗情况.xls","机关党政人才晋升职务和公开选拔、竞争上岗情况.xls")</f>
        <v>机关党政人才晋升职务和公开选拔、竞争上岗情况.xls</v>
      </c>
      <c r="Q3845">
        <v>0.02</v>
      </c>
      <c r="R3845" s="7" t="str">
        <f t="shared" si="75"/>
        <v>E:\附赠：Excel模板\精美EXCEL模板\网友极力推荐的Excel模板1000例</v>
      </c>
      <c r="S3845" s="9">
        <v>43600.3821875</v>
      </c>
      <c r="T3845" s="9">
        <v>43390.5165509259</v>
      </c>
    </row>
    <row r="3846" spans="14:20">
      <c r="N3846" s="7" t="str">
        <f>HYPERLINK("E:\附赠：Excel模板\精美EXCEL模板\网友极力推荐的Excel模板1000例\机关单位工作人员工龄情况.xls","机关单位工作人员工龄情况.xls")</f>
        <v>机关单位工作人员工龄情况.xls</v>
      </c>
      <c r="Q3846">
        <v>0.02</v>
      </c>
      <c r="R3846" s="7" t="str">
        <f t="shared" si="75"/>
        <v>E:\附赠：Excel模板\精美EXCEL模板\网友极力推荐的Excel模板1000例</v>
      </c>
      <c r="S3846" s="9">
        <v>43600.3821875</v>
      </c>
      <c r="T3846" s="9">
        <v>43390.5165509259</v>
      </c>
    </row>
    <row r="3847" spans="14:20">
      <c r="N3847" s="7" t="str">
        <f>HYPERLINK("E:\附赠：Excel模板\精美EXCEL模板\网友极力推荐的Excel模板1000例\机关售房款用于住房补贴支出决算基础数据表.xls","机关售房款用于住房补贴支出决算基础数据表.xls")</f>
        <v>机关售房款用于住房补贴支出决算基础数据表.xls</v>
      </c>
      <c r="Q3847">
        <v>0.02</v>
      </c>
      <c r="R3847" s="7" t="str">
        <f t="shared" si="75"/>
        <v>E:\附赠：Excel模板\精美EXCEL模板\网友极力推荐的Excel模板1000例</v>
      </c>
      <c r="S3847" s="9">
        <v>43600.3821875</v>
      </c>
      <c r="T3847" s="9">
        <v>43390.5165277778</v>
      </c>
    </row>
    <row r="3848" spans="14:20">
      <c r="N3848" s="7" t="str">
        <f>HYPERLINK("E:\附赠：Excel模板\精美EXCEL模板\网友极力推荐的Excel模板1000例\机关干部职务工资档次情况.xls","机关干部职务工资档次情况.xls")</f>
        <v>机关干部职务工资档次情况.xls</v>
      </c>
      <c r="Q3848">
        <v>0.02</v>
      </c>
      <c r="R3848" s="7" t="str">
        <f t="shared" si="75"/>
        <v>E:\附赠：Excel模板\精美EXCEL模板\网友极力推荐的Excel模板1000例</v>
      </c>
      <c r="S3848" s="9">
        <v>43600.3821875</v>
      </c>
      <c r="T3848" s="9">
        <v>43390.5165509259</v>
      </c>
    </row>
    <row r="3849" spans="14:20">
      <c r="N3849" s="7" t="str">
        <f>HYPERLINK("E:\附赠：Excel模板\精美EXCEL模板\网友极力推荐的Excel模板1000例\机关年度公务员录用计划表.xls","机关年度公务员录用计划表.xls")</f>
        <v>机关年度公务员录用计划表.xls</v>
      </c>
      <c r="Q3849">
        <v>0.02</v>
      </c>
      <c r="R3849" s="7" t="str">
        <f t="shared" si="75"/>
        <v>E:\附赠：Excel模板\精美EXCEL模板\网友极力推荐的Excel模板1000例</v>
      </c>
      <c r="S3849" s="9">
        <v>43600.3821875</v>
      </c>
      <c r="T3849" s="9">
        <v>43390.5165509259</v>
      </c>
    </row>
    <row r="3850" spans="14:20">
      <c r="N3850" s="7" t="str">
        <f>HYPERLINK("E:\附赠：Excel模板\精美EXCEL模板\网友极力推荐的Excel模板1000例\机关或单位工作人员一次性补贴标准认定表.xls","机关或单位工作人员一次性补贴标准认定表.xls")</f>
        <v>机关或单位工作人员一次性补贴标准认定表.xls</v>
      </c>
      <c r="Q3850">
        <v>0.02</v>
      </c>
      <c r="R3850" s="7" t="str">
        <f t="shared" si="75"/>
        <v>E:\附赠：Excel模板\精美EXCEL模板\网友极力推荐的Excel模板1000例</v>
      </c>
      <c r="S3850" s="9">
        <v>43600.3821875</v>
      </c>
      <c r="T3850" s="9">
        <v>43390.5165509259</v>
      </c>
    </row>
    <row r="3851" spans="14:20">
      <c r="N3851" s="7" t="str">
        <f>HYPERLINK("E:\附赠：Excel模板\精美EXCEL模板\网友极力推荐的Excel模板1000例\机构代表报备表.xls","机构代表报备表.xls")</f>
        <v>机构代表报备表.xls</v>
      </c>
      <c r="Q3851">
        <v>0.02</v>
      </c>
      <c r="R3851" s="7" t="str">
        <f t="shared" si="75"/>
        <v>E:\附赠：Excel模板\精美EXCEL模板\网友极力推荐的Excel模板1000例</v>
      </c>
      <c r="S3851" s="9">
        <v>43600.3821875</v>
      </c>
      <c r="T3851" s="9">
        <v>43390.5165509259</v>
      </c>
    </row>
    <row r="3852" spans="14:20">
      <c r="N3852" s="7" t="str">
        <f>HYPERLINK("E:\附赠：Excel模板\精美EXCEL模板\网友极力推荐的Excel模板1000例\村庄建设工程进展情况统计表.xls","村庄建设工程进展情况统计表.xls")</f>
        <v>村庄建设工程进展情况统计表.xls</v>
      </c>
      <c r="Q3852">
        <v>0.03</v>
      </c>
      <c r="R3852" s="7" t="str">
        <f t="shared" si="75"/>
        <v>E:\附赠：Excel模板\精美EXCEL模板\网友极力推荐的Excel模板1000例</v>
      </c>
      <c r="S3852" s="9">
        <v>43600.3821875</v>
      </c>
      <c r="T3852" s="9">
        <v>43390.5168055556</v>
      </c>
    </row>
    <row r="3853" spans="14:20">
      <c r="N3853" s="7" t="str">
        <f>HYPERLINK("E:\附赠：Excel模板\精美EXCEL模板\网友极力推荐的Excel模板1000例\校内津贴明细表.xls","校内津贴明细表.xls")</f>
        <v>校内津贴明细表.xls</v>
      </c>
      <c r="Q3853">
        <v>0.1</v>
      </c>
      <c r="R3853" s="7" t="str">
        <f t="shared" si="75"/>
        <v>E:\附赠：Excel模板\精美EXCEL模板\网友极力推荐的Excel模板1000例</v>
      </c>
      <c r="S3853" s="9">
        <v>43600.3821875</v>
      </c>
      <c r="T3853" s="9">
        <v>43390.5159259259</v>
      </c>
    </row>
    <row r="3854" spans="14:20">
      <c r="N3854" s="7" t="str">
        <f>HYPERLINK("E:\附赠：Excel模板\精美EXCEL模板\网友极力推荐的Excel模板1000例\校外实习基地情况一览表.xls","校外实习基地情况一览表.xls")</f>
        <v>校外实习基地情况一览表.xls</v>
      </c>
      <c r="Q3854">
        <v>0.02</v>
      </c>
      <c r="R3854" s="7" t="str">
        <f t="shared" si="75"/>
        <v>E:\附赠：Excel模板\精美EXCEL模板\网友极力推荐的Excel模板1000例</v>
      </c>
      <c r="S3854" s="9">
        <v>43600.3821875</v>
      </c>
      <c r="T3854" s="9">
        <v>43390.5159259259</v>
      </c>
    </row>
    <row r="3855" spans="14:20">
      <c r="N3855" s="7" t="str">
        <f>HYPERLINK("E:\附赠：Excel模板\精美EXCEL模板\网友极力推荐的Excel模板1000例\校级以上教学成果奖一览表.xls","校级以上教学成果奖一览表.xls")</f>
        <v>校级以上教学成果奖一览表.xls</v>
      </c>
      <c r="Q3855">
        <v>0.02</v>
      </c>
      <c r="R3855" s="7" t="str">
        <f t="shared" si="75"/>
        <v>E:\附赠：Excel模板\精美EXCEL模板\网友极力推荐的Excel模板1000例</v>
      </c>
      <c r="S3855" s="9">
        <v>43600.3821875</v>
      </c>
      <c r="T3855" s="9">
        <v>43390.5159259259</v>
      </c>
    </row>
    <row r="3856" spans="14:20">
      <c r="N3856" s="7" t="str">
        <f>HYPERLINK("E:\附赠：Excel模板\精美EXCEL模板\网友极力推荐的Excel模板1000例\校院學生就學協助方案執行情形統計表.xls","校院學生就學協助方案執行情形統計表.xls")</f>
        <v>校院學生就學協助方案執行情形統計表.xls</v>
      </c>
      <c r="Q3856">
        <v>0.02</v>
      </c>
      <c r="R3856" s="7" t="str">
        <f t="shared" si="75"/>
        <v>E:\附赠：Excel模板\精美EXCEL模板\网友极力推荐的Excel模板1000例</v>
      </c>
      <c r="S3856" s="9">
        <v>43600.3821875</v>
      </c>
      <c r="T3856" s="9">
        <v>43390.5159259259</v>
      </c>
    </row>
    <row r="3857" spans="14:20">
      <c r="N3857" s="7" t="str">
        <f>HYPERLINK("E:\附赠：Excel模板\精美EXCEL模板\网友极力推荐的Excel模板1000例\森林经营方案情况调查表.xls","森林经营方案情况调查表.xls")</f>
        <v>森林经营方案情况调查表.xls</v>
      </c>
      <c r="Q3857">
        <v>0.02</v>
      </c>
      <c r="R3857" s="7" t="str">
        <f t="shared" si="75"/>
        <v>E:\附赠：Excel模板\精美EXCEL模板\网友极力推荐的Excel模板1000例</v>
      </c>
      <c r="S3857" s="9">
        <v>43600.3821875</v>
      </c>
      <c r="T3857" s="9">
        <v>43390.5161805556</v>
      </c>
    </row>
    <row r="3858" spans="14:20">
      <c r="N3858" s="7" t="str">
        <f>HYPERLINK("E:\附赠：Excel模板\精美EXCEL模板\网友极力推荐的Excel模板1000例\每一家庭每月平均收支.xls","每一家庭每月平均收支.xls")</f>
        <v>每一家庭每月平均收支.xls</v>
      </c>
      <c r="Q3858">
        <v>0.05</v>
      </c>
      <c r="R3858" s="7" t="str">
        <f t="shared" si="75"/>
        <v>E:\附赠：Excel模板\精美EXCEL模板\网友极力推荐的Excel模板1000例</v>
      </c>
      <c r="S3858" s="9">
        <v>43600.3821875</v>
      </c>
      <c r="T3858" s="9">
        <v>43390.5163194444</v>
      </c>
    </row>
    <row r="3859" spans="14:20">
      <c r="N3859" s="7" t="str">
        <f>HYPERLINK("E:\附赠：Excel模板\精美EXCEL模板\网友极力推荐的Excel模板1000例\每月经济卡片.xls","每月经济卡片.xls")</f>
        <v>每月经济卡片.xls</v>
      </c>
      <c r="Q3859">
        <v>0.03</v>
      </c>
      <c r="R3859" s="7" t="str">
        <f t="shared" si="75"/>
        <v>E:\附赠：Excel模板\精美EXCEL模板\网友极力推荐的Excel模板1000例</v>
      </c>
      <c r="S3859" s="9">
        <v>43600.3821875</v>
      </c>
      <c r="T3859" s="9">
        <v>43390.5163194444</v>
      </c>
    </row>
    <row r="3860" spans="14:20">
      <c r="N3860" s="7" t="str">
        <f>HYPERLINK("E:\附赠：Excel模板\精美EXCEL模板\网友极力推荐的Excel模板1000例\比率分析表.xls","比率分析表.xls")</f>
        <v>比率分析表.xls</v>
      </c>
      <c r="Q3860">
        <v>0.02</v>
      </c>
      <c r="R3860" s="7" t="str">
        <f t="shared" si="75"/>
        <v>E:\附赠：Excel模板\精美EXCEL模板\网友极力推荐的Excel模板1000例</v>
      </c>
      <c r="S3860" s="9">
        <v>43600.3821875</v>
      </c>
      <c r="T3860" s="9">
        <v>43390.5169212963</v>
      </c>
    </row>
    <row r="3861" spans="14:20">
      <c r="N3861" s="7" t="str">
        <f>HYPERLINK("E:\附赠：Excel模板\精美EXCEL模板\网友极力推荐的Excel模板1000例\毕业、招生、在校各类学生人数统计表.xls","毕业、招生、在校各类学生人数统计表.xls")</f>
        <v>毕业、招生、在校各类学生人数统计表.xls</v>
      </c>
      <c r="Q3861">
        <v>0.02</v>
      </c>
      <c r="R3861" s="7" t="str">
        <f t="shared" si="75"/>
        <v>E:\附赠：Excel模板\精美EXCEL模板\网友极力推荐的Excel模板1000例</v>
      </c>
      <c r="S3861" s="9">
        <v>43600.3821875</v>
      </c>
      <c r="T3861" s="9">
        <v>43390.5169212963</v>
      </c>
    </row>
    <row r="3862" spans="14:20">
      <c r="N3862" s="7" t="str">
        <f>HYPERLINK("E:\附赠：Excel模板\精美EXCEL模板\网友极力推荐的Excel模板1000例\毕业生寒假供需洽谈会.xls","毕业生寒假供需洽谈会.xls")</f>
        <v>毕业生寒假供需洽谈会.xls</v>
      </c>
      <c r="Q3862">
        <v>0.03</v>
      </c>
      <c r="R3862" s="7" t="str">
        <f t="shared" si="75"/>
        <v>E:\附赠：Excel模板\精美EXCEL模板\网友极力推荐的Excel模板1000例</v>
      </c>
      <c r="S3862" s="9">
        <v>43600.3821875</v>
      </c>
      <c r="T3862" s="9">
        <v>43390.5168981481</v>
      </c>
    </row>
    <row r="3863" spans="14:20">
      <c r="N3863" s="7" t="str">
        <f>HYPERLINK("E:\附赠：Excel模板\精美EXCEL模板\网友极力推荐的Excel模板1000例\毕业生成绩表.xls","毕业生成绩表.xls")</f>
        <v>毕业生成绩表.xls</v>
      </c>
      <c r="Q3863">
        <v>0.02</v>
      </c>
      <c r="R3863" s="7" t="str">
        <f t="shared" si="75"/>
        <v>E:\附赠：Excel模板\精美EXCEL模板\网友极力推荐的Excel模板1000例</v>
      </c>
      <c r="S3863" s="9">
        <v>43600.3821875</v>
      </c>
      <c r="T3863" s="9">
        <v>43390.5168981481</v>
      </c>
    </row>
    <row r="3864" spans="14:20">
      <c r="N3864" s="7" t="str">
        <f>HYPERLINK("E:\附赠：Excel模板\精美EXCEL模板\网友极力推荐的Excel模板1000例\毕业生见习训练经费使用审批表.xls","毕业生见习训练经费使用审批表.xls")</f>
        <v>毕业生见习训练经费使用审批表.xls</v>
      </c>
      <c r="Q3864">
        <v>0.02</v>
      </c>
      <c r="R3864" s="7" t="str">
        <f t="shared" si="75"/>
        <v>E:\附赠：Excel模板\精美EXCEL模板\网友极力推荐的Excel模板1000例</v>
      </c>
      <c r="S3864" s="9">
        <v>43600.3821875</v>
      </c>
      <c r="T3864" s="9">
        <v>43390.5168981481</v>
      </c>
    </row>
    <row r="3865" spans="14:20">
      <c r="N3865" s="7" t="str">
        <f>HYPERLINK("E:\附赠：Excel模板\精美EXCEL模板\网友极力推荐的Excel模板1000例\毕业生需求情况汇总表.xls","毕业生需求情况汇总表.xls")</f>
        <v>毕业生需求情况汇总表.xls</v>
      </c>
      <c r="Q3865">
        <v>0.02</v>
      </c>
      <c r="R3865" s="7" t="str">
        <f t="shared" si="75"/>
        <v>E:\附赠：Excel模板\精美EXCEL模板\网友极力推荐的Excel模板1000例</v>
      </c>
      <c r="S3865" s="9">
        <v>43600.3821875</v>
      </c>
      <c r="T3865" s="9">
        <v>43390.5168981481</v>
      </c>
    </row>
    <row r="3866" spans="14:20">
      <c r="N3866" s="7" t="str">
        <f>HYPERLINK("E:\附赠：Excel模板\精美EXCEL模板\网友极力推荐的Excel模板1000例\毕业论文报名表.xls","毕业论文报名表.xls")</f>
        <v>毕业论文报名表.xls</v>
      </c>
      <c r="Q3866">
        <v>0.03</v>
      </c>
      <c r="R3866" s="7" t="str">
        <f t="shared" si="75"/>
        <v>E:\附赠：Excel模板\精美EXCEL模板\网友极力推荐的Excel模板1000例</v>
      </c>
      <c r="S3866" s="9">
        <v>43600.3821875</v>
      </c>
      <c r="T3866" s="9">
        <v>43390.5169212963</v>
      </c>
    </row>
    <row r="3867" spans="14:20">
      <c r="N3867" s="7" t="str">
        <f>HYPERLINK("E:\附赠：Excel模板\精美EXCEL模板\网友极力推荐的Excel模板1000例\毕业论文指导教师联系表.xls","毕业论文指导教师联系表.xls")</f>
        <v>毕业论文指导教师联系表.xls</v>
      </c>
      <c r="Q3867">
        <v>0.02</v>
      </c>
      <c r="R3867" s="7" t="str">
        <f t="shared" si="75"/>
        <v>E:\附赠：Excel模板\精美EXCEL模板\网友极力推荐的Excel模板1000例</v>
      </c>
      <c r="S3867" s="9">
        <v>43600.3821875</v>
      </c>
      <c r="T3867" s="9">
        <v>43390.5169212963</v>
      </c>
    </row>
    <row r="3868" spans="14:20">
      <c r="N3868" s="7" t="str">
        <f>HYPERLINK("E:\附赠：Excel模板\精美EXCEL模板\网友极力推荐的Excel模板1000例\毕业论文表格.xls","毕业论文表格.xls")</f>
        <v>毕业论文表格.xls</v>
      </c>
      <c r="Q3868">
        <v>0.03</v>
      </c>
      <c r="R3868" s="7" t="str">
        <f t="shared" si="75"/>
        <v>E:\附赠：Excel模板\精美EXCEL模板\网友极力推荐的Excel模板1000例</v>
      </c>
      <c r="S3868" s="9">
        <v>43600.3821875</v>
      </c>
      <c r="T3868" s="9">
        <v>43390.5169212963</v>
      </c>
    </row>
    <row r="3869" spans="14:20">
      <c r="N3869" s="7" t="str">
        <f>HYPERLINK("E:\附赠：Excel模板\精美EXCEL模板\网友极力推荐的Excel模板1000例\毕业设计(论文)答辩一览表.xls","毕业设计(论文)答辩一览表.xls")</f>
        <v>毕业设计(论文)答辩一览表.xls</v>
      </c>
      <c r="Q3869">
        <v>0.02</v>
      </c>
      <c r="R3869" s="7" t="str">
        <f t="shared" si="75"/>
        <v>E:\附赠：Excel模板\精美EXCEL模板\网友极力推荐的Excel模板1000例</v>
      </c>
      <c r="S3869" s="9">
        <v>43600.3821875</v>
      </c>
      <c r="T3869" s="9">
        <v>43390.5169444444</v>
      </c>
    </row>
    <row r="3870" spans="14:20">
      <c r="N3870" s="7" t="str">
        <f>HYPERLINK("E:\附赠：Excel模板\精美EXCEL模板\网友极力推荐的Excel模板1000例\毕业设计表格.xls","毕业设计表格.xls")</f>
        <v>毕业设计表格.xls</v>
      </c>
      <c r="Q3870">
        <v>0.03</v>
      </c>
      <c r="R3870" s="7" t="str">
        <f t="shared" si="75"/>
        <v>E:\附赠：Excel模板\精美EXCEL模板\网友极力推荐的Excel模板1000例</v>
      </c>
      <c r="S3870" s="9">
        <v>43600.3821875</v>
      </c>
      <c r="T3870" s="9">
        <v>43390.5169212963</v>
      </c>
    </row>
    <row r="3871" spans="14:20">
      <c r="N3871" s="7" t="str">
        <f>HYPERLINK("E:\附赠：Excel模板\精美EXCEL模板\网友极力推荐的Excel模板1000例\水利建设和体制改革年度考核评分表.xls","水利建设和体制改革年度考核评分表.xls")</f>
        <v>水利建设和体制改革年度考核评分表.xls</v>
      </c>
      <c r="Q3871">
        <v>0.02</v>
      </c>
      <c r="R3871" s="7" t="str">
        <f t="shared" si="75"/>
        <v>E:\附赠：Excel模板\精美EXCEL模板\网友极力推荐的Excel模板1000例</v>
      </c>
      <c r="S3871" s="9">
        <v>43600.3821875</v>
      </c>
      <c r="T3871" s="9">
        <v>43390.5160416667</v>
      </c>
    </row>
    <row r="3872" spans="14:20">
      <c r="N3872" s="7" t="str">
        <f>HYPERLINK("E:\附赠：Excel模板\精美EXCEL模板\网友极力推荐的Excel模板1000例\洗衣机行业分地区基本市场状况.xls","洗衣机行业分地区基本市场状况.xls")</f>
        <v>洗衣机行业分地区基本市场状况.xls</v>
      </c>
      <c r="Q3872">
        <v>0.05</v>
      </c>
      <c r="R3872" s="7" t="str">
        <f t="shared" si="75"/>
        <v>E:\附赠：Excel模板\精美EXCEL模板\网友极力推荐的Excel模板1000例</v>
      </c>
      <c r="S3872" s="9">
        <v>43600.3821875</v>
      </c>
      <c r="T3872" s="9">
        <v>43390.5159953704</v>
      </c>
    </row>
    <row r="3873" spans="14:20">
      <c r="N3873" s="7" t="str">
        <f>HYPERLINK("E:\附赠：Excel模板\精美EXCEL模板\网友极力推荐的Excel模板1000例\洗衣经营情况明细表.xls","洗衣经营情况明细表.xls")</f>
        <v>洗衣经营情况明细表.xls</v>
      </c>
      <c r="Q3873">
        <v>0.02</v>
      </c>
      <c r="R3873" s="7" t="str">
        <f t="shared" si="75"/>
        <v>E:\附赠：Excel模板\精美EXCEL模板\网友极力推荐的Excel模板1000例</v>
      </c>
      <c r="S3873" s="9">
        <v>43600.3821875</v>
      </c>
      <c r="T3873" s="9">
        <v>43390.5159953704</v>
      </c>
    </row>
    <row r="3874" spans="14:20">
      <c r="N3874" s="7" t="str">
        <f>HYPERLINK("E:\附赠：Excel模板\精美EXCEL模板\网友极力推荐的Excel模板1000例\派驻乡镇机构调查表.xls","派驻乡镇机构调查表.xls")</f>
        <v>派驻乡镇机构调查表.xls</v>
      </c>
      <c r="Q3874">
        <v>0.02</v>
      </c>
      <c r="R3874" s="7" t="str">
        <f t="shared" si="75"/>
        <v>E:\附赠：Excel模板\精美EXCEL模板\网友极力推荐的Excel模板1000例</v>
      </c>
      <c r="S3874" s="9">
        <v>43600.3821875</v>
      </c>
      <c r="T3874" s="9">
        <v>43390.5162731481</v>
      </c>
    </row>
    <row r="3875" spans="14:20">
      <c r="N3875" s="7" t="str">
        <f>HYPERLINK("E:\附赠：Excel模板\精美EXCEL模板\网友极力推荐的Excel模板1000例\流域重点水文工程项目表.xls","流域重点水文工程项目表.xls")</f>
        <v>流域重点水文工程项目表.xls</v>
      </c>
      <c r="Q3875">
        <v>0.02</v>
      </c>
      <c r="R3875" s="7" t="str">
        <f t="shared" si="75"/>
        <v>E:\附赠：Excel模板\精美EXCEL模板\网友极力推荐的Excel模板1000例</v>
      </c>
      <c r="S3875" s="9">
        <v>43600.3821875</v>
      </c>
      <c r="T3875" s="9">
        <v>43390.5163657407</v>
      </c>
    </row>
    <row r="3876" spans="14:20">
      <c r="N3876" s="7" t="str">
        <f>HYPERLINK("E:\附赠：Excel模板\精美EXCEL模板\网友极力推荐的Excel模板1000例\煤矿安全技术措施改造项目计划完成情况表.xls","煤矿安全技术措施改造项目计划完成情况表.xls")</f>
        <v>煤矿安全技术措施改造项目计划完成情况表.xls</v>
      </c>
      <c r="Q3876">
        <v>0.02</v>
      </c>
      <c r="R3876" s="7" t="str">
        <f t="shared" si="75"/>
        <v>E:\附赠：Excel模板\精美EXCEL模板\网友极力推荐的Excel模板1000例</v>
      </c>
      <c r="S3876" s="9">
        <v>43600.3821875</v>
      </c>
      <c r="T3876" s="9">
        <v>43390.5163194444</v>
      </c>
    </row>
    <row r="3877" spans="14:20">
      <c r="N3877" s="7" t="str">
        <f>HYPERLINK("E:\附赠：Excel模板\精美EXCEL模板\网友极力推荐的Excel模板1000例\物业管理公共服务等级标准评定表.xls","物业管理公共服务等级标准评定表.xls")</f>
        <v>物业管理公共服务等级标准评定表.xls</v>
      </c>
      <c r="Q3877">
        <v>0.04</v>
      </c>
      <c r="R3877" s="7" t="str">
        <f t="shared" si="75"/>
        <v>E:\附赠：Excel模板\精美EXCEL模板\网友极力推荐的Excel模板1000例</v>
      </c>
      <c r="S3877" s="9">
        <v>43600.3821875</v>
      </c>
      <c r="T3877" s="9">
        <v>43390.5159953704</v>
      </c>
    </row>
    <row r="3878" spans="14:20">
      <c r="N3878" s="7" t="str">
        <f>HYPERLINK("E:\附赠：Excel模板\精美EXCEL模板\网友极力推荐的Excel模板1000例\状态条.xls","状态条.xls")</f>
        <v>状态条.xls</v>
      </c>
      <c r="Q3878">
        <v>0.02</v>
      </c>
      <c r="R3878" s="7" t="str">
        <f t="shared" si="75"/>
        <v>E:\附赠：Excel模板\精美EXCEL模板\网友极力推荐的Excel模板1000例</v>
      </c>
      <c r="S3878" s="9">
        <v>43600.3821875</v>
      </c>
      <c r="T3878" s="9">
        <v>43390.515625</v>
      </c>
    </row>
    <row r="3879" spans="14:20">
      <c r="N3879" s="7" t="str">
        <f>HYPERLINK("E:\附赠：Excel模板\精美EXCEL模板\网友极力推荐的Excel模板1000例\独立核算道路运输企业财务状况.xls","独立核算道路运输企业财务状况.xls")</f>
        <v>独立核算道路运输企业财务状况.xls</v>
      </c>
      <c r="Q3879">
        <v>0.02</v>
      </c>
      <c r="R3879" s="7" t="str">
        <f t="shared" si="75"/>
        <v>E:\附赠：Excel模板\精美EXCEL模板\网友极力推荐的Excel模板1000例</v>
      </c>
      <c r="S3879" s="9">
        <v>43600.3821875</v>
      </c>
      <c r="T3879" s="9">
        <v>43390.516712963</v>
      </c>
    </row>
    <row r="3880" spans="14:20">
      <c r="N3880" s="7" t="str">
        <f>HYPERLINK("E:\附赠：Excel模板\精美EXCEL模板\网友极力推荐的Excel模板1000例\环保机构、人员编制、经费基本情况调查表.xls","环保机构、人员编制、经费基本情况调查表.xls")</f>
        <v>环保机构、人员编制、经费基本情况调查表.xls</v>
      </c>
      <c r="Q3880">
        <v>0.02</v>
      </c>
      <c r="R3880" s="7" t="str">
        <f t="shared" si="75"/>
        <v>E:\附赠：Excel模板\精美EXCEL模板\网友极力推荐的Excel模板1000例</v>
      </c>
      <c r="S3880" s="9">
        <v>43600.3821875</v>
      </c>
      <c r="T3880" s="9">
        <v>43390.5165740741</v>
      </c>
    </row>
    <row r="3881" spans="14:20">
      <c r="N3881" s="7" t="str">
        <f>HYPERLINK("E:\附赠：Excel模板\精美EXCEL模板\网友极力推荐的Excel模板1000例\环境目标调查表.xls","环境目标调查表.xls")</f>
        <v>环境目标调查表.xls</v>
      </c>
      <c r="Q3881">
        <v>0.01</v>
      </c>
      <c r="R3881" s="7" t="str">
        <f t="shared" si="75"/>
        <v>E:\附赠：Excel模板\精美EXCEL模板\网友极力推荐的Excel模板1000例</v>
      </c>
      <c r="S3881" s="9">
        <v>43600.3821875</v>
      </c>
      <c r="T3881" s="9">
        <v>43390.5165740741</v>
      </c>
    </row>
    <row r="3882" spans="14:20">
      <c r="N3882" s="7" t="str">
        <f>HYPERLINK("E:\附赠：Excel模板\精美EXCEL模板\网友极力推荐的Excel模板1000例\环境相关指标调查表.xls","环境相关指标调查表.xls")</f>
        <v>环境相关指标调查表.xls</v>
      </c>
      <c r="Q3882">
        <v>0.02</v>
      </c>
      <c r="R3882" s="7" t="str">
        <f t="shared" si="75"/>
        <v>E:\附赠：Excel模板\精美EXCEL模板\网友极力推荐的Excel模板1000例</v>
      </c>
      <c r="S3882" s="9">
        <v>43600.3821875</v>
      </c>
      <c r="T3882" s="9">
        <v>43390.5165740741</v>
      </c>
    </row>
    <row r="3883" spans="14:20">
      <c r="N3883" s="7" t="str">
        <f>HYPERLINK("E:\附赠：Excel模板\精美EXCEL模板\网友极力推荐的Excel模板1000例\现有工作用房情况调查表.xls","现有工作用房情况调查表.xls")</f>
        <v>现有工作用房情况调查表.xls</v>
      </c>
      <c r="Q3883">
        <v>0.02</v>
      </c>
      <c r="R3883" s="7" t="str">
        <f t="shared" si="75"/>
        <v>E:\附赠：Excel模板\精美EXCEL模板\网友极力推荐的Excel模板1000例</v>
      </c>
      <c r="S3883" s="9">
        <v>43600.3821875</v>
      </c>
      <c r="T3883" s="9">
        <v>43390.5159722222</v>
      </c>
    </row>
    <row r="3884" spans="14:20">
      <c r="N3884" s="7" t="str">
        <f>HYPERLINK("E:\附赠：Excel模板\精美EXCEL模板\网友极力推荐的Excel模板1000例\现有设备情况调查表.xls","现有设备情况调查表.xls")</f>
        <v>现有设备情况调查表.xls</v>
      </c>
      <c r="Q3884">
        <v>0.02</v>
      </c>
      <c r="R3884" s="7" t="str">
        <f t="shared" si="75"/>
        <v>E:\附赠：Excel模板\精美EXCEL模板\网友极力推荐的Excel模板1000例</v>
      </c>
      <c r="S3884" s="9">
        <v>43600.3821875</v>
      </c>
      <c r="T3884" s="9">
        <v>43390.5159722222</v>
      </c>
    </row>
    <row r="3885" spans="14:20">
      <c r="N3885" s="7" t="str">
        <f>HYPERLINK("E:\附赠：Excel模板\精美EXCEL模板\网友极力推荐的Excel模板1000例\现金流量表.xls","现金流量表.xls")</f>
        <v>现金流量表.xls</v>
      </c>
      <c r="Q3885">
        <v>0.02</v>
      </c>
      <c r="R3885" s="7" t="str">
        <f t="shared" si="75"/>
        <v>E:\附赠：Excel模板\精美EXCEL模板\网友极力推荐的Excel模板1000例</v>
      </c>
      <c r="S3885" s="9">
        <v>43600.3821875</v>
      </c>
      <c r="T3885" s="9">
        <v>43390.5159722222</v>
      </c>
    </row>
    <row r="3886" spans="14:20">
      <c r="N3886" s="7" t="str">
        <f>HYPERLINK("E:\附赠：Excel模板\精美EXCEL模板\网友极力推荐的Excel模板1000例\现金流量表2.xls","现金流量表2.xls")</f>
        <v>现金流量表2.xls</v>
      </c>
      <c r="Q3886">
        <v>0.02</v>
      </c>
      <c r="R3886" s="7" t="str">
        <f t="shared" si="75"/>
        <v>E:\附赠：Excel模板\精美EXCEL模板\网友极力推荐的Excel模板1000例</v>
      </c>
      <c r="S3886" s="9">
        <v>43600.3821875</v>
      </c>
      <c r="T3886" s="9">
        <v>43390.5159722222</v>
      </c>
    </row>
    <row r="3887" spans="14:20">
      <c r="N3887" s="7" t="str">
        <f>HYPERLINK("E:\附赠：Excel模板\精美EXCEL模板\网友极力推荐的Excel模板1000例\现金流量表3.xls","现金流量表3.xls")</f>
        <v>现金流量表3.xls</v>
      </c>
      <c r="Q3887">
        <v>0.02</v>
      </c>
      <c r="R3887" s="7" t="str">
        <f t="shared" si="75"/>
        <v>E:\附赠：Excel模板\精美EXCEL模板\网友极力推荐的Excel模板1000例</v>
      </c>
      <c r="S3887" s="9">
        <v>43600.3821875</v>
      </c>
      <c r="T3887" s="9">
        <v>43390.5159722222</v>
      </c>
    </row>
    <row r="3888" spans="14:20">
      <c r="N3888" s="7" t="str">
        <f>HYPERLINK("E:\附赠：Excel模板\精美EXCEL模板\网友极力推荐的Excel模板1000例\现金流量表模板.xls","现金流量表模板.xls")</f>
        <v>现金流量表模板.xls</v>
      </c>
      <c r="Q3888">
        <v>0.02</v>
      </c>
      <c r="R3888" s="7" t="str">
        <f t="shared" si="75"/>
        <v>E:\附赠：Excel模板\精美EXCEL模板\网友极力推荐的Excel模板1000例</v>
      </c>
      <c r="S3888" s="9">
        <v>43600.3821875</v>
      </c>
      <c r="T3888" s="9">
        <v>43390.5159722222</v>
      </c>
    </row>
    <row r="3889" spans="14:20">
      <c r="N3889" s="7" t="str">
        <f>HYPERLINK("E:\附赠：Excel模板\精美EXCEL模板\网友极力推荐的Excel模板1000例\现金流量预算表.xls","现金流量预算表.xls")</f>
        <v>现金流量预算表.xls</v>
      </c>
      <c r="Q3889">
        <v>0.02</v>
      </c>
      <c r="R3889" s="7" t="str">
        <f t="shared" si="75"/>
        <v>E:\附赠：Excel模板\精美EXCEL模板\网友极力推荐的Excel模板1000例</v>
      </c>
      <c r="S3889" s="9">
        <v>43600.3821875</v>
      </c>
      <c r="T3889" s="9">
        <v>43390.5159722222</v>
      </c>
    </row>
    <row r="3890" spans="14:20">
      <c r="N3890" s="7" t="str">
        <f>HYPERLINK("E:\附赠：Excel模板\精美EXCEL模板\网友极力推荐的Excel模板1000例\班级操行评定表.xls","班级操行评定表.xls")</f>
        <v>班级操行评定表.xls</v>
      </c>
      <c r="Q3890">
        <v>0.02</v>
      </c>
      <c r="R3890" s="7" t="str">
        <f t="shared" si="75"/>
        <v>E:\附赠：Excel模板\精美EXCEL模板\网友极力推荐的Excel模板1000例</v>
      </c>
      <c r="S3890" s="9">
        <v>43600.3821875</v>
      </c>
      <c r="T3890" s="9">
        <v>43390.5169444444</v>
      </c>
    </row>
    <row r="3891" spans="14:20">
      <c r="N3891" s="7" t="str">
        <f>HYPERLINK("E:\附赠：Excel模板\精美EXCEL模板\网友极力推荐的Excel模板1000例\班级统计表.xls","班级统计表.xls")</f>
        <v>班级统计表.xls</v>
      </c>
      <c r="Q3891">
        <v>0.02</v>
      </c>
      <c r="R3891" s="7" t="str">
        <f t="shared" si="75"/>
        <v>E:\附赠：Excel模板\精美EXCEL模板\网友极力推荐的Excel模板1000例</v>
      </c>
      <c r="S3891" s="9">
        <v>43600.3821875</v>
      </c>
      <c r="T3891" s="9">
        <v>43390.5169444444</v>
      </c>
    </row>
    <row r="3892" spans="14:20">
      <c r="N3892" s="7" t="str">
        <f>HYPERLINK("E:\附赠：Excel模板\精美EXCEL模板\网友极力推荐的Excel模板1000例\班级考核汇总表.xls","班级考核汇总表.xls")</f>
        <v>班级考核汇总表.xls</v>
      </c>
      <c r="Q3892">
        <v>0.02</v>
      </c>
      <c r="R3892" s="7" t="str">
        <f t="shared" si="75"/>
        <v>E:\附赠：Excel模板\精美EXCEL模板\网友极力推荐的Excel模板1000例</v>
      </c>
      <c r="S3892" s="9">
        <v>43600.3821875</v>
      </c>
      <c r="T3892" s="9">
        <v>43390.5169444444</v>
      </c>
    </row>
    <row r="3893" spans="14:20">
      <c r="N3893" s="7" t="str">
        <f>HYPERLINK("E:\附赠：Excel模板\精美EXCEL模板\网友极力推荐的Excel模板1000例\球会收支情况.xls","球会收支情况.xls")</f>
        <v>球会收支情况.xls</v>
      </c>
      <c r="Q3893">
        <v>0.02</v>
      </c>
      <c r="R3893" s="7" t="str">
        <f t="shared" si="75"/>
        <v>E:\附赠：Excel模板\精美EXCEL模板\网友极力推荐的Excel模板1000例</v>
      </c>
      <c r="S3893" s="9">
        <v>43600.3821875</v>
      </c>
      <c r="T3893" s="9">
        <v>43390.5162268519</v>
      </c>
    </row>
    <row r="3894" spans="14:20">
      <c r="N3894" s="7" t="str">
        <f>HYPERLINK("E:\附赠：Excel模板\精美EXCEL模板\网友极力推荐的Excel模板1000例\生产报表.xls","生产报表.xls")</f>
        <v>生产报表.xls</v>
      </c>
      <c r="Q3894">
        <v>0.02</v>
      </c>
      <c r="R3894" s="7" t="str">
        <f t="shared" si="75"/>
        <v>E:\附赠：Excel模板\精美EXCEL模板\网友极力推荐的Excel模板1000例</v>
      </c>
      <c r="S3894" s="9">
        <v>43600.3821875</v>
      </c>
      <c r="T3894" s="9">
        <v>43390.5161574074</v>
      </c>
    </row>
    <row r="3895" spans="14:20">
      <c r="N3895" s="7" t="str">
        <f>HYPERLINK("E:\附赠：Excel模板\精美EXCEL模板\网友极力推荐的Excel模板1000例\生态公益林内开展旅游和其它经营活动审批申请表.xls","生态公益林内开展旅游和其它经营活动审批申请表.xls")</f>
        <v>生态公益林内开展旅游和其它经营活动审批申请表.xls</v>
      </c>
      <c r="Q3895">
        <v>0.02</v>
      </c>
      <c r="R3895" s="7" t="str">
        <f t="shared" si="75"/>
        <v>E:\附赠：Excel模板\精美EXCEL模板\网友极力推荐的Excel模板1000例</v>
      </c>
      <c r="S3895" s="9">
        <v>43600.3821875</v>
      </c>
      <c r="T3895" s="9">
        <v>43390.5161574074</v>
      </c>
    </row>
    <row r="3896" spans="14:20">
      <c r="N3896" s="7" t="str">
        <f>HYPERLINK("E:\附赠：Excel模板\精美EXCEL模板\网友极力推荐的Excel模板1000例\用于教学的仪器设备一览表.xls","用于教学的仪器设备一览表.xls")</f>
        <v>用于教学的仪器设备一览表.xls</v>
      </c>
      <c r="Q3896">
        <v>0.02</v>
      </c>
      <c r="R3896" s="7" t="str">
        <f t="shared" si="75"/>
        <v>E:\附赠：Excel模板\精美EXCEL模板\网友极力推荐的Excel模板1000例</v>
      </c>
      <c r="S3896" s="9">
        <v>43600.3821875</v>
      </c>
      <c r="T3896" s="9">
        <v>43390.5157638889</v>
      </c>
    </row>
    <row r="3897" spans="14:20">
      <c r="N3897" s="7" t="str">
        <f>HYPERLINK("E:\附赠：Excel模板\精美EXCEL模板\网友极力推荐的Excel模板1000例\用公款为个人购买商业保险清退情况统计表.xls","用公款为个人购买商业保险清退情况统计表.xls")</f>
        <v>用公款为个人购买商业保险清退情况统计表.xls</v>
      </c>
      <c r="Q3897">
        <v>0.02</v>
      </c>
      <c r="R3897" s="7" t="str">
        <f t="shared" si="75"/>
        <v>E:\附赠：Excel模板\精美EXCEL模板\网友极力推荐的Excel模板1000例</v>
      </c>
      <c r="S3897" s="9">
        <v>43600.3821875</v>
      </c>
      <c r="T3897" s="9">
        <v>43390.5157638889</v>
      </c>
    </row>
    <row r="3898" spans="14:20">
      <c r="N3898" s="7" t="str">
        <f>HYPERLINK("E:\附赠：Excel模板\精美EXCEL模板\网友极力推荐的Excel模板1000例\申请新型农村合作医疗制度补助资金表.xls","申请新型农村合作医疗制度补助资金表.xls")</f>
        <v>申请新型农村合作医疗制度补助资金表.xls</v>
      </c>
      <c r="Q3898">
        <v>0.02</v>
      </c>
      <c r="R3898" s="7" t="str">
        <f t="shared" si="75"/>
        <v>E:\附赠：Excel模板\精美EXCEL模板\网友极力推荐的Excel模板1000例</v>
      </c>
      <c r="S3898" s="9">
        <v>43600.3821875</v>
      </c>
      <c r="T3898" s="9">
        <v>43390.5161574074</v>
      </c>
    </row>
    <row r="3899" spans="14:20">
      <c r="N3899" s="7" t="str">
        <f>HYPERLINK("E:\附赠：Excel模板\精美EXCEL模板\网友极力推荐的Excel模板1000例\电力集团公司继续教育培训计划.xls","电力集团公司继续教育培训计划.xls")</f>
        <v>电力集团公司继续教育培训计划.xls</v>
      </c>
      <c r="Q3899">
        <v>0.04</v>
      </c>
      <c r="R3899" s="7" t="str">
        <f t="shared" si="75"/>
        <v>E:\附赠：Excel模板\精美EXCEL模板\网友极力推荐的Excel模板1000例</v>
      </c>
      <c r="S3899" s="9">
        <v>43600.3821875</v>
      </c>
      <c r="T3899" s="9">
        <v>43390.5167361111</v>
      </c>
    </row>
    <row r="3900" spans="14:20">
      <c r="N3900" s="7" t="str">
        <f>HYPERLINK("E:\附赠：Excel模板\精美EXCEL模板\网友极力推荐的Excel模板1000例\电子表格资源列表.txt","电子表格资源列表.txt")</f>
        <v>电子表格资源列表.txt</v>
      </c>
      <c r="Q3900">
        <v>0.03</v>
      </c>
      <c r="R3900" s="7" t="str">
        <f t="shared" si="75"/>
        <v>E:\附赠：Excel模板\精美EXCEL模板\网友极力推荐的Excel模板1000例</v>
      </c>
      <c r="S3900" s="9">
        <v>43600.3821875</v>
      </c>
      <c r="T3900" s="9">
        <v>43390.5167361111</v>
      </c>
    </row>
    <row r="3901" spans="14:20">
      <c r="N3901" s="7" t="str">
        <f>HYPERLINK("E:\附赠：Excel模板\精美EXCEL模板\网友极力推荐的Excel模板1000例\电话经营情况明细表.xls","电话经营情况明细表.xls")</f>
        <v>电话经营情况明细表.xls</v>
      </c>
      <c r="Q3901">
        <v>0.02</v>
      </c>
      <c r="R3901" s="7" t="str">
        <f t="shared" si="75"/>
        <v>E:\附赠：Excel模板\精美EXCEL模板\网友极力推荐的Excel模板1000例</v>
      </c>
      <c r="S3901" s="9">
        <v>43600.3821875</v>
      </c>
      <c r="T3901" s="9">
        <v>43390.5167361111</v>
      </c>
    </row>
    <row r="3902" spans="14:20">
      <c r="N3902" s="7" t="str">
        <f>HYPERLINK("E:\附赠：Excel模板\精美EXCEL模板\网友极力推荐的Excel模板1000例\疾病预防控制中心工作人员基本情况.xls","疾病预防控制中心工作人员基本情况.xls")</f>
        <v>疾病预防控制中心工作人员基本情况.xls</v>
      </c>
      <c r="Q3902">
        <v>0.02</v>
      </c>
      <c r="R3902" s="7" t="str">
        <f t="shared" si="75"/>
        <v>E:\附赠：Excel模板\精美EXCEL模板\网友极力推荐的Excel模板1000例</v>
      </c>
      <c r="S3902" s="9">
        <v>43600.3821875</v>
      </c>
      <c r="T3902" s="9">
        <v>43390.5165277778</v>
      </c>
    </row>
    <row r="3903" spans="14:20">
      <c r="N3903" s="7" t="str">
        <f>HYPERLINK("E:\附赠：Excel模板\精美EXCEL模板\网友极力推荐的Excel模板1000例\监测能力基本情况表.xls","监测能力基本情况表.xls")</f>
        <v>监测能力基本情况表.xls</v>
      </c>
      <c r="Q3903">
        <v>0.02</v>
      </c>
      <c r="R3903" s="7" t="str">
        <f t="shared" si="75"/>
        <v>E:\附赠：Excel模板\精美EXCEL模板\网友极力推荐的Excel模板1000例</v>
      </c>
      <c r="S3903" s="9">
        <v>43600.3821875</v>
      </c>
      <c r="T3903" s="9">
        <v>43390.5165046296</v>
      </c>
    </row>
    <row r="3904" spans="14:20">
      <c r="N3904" s="7" t="str">
        <f>HYPERLINK("E:\附赠：Excel模板\精美EXCEL模板\网友极力推荐的Excel模板1000例\监测项目情况表.xls","监测项目情况表.xls")</f>
        <v>监测项目情况表.xls</v>
      </c>
      <c r="Q3904">
        <v>0.02</v>
      </c>
      <c r="R3904" s="7" t="str">
        <f t="shared" si="75"/>
        <v>E:\附赠：Excel模板\精美EXCEL模板\网友极力推荐的Excel模板1000例</v>
      </c>
      <c r="S3904" s="9">
        <v>43600.3821875</v>
      </c>
      <c r="T3904" s="9">
        <v>43390.5165046296</v>
      </c>
    </row>
    <row r="3905" spans="14:20">
      <c r="N3905" s="7" t="str">
        <f>HYPERLINK("E:\附赠：Excel模板\精美EXCEL模板\网友极力推荐的Excel模板1000例\直接管理人员费用预算明细表.xls","直接管理人员费用预算明细表.xls")</f>
        <v>直接管理人员费用预算明细表.xls</v>
      </c>
      <c r="Q3905">
        <v>0.02</v>
      </c>
      <c r="R3905" s="7" t="str">
        <f t="shared" si="75"/>
        <v>E:\附赠：Excel模板\精美EXCEL模板\网友极力推荐的Excel模板1000例</v>
      </c>
      <c r="S3905" s="9">
        <v>43600.3821875</v>
      </c>
      <c r="T3905" s="9">
        <v>43390.5156712963</v>
      </c>
    </row>
    <row r="3906" spans="14:20">
      <c r="N3906" s="7" t="str">
        <f>HYPERLINK("E:\附赠：Excel模板\精美EXCEL模板\网友极力推荐的Excel模板1000例\省 森林资源档案及GIS情况调查表.xls","省 森林资源档案及GIS情况调查表.xls")</f>
        <v>省 森林资源档案及GIS情况调查表.xls</v>
      </c>
      <c r="Q3906">
        <v>0.02</v>
      </c>
      <c r="R3906" s="7" t="str">
        <f t="shared" ref="R3906:R3969" si="76">HYPERLINK("E:\附赠：Excel模板\精美EXCEL模板\网友极力推荐的Excel模板1000例","E:\附赠：Excel模板\精美EXCEL模板\网友极力推荐的Excel模板1000例")</f>
        <v>E:\附赠：Excel模板\精美EXCEL模板\网友极力推荐的Excel模板1000例</v>
      </c>
      <c r="S3906" s="9">
        <v>43600.3821875</v>
      </c>
      <c r="T3906" s="9">
        <v>43390.5161574074</v>
      </c>
    </row>
    <row r="3907" spans="14:20">
      <c r="N3907" s="7" t="str">
        <f>HYPERLINK("E:\附赠：Excel模板\精美EXCEL模板\网友极力推荐的Excel模板1000例\省“十一五”计划重大建设项目表.xls","省“十一五”计划重大建设项目表.xls")</f>
        <v>省“十一五”计划重大建设项目表.xls</v>
      </c>
      <c r="Q3907">
        <v>0.02</v>
      </c>
      <c r="R3907" s="7" t="str">
        <f t="shared" si="76"/>
        <v>E:\附赠：Excel模板\精美EXCEL模板\网友极力推荐的Excel模板1000例</v>
      </c>
      <c r="S3907" s="9">
        <v>43600.3821875</v>
      </c>
      <c r="T3907" s="9">
        <v>43390.5161574074</v>
      </c>
    </row>
    <row r="3908" spans="14:20">
      <c r="N3908" s="7" t="str">
        <f>HYPERLINK("E:\附赠：Excel模板\精美EXCEL模板\网友极力推荐的Excel模板1000例\省“十一五”计划预备重大项目表.xls","省“十一五”计划预备重大项目表.xls")</f>
        <v>省“十一五”计划预备重大项目表.xls</v>
      </c>
      <c r="Q3908">
        <v>0.02</v>
      </c>
      <c r="R3908" s="7" t="str">
        <f t="shared" si="76"/>
        <v>E:\附赠：Excel模板\精美EXCEL模板\网友极力推荐的Excel模板1000例</v>
      </c>
      <c r="S3908" s="9">
        <v>43600.3821875</v>
      </c>
      <c r="T3908" s="9">
        <v>43390.5161574074</v>
      </c>
    </row>
    <row r="3909" spans="14:20">
      <c r="N3909" s="7" t="str">
        <f>HYPERLINK("E:\附赠：Excel模板\精美EXCEL模板\网友极力推荐的Excel模板1000例\省二类调查基本情况调查表.xls","省二类调查基本情况调查表.xls")</f>
        <v>省二类调查基本情况调查表.xls</v>
      </c>
      <c r="Q3909">
        <v>0.02</v>
      </c>
      <c r="R3909" s="7" t="str">
        <f t="shared" si="76"/>
        <v>E:\附赠：Excel模板\精美EXCEL模板\网友极力推荐的Excel模板1000例</v>
      </c>
      <c r="S3909" s="9">
        <v>43600.3821875</v>
      </c>
      <c r="T3909" s="9">
        <v>43390.5161574074</v>
      </c>
    </row>
    <row r="3910" spans="14:20">
      <c r="N3910" s="7" t="str">
        <f>HYPERLINK("E:\附赠：Excel模板\精美EXCEL模板\网友极力推荐的Excel模板1000例\省二类调查技术方法及遥感技术应用情况调查表.xls","省二类调查技术方法及遥感技术应用情况调查表.xls")</f>
        <v>省二类调查技术方法及遥感技术应用情况调查表.xls</v>
      </c>
      <c r="Q3910">
        <v>0.02</v>
      </c>
      <c r="R3910" s="7" t="str">
        <f t="shared" si="76"/>
        <v>E:\附赠：Excel模板\精美EXCEL模板\网友极力推荐的Excel模板1000例</v>
      </c>
      <c r="S3910" s="9">
        <v>43600.3821875</v>
      </c>
      <c r="T3910" s="9">
        <v>43390.5161574074</v>
      </c>
    </row>
    <row r="3911" spans="14:20">
      <c r="N3911" s="7" t="str">
        <f>HYPERLINK("E:\附赠：Excel模板\精美EXCEL模板\网友极力推荐的Excel模板1000例\省二类调查投入及来源渠道调查表.xls","省二类调查投入及来源渠道调查表.xls")</f>
        <v>省二类调查投入及来源渠道调查表.xls</v>
      </c>
      <c r="Q3911">
        <v>0.02</v>
      </c>
      <c r="R3911" s="7" t="str">
        <f t="shared" si="76"/>
        <v>E:\附赠：Excel模板\精美EXCEL模板\网友极力推荐的Excel模板1000例</v>
      </c>
      <c r="S3911" s="9">
        <v>43600.3821875</v>
      </c>
      <c r="T3911" s="9">
        <v>43390.5161342593</v>
      </c>
    </row>
    <row r="3912" spans="14:20">
      <c r="N3912" s="7" t="str">
        <f>HYPERLINK("E:\附赠：Excel模板\精美EXCEL模板\网友极力推荐的Excel模板1000例\省地矿行政管理表.xls","省地矿行政管理表.xls")</f>
        <v>省地矿行政管理表.xls</v>
      </c>
      <c r="Q3912">
        <v>0.02</v>
      </c>
      <c r="R3912" s="7" t="str">
        <f t="shared" si="76"/>
        <v>E:\附赠：Excel模板\精美EXCEL模板\网友极力推荐的Excel模板1000例</v>
      </c>
      <c r="S3912" s="9">
        <v>43600.3821875</v>
      </c>
      <c r="T3912" s="9">
        <v>43390.5161574074</v>
      </c>
    </row>
    <row r="3913" spans="14:20">
      <c r="N3913" s="7" t="str">
        <f>HYPERLINK("E:\附赠：Excel模板\精美EXCEL模板\网友极力推荐的Excel模板1000例\省本级分月政府采购项目清单.xls","省本级分月政府采购项目清单.xls")</f>
        <v>省本级分月政府采购项目清单.xls</v>
      </c>
      <c r="Q3913">
        <v>0.02</v>
      </c>
      <c r="R3913" s="7" t="str">
        <f t="shared" si="76"/>
        <v>E:\附赠：Excel模板\精美EXCEL模板\网友极力推荐的Excel模板1000例</v>
      </c>
      <c r="S3913" s="9">
        <v>43600.3821875</v>
      </c>
      <c r="T3913" s="9">
        <v>43390.5161574074</v>
      </c>
    </row>
    <row r="3914" spans="14:20">
      <c r="N3914" s="7" t="str">
        <f>HYPERLINK("E:\附赠：Excel模板\精美EXCEL模板\网友极力推荐的Excel模板1000例\省林业生态旅游区（点）开发建设情况汇总表.xls","省林业生态旅游区（点）开发建设情况汇总表.xls")</f>
        <v>省林业生态旅游区（点）开发建设情况汇总表.xls</v>
      </c>
      <c r="Q3914">
        <v>0.02</v>
      </c>
      <c r="R3914" s="7" t="str">
        <f t="shared" si="76"/>
        <v>E:\附赠：Excel模板\精美EXCEL模板\网友极力推荐的Excel模板1000例</v>
      </c>
      <c r="S3914" s="9">
        <v>43600.3821875</v>
      </c>
      <c r="T3914" s="9">
        <v>43390.5161342593</v>
      </c>
    </row>
    <row r="3915" spans="14:20">
      <c r="N3915" s="7" t="str">
        <f>HYPERLINK("E:\附赠：Excel模板\精美EXCEL模板\网友极力推荐的Excel模板1000例\省直预算单位银行账户年检登记表.xls","省直预算单位银行账户年检登记表.xls")</f>
        <v>省直预算单位银行账户年检登记表.xls</v>
      </c>
      <c r="Q3915">
        <v>0.02</v>
      </c>
      <c r="R3915" s="7" t="str">
        <f t="shared" si="76"/>
        <v>E:\附赠：Excel模板\精美EXCEL模板\网友极力推荐的Excel模板1000例</v>
      </c>
      <c r="S3915" s="9">
        <v>43600.3821875</v>
      </c>
      <c r="T3915" s="9">
        <v>43390.5161342593</v>
      </c>
    </row>
    <row r="3916" spans="14:20">
      <c r="N3916" s="7" t="str">
        <f>HYPERLINK("E:\附赠：Excel模板\精美EXCEL模板\网友极力推荐的Excel模板1000例\省级机关工作人员增减工资审批表.xls","省级机关工作人员增减工资审批表.xls")</f>
        <v>省级机关工作人员增减工资审批表.xls</v>
      </c>
      <c r="Q3916">
        <v>0.02</v>
      </c>
      <c r="R3916" s="7" t="str">
        <f t="shared" si="76"/>
        <v>E:\附赠：Excel模板\精美EXCEL模板\网友极力推荐的Excel模板1000例</v>
      </c>
      <c r="S3916" s="9">
        <v>43600.3821875</v>
      </c>
      <c r="T3916" s="9">
        <v>43390.5161342593</v>
      </c>
    </row>
    <row r="3917" spans="14:20">
      <c r="N3917" s="7" t="str">
        <f>HYPERLINK("E:\附赠：Excel模板\精美EXCEL模板\网友极力推荐的Excel模板1000例\省级机关机构编制审核表.xls","省级机关机构编制审核表.xls")</f>
        <v>省级机关机构编制审核表.xls</v>
      </c>
      <c r="Q3917">
        <v>0.02</v>
      </c>
      <c r="R3917" s="7" t="str">
        <f t="shared" si="76"/>
        <v>E:\附赠：Excel模板\精美EXCEL模板\网友极力推荐的Excel模板1000例</v>
      </c>
      <c r="S3917" s="9">
        <v>43600.3821875</v>
      </c>
      <c r="T3917" s="9">
        <v>43390.5161342593</v>
      </c>
    </row>
    <row r="3918" spans="14:20">
      <c r="N3918" s="7" t="str">
        <f>HYPERLINK("E:\附赠：Excel模板\精美EXCEL模板\网友极力推荐的Excel模板1000例\省级财政专项资金管理及拨付使用情况自查表.xls","省级财政专项资金管理及拨付使用情况自查表.xls")</f>
        <v>省级财政专项资金管理及拨付使用情况自查表.xls</v>
      </c>
      <c r="Q3918">
        <v>0.02</v>
      </c>
      <c r="R3918" s="7" t="str">
        <f t="shared" si="76"/>
        <v>E:\附赠：Excel模板\精美EXCEL模板\网友极力推荐的Excel模板1000例</v>
      </c>
      <c r="S3918" s="9">
        <v>43600.3821875</v>
      </c>
      <c r="T3918" s="9">
        <v>43390.5161342593</v>
      </c>
    </row>
    <row r="3919" spans="14:20">
      <c r="N3919" s="7" t="str">
        <f>HYPERLINK("E:\附赠：Excel模板\精美EXCEL模板\网友极力推荐的Excel模板1000例\省级部门集中采购计划申请表.xls","省级部门集中采购计划申请表.xls")</f>
        <v>省级部门集中采购计划申请表.xls</v>
      </c>
      <c r="Q3919">
        <v>0.02</v>
      </c>
      <c r="R3919" s="7" t="str">
        <f t="shared" si="76"/>
        <v>E:\附赠：Excel模板\精美EXCEL模板\网友极力推荐的Excel模板1000例</v>
      </c>
      <c r="S3919" s="9">
        <v>43600.3821875</v>
      </c>
      <c r="T3919" s="9">
        <v>43390.5161574074</v>
      </c>
    </row>
    <row r="3920" spans="14:20">
      <c r="N3920" s="7" t="str">
        <f>HYPERLINK("E:\附赠：Excel模板\精美EXCEL模板\网友极力推荐的Excel模板1000例\省邮政物流配送服务有限公司招聘岗位.xls","省邮政物流配送服务有限公司招聘岗位.xls")</f>
        <v>省邮政物流配送服务有限公司招聘岗位.xls</v>
      </c>
      <c r="Q3920">
        <v>0.02</v>
      </c>
      <c r="R3920" s="7" t="str">
        <f t="shared" si="76"/>
        <v>E:\附赠：Excel模板\精美EXCEL模板\网友极力推荐的Excel模板1000例</v>
      </c>
      <c r="S3920" s="9">
        <v>43600.3821875</v>
      </c>
      <c r="T3920" s="9">
        <v>43390.5161342593</v>
      </c>
    </row>
    <row r="3921" spans="14:20">
      <c r="N3921" s="7" t="str">
        <f>HYPERLINK("E:\附赠：Excel模板\精美EXCEL模板\网友极力推荐的Excel模板1000例\知识产权宣传培训统计表.xls","知识产权宣传培训统计表.xls")</f>
        <v>知识产权宣传培训统计表.xls</v>
      </c>
      <c r="Q3921">
        <v>0.01</v>
      </c>
      <c r="R3921" s="7" t="str">
        <f t="shared" si="76"/>
        <v>E:\附赠：Excel模板\精美EXCEL模板\网友极力推荐的Excel模板1000例</v>
      </c>
      <c r="S3921" s="9">
        <v>43600.3821875</v>
      </c>
      <c r="T3921" s="9">
        <v>43390.5156944444</v>
      </c>
    </row>
    <row r="3922" spans="14:20">
      <c r="N3922" s="7" t="str">
        <f>HYPERLINK("E:\附赠：Excel模板\精美EXCEL模板\网友极力推荐的Excel模板1000例\短期借款、长期借款明细表.xls","短期借款、长期借款明细表.xls")</f>
        <v>短期借款、长期借款明细表.xls</v>
      </c>
      <c r="Q3922">
        <v>0.02</v>
      </c>
      <c r="R3922" s="7" t="str">
        <f t="shared" si="76"/>
        <v>E:\附赠：Excel模板\精美EXCEL模板\网友极力推荐的Excel模板1000例</v>
      </c>
      <c r="S3922" s="9">
        <v>43600.3821875</v>
      </c>
      <c r="T3922" s="9">
        <v>43390.516712963</v>
      </c>
    </row>
    <row r="3923" spans="14:20">
      <c r="N3923" s="7" t="str">
        <f>HYPERLINK("E:\附赠：Excel模板\精美EXCEL模板\网友极力推荐的Excel模板1000例\短期投资明细表.xls","短期投资明细表.xls")</f>
        <v>短期投资明细表.xls</v>
      </c>
      <c r="Q3923">
        <v>0.02</v>
      </c>
      <c r="R3923" s="7" t="str">
        <f t="shared" si="76"/>
        <v>E:\附赠：Excel模板\精美EXCEL模板\网友极力推荐的Excel模板1000例</v>
      </c>
      <c r="S3923" s="9">
        <v>43600.3821875</v>
      </c>
      <c r="T3923" s="9">
        <v>43390.516712963</v>
      </c>
    </row>
    <row r="3924" spans="14:20">
      <c r="N3924" s="7" t="str">
        <f>HYPERLINK("E:\附赠：Excel模板\精美EXCEL模板\网友极力推荐的Excel模板1000例\矿产资源勘查登记项目情况表.xls","矿产资源勘查登记项目情况表.xls")</f>
        <v>矿产资源勘查登记项目情况表.xls</v>
      </c>
      <c r="Q3924">
        <v>0.03</v>
      </c>
      <c r="R3924" s="7" t="str">
        <f t="shared" si="76"/>
        <v>E:\附赠：Excel模板\精美EXCEL模板\网友极力推荐的Excel模板1000例</v>
      </c>
      <c r="S3924" s="9">
        <v>43600.3821875</v>
      </c>
      <c r="T3924" s="9">
        <v>43390.5163888889</v>
      </c>
    </row>
    <row r="3925" spans="14:20">
      <c r="N3925" s="7" t="str">
        <f>HYPERLINK("E:\附赠：Excel模板\精美EXCEL模板\网友极力推荐的Excel模板1000例\研究生离校手续卡(备忘).xls","研究生离校手续卡(备忘).xls")</f>
        <v>研究生离校手续卡(备忘).xls</v>
      </c>
      <c r="Q3925">
        <v>0.02</v>
      </c>
      <c r="R3925" s="7" t="str">
        <f t="shared" si="76"/>
        <v>E:\附赠：Excel模板\精美EXCEL模板\网友极力推荐的Excel模板1000例</v>
      </c>
      <c r="S3925" s="9">
        <v>43600.3821875</v>
      </c>
      <c r="T3925" s="9">
        <v>43390.5158101852</v>
      </c>
    </row>
    <row r="3926" spans="14:20">
      <c r="N3926" s="7" t="str">
        <f>HYPERLINK("E:\附赠：Excel模板\精美EXCEL模板\网友极力推荐的Excel模板1000例\研究生答辩安排.xls","研究生答辩安排.xls")</f>
        <v>研究生答辩安排.xls</v>
      </c>
      <c r="Q3926">
        <v>0.02</v>
      </c>
      <c r="R3926" s="7" t="str">
        <f t="shared" si="76"/>
        <v>E:\附赠：Excel模板\精美EXCEL模板\网友极力推荐的Excel模板1000例</v>
      </c>
      <c r="S3926" s="9">
        <v>43600.3821875</v>
      </c>
      <c r="T3926" s="9">
        <v>43390.515787037</v>
      </c>
    </row>
    <row r="3927" spans="14:20">
      <c r="N3927" s="7" t="str">
        <f>HYPERLINK("E:\附赠：Excel模板\精美EXCEL模板\网友极力推荐的Excel模板1000例\碩士在職進修專班課程結構規劃表.xls","碩士在職進修專班課程結構規劃表.xls")</f>
        <v>碩士在職進修專班課程結構規劃表.xls</v>
      </c>
      <c r="Q3927">
        <v>0.02</v>
      </c>
      <c r="R3927" s="7" t="str">
        <f t="shared" si="76"/>
        <v>E:\附赠：Excel模板\精美EXCEL模板\网友极力推荐的Excel模板1000例</v>
      </c>
      <c r="S3927" s="9">
        <v>43600.3821875</v>
      </c>
      <c r="T3927" s="9">
        <v>43390.5168055556</v>
      </c>
    </row>
    <row r="3928" spans="14:20">
      <c r="N3928" s="7" t="str">
        <f>HYPERLINK("E:\附赠：Excel模板\精美EXCEL模板\网友极力推荐的Excel模板1000例\社会事业重点储备项目.xls","社会事业重点储备项目.xls")</f>
        <v>社会事业重点储备项目.xls</v>
      </c>
      <c r="Q3928">
        <v>0.01</v>
      </c>
      <c r="R3928" s="7" t="str">
        <f t="shared" si="76"/>
        <v>E:\附赠：Excel模板\精美EXCEL模板\网友极力推荐的Excel模板1000例</v>
      </c>
      <c r="S3928" s="9">
        <v>43600.3821875</v>
      </c>
      <c r="T3928" s="9">
        <v>43390.5161805556</v>
      </c>
    </row>
    <row r="3929" spans="14:20">
      <c r="N3929" s="7" t="str">
        <f>HYPERLINK("E:\附赠：Excel模板\精美EXCEL模板\网友极力推荐的Excel模板1000例\社会保险工作量测算.xls","社会保险工作量测算.xls")</f>
        <v>社会保险工作量测算.xls</v>
      </c>
      <c r="Q3929">
        <v>0.02</v>
      </c>
      <c r="R3929" s="7" t="str">
        <f t="shared" si="76"/>
        <v>E:\附赠：Excel模板\精美EXCEL模板\网友极力推荐的Excel模板1000例</v>
      </c>
      <c r="S3929" s="9">
        <v>43600.3821875</v>
      </c>
      <c r="T3929" s="9">
        <v>43390.5161805556</v>
      </c>
    </row>
    <row r="3930" spans="14:20">
      <c r="N3930" s="7" t="str">
        <f>HYPERLINK("E:\附赠：Excel模板\精美EXCEL模板\网友极力推荐的Excel模板1000例\社会保险金异地转入银行到帐明细表.xls","社会保险金异地转入银行到帐明细表.xls")</f>
        <v>社会保险金异地转入银行到帐明细表.xls</v>
      </c>
      <c r="Q3930">
        <v>0.03</v>
      </c>
      <c r="R3930" s="7" t="str">
        <f t="shared" si="76"/>
        <v>E:\附赠：Excel模板\精美EXCEL模板\网友极力推荐的Excel模板1000例</v>
      </c>
      <c r="S3930" s="9">
        <v>43600.3821875</v>
      </c>
      <c r="T3930" s="9">
        <v>43390.5161574074</v>
      </c>
    </row>
    <row r="3931" spans="14:20">
      <c r="N3931" s="7" t="str">
        <f>HYPERLINK("E:\附赠：Excel模板\精美EXCEL模板\网友极力推荐的Excel模板1000例\社会发展基本情况统计表.xls","社会发展基本情况统计表.xls")</f>
        <v>社会发展基本情况统计表.xls</v>
      </c>
      <c r="Q3931">
        <v>0.04</v>
      </c>
      <c r="R3931" s="7" t="str">
        <f t="shared" si="76"/>
        <v>E:\附赠：Excel模板\精美EXCEL模板\网友极力推荐的Excel模板1000例</v>
      </c>
      <c r="S3931" s="9">
        <v>43600.3821875</v>
      </c>
      <c r="T3931" s="9">
        <v>43390.5161805556</v>
      </c>
    </row>
    <row r="3932" spans="14:20">
      <c r="N3932" s="7" t="str">
        <f>HYPERLINK("E:\附赠：Excel模板\精美EXCEL模板\网友极力推荐的Excel模板1000例\社会团体分支、代表机构负责人基本情况表.xls","社会团体分支、代表机构负责人基本情况表.xls")</f>
        <v>社会团体分支、代表机构负责人基本情况表.xls</v>
      </c>
      <c r="Q3932">
        <v>0.02</v>
      </c>
      <c r="R3932" s="7" t="str">
        <f t="shared" si="76"/>
        <v>E:\附赠：Excel模板\精美EXCEL模板\网友极力推荐的Excel模板1000例</v>
      </c>
      <c r="S3932" s="9">
        <v>43600.3821875</v>
      </c>
      <c r="T3932" s="9">
        <v>43390.5161574074</v>
      </c>
    </row>
    <row r="3933" spans="14:20">
      <c r="N3933" s="7" t="str">
        <f>HYPERLINK("E:\附赠：Excel模板\精美EXCEL模板\网友极力推荐的Excel模板1000例\社会团体年度检查报告书.xls","社会团体年度检查报告书.xls")</f>
        <v>社会团体年度检查报告书.xls</v>
      </c>
      <c r="Q3933">
        <v>0.02</v>
      </c>
      <c r="R3933" s="7" t="str">
        <f t="shared" si="76"/>
        <v>E:\附赠：Excel模板\精美EXCEL模板\网友极力推荐的Excel模板1000例</v>
      </c>
      <c r="S3933" s="9">
        <v>43600.3821875</v>
      </c>
      <c r="T3933" s="9">
        <v>43390.5161574074</v>
      </c>
    </row>
    <row r="3934" spans="14:20">
      <c r="N3934" s="7" t="str">
        <f>HYPERLINK("E:\附赠：Excel模板\精美EXCEL模板\网友极力推荐的Excel模板1000例\社保户管理范围调整表.xls","社保户管理范围调整表.xls")</f>
        <v>社保户管理范围调整表.xls</v>
      </c>
      <c r="Q3934">
        <v>0.04</v>
      </c>
      <c r="R3934" s="7" t="str">
        <f t="shared" si="76"/>
        <v>E:\附赠：Excel模板\精美EXCEL模板\网友极力推荐的Excel模板1000例</v>
      </c>
      <c r="S3934" s="9">
        <v>43600.3821875</v>
      </c>
      <c r="T3934" s="9">
        <v>43390.5161805556</v>
      </c>
    </row>
    <row r="3935" spans="14:20">
      <c r="N3935" s="7" t="str">
        <f>HYPERLINK("E:\附赠：Excel模板\精美EXCEL模板\网友极力推荐的Excel模板1000例\社区健康服务中心情况汇总表.xls","社区健康服务中心情况汇总表.xls")</f>
        <v>社区健康服务中心情况汇总表.xls</v>
      </c>
      <c r="Q3935">
        <v>0.02</v>
      </c>
      <c r="R3935" s="7" t="str">
        <f t="shared" si="76"/>
        <v>E:\附赠：Excel模板\精美EXCEL模板\网友极力推荐的Excel模板1000例</v>
      </c>
      <c r="S3935" s="9">
        <v>43600.3821875</v>
      </c>
      <c r="T3935" s="9">
        <v>43390.5161574074</v>
      </c>
    </row>
    <row r="3936" spans="14:20">
      <c r="N3936" s="7" t="str">
        <f>HYPERLINK("E:\附赠：Excel模板\精美EXCEL模板\网友极力推荐的Excel模板1000例\神奇万年历.xls","神奇万年历.xls")</f>
        <v>神奇万年历.xls</v>
      </c>
      <c r="Q3936">
        <v>0.22</v>
      </c>
      <c r="R3936" s="7" t="str">
        <f t="shared" si="76"/>
        <v>E:\附赠：Excel模板\精美EXCEL模板\网友极力推荐的Excel模板1000例</v>
      </c>
      <c r="S3936" s="9">
        <v>43600.3821875</v>
      </c>
      <c r="T3936" s="9">
        <v>43390.5161574074</v>
      </c>
    </row>
    <row r="3937" spans="14:20">
      <c r="N3937" s="7" t="str">
        <f>HYPERLINK("E:\附赠：Excel模板\精美EXCEL模板\网友极力推荐的Excel模板1000例\福彩机选模版.xls","福彩机选模版.xls")</f>
        <v>福彩机选模版.xls</v>
      </c>
      <c r="Q3937">
        <v>0.03</v>
      </c>
      <c r="R3937" s="7" t="str">
        <f t="shared" si="76"/>
        <v>E:\附赠：Excel模板\精美EXCEL模板\网友极力推荐的Excel模板1000例</v>
      </c>
      <c r="S3937" s="9">
        <v>43600.3821875</v>
      </c>
      <c r="T3937" s="9">
        <v>43390.5166666667</v>
      </c>
    </row>
    <row r="3938" spans="14:20">
      <c r="N3938" s="7" t="str">
        <f>HYPERLINK("E:\附赠：Excel模板\精美EXCEL模板\网友极力推荐的Excel模板1000例\离职人员统计表.xls","离职人员统计表.xls")</f>
        <v>离职人员统计表.xls</v>
      </c>
      <c r="Q3938">
        <v>0.02</v>
      </c>
      <c r="R3938" s="7" t="str">
        <f t="shared" si="76"/>
        <v>E:\附赠：Excel模板\精美EXCEL模板\网友极力推荐的Excel模板1000例</v>
      </c>
      <c r="S3938" s="9">
        <v>43600.3821875</v>
      </c>
      <c r="T3938" s="9">
        <v>43390.5163888889</v>
      </c>
    </row>
    <row r="3939" spans="14:20">
      <c r="N3939" s="7" t="str">
        <f>HYPERLINK("E:\附赠：Excel模板\精美EXCEL模板\网友极力推荐的Excel模板1000例\离退休人员名册.xls","离退休人员名册.xls")</f>
        <v>离退休人员名册.xls</v>
      </c>
      <c r="Q3939">
        <v>0.01</v>
      </c>
      <c r="R3939" s="7" t="str">
        <f t="shared" si="76"/>
        <v>E:\附赠：Excel模板\精美EXCEL模板\网友极力推荐的Excel模板1000例</v>
      </c>
      <c r="S3939" s="9">
        <v>43600.3821875</v>
      </c>
      <c r="T3939" s="9">
        <v>43390.5163888889</v>
      </c>
    </row>
    <row r="3940" spans="14:20">
      <c r="N3940" s="7" t="str">
        <f>HYPERLINK("E:\附赠：Excel模板\精美EXCEL模板\网友极力推荐的Excel模板1000例\科研服务教学统计表样表.xls","科研服务教学统计表样表.xls")</f>
        <v>科研服务教学统计表样表.xls</v>
      </c>
      <c r="Q3940">
        <v>0.03</v>
      </c>
      <c r="R3940" s="7" t="str">
        <f t="shared" si="76"/>
        <v>E:\附赠：Excel模板\精美EXCEL模板\网友极力推荐的Excel模板1000例</v>
      </c>
      <c r="S3940" s="9">
        <v>43600.3821875</v>
      </c>
      <c r="T3940" s="9">
        <v>43390.516412037</v>
      </c>
    </row>
    <row r="3941" spans="14:20">
      <c r="N3941" s="7" t="str">
        <f>HYPERLINK("E:\附赠：Excel模板\精美EXCEL模板\网友极力推荐的Excel模板1000例\租金及其他收入明细表.xls","租金及其他收入明细表.xls")</f>
        <v>租金及其他收入明细表.xls</v>
      </c>
      <c r="Q3941">
        <v>0.02</v>
      </c>
      <c r="R3941" s="7" t="str">
        <f t="shared" si="76"/>
        <v>E:\附赠：Excel模板\精美EXCEL模板\网友极力推荐的Excel模板1000例</v>
      </c>
      <c r="S3941" s="9">
        <v>43600.3821875</v>
      </c>
      <c r="T3941" s="9">
        <v>43390.5155787037</v>
      </c>
    </row>
    <row r="3942" spans="14:20">
      <c r="N3942" s="7" t="str">
        <f>HYPERLINK("E:\附赠：Excel模板\精美EXCEL模板\网友极力推荐的Excel模板1000例\税费负担及社会性支出情况表.xls","税费负担及社会性支出情况表.xls")</f>
        <v>税费负担及社会性支出情况表.xls</v>
      </c>
      <c r="Q3942">
        <v>0.01</v>
      </c>
      <c r="R3942" s="7" t="str">
        <f t="shared" si="76"/>
        <v>E:\附赠：Excel模板\精美EXCEL模板\网友极力推荐的Excel模板1000例</v>
      </c>
      <c r="S3942" s="9">
        <v>43600.3821875</v>
      </c>
      <c r="T3942" s="9">
        <v>43390.5160416667</v>
      </c>
    </row>
    <row r="3943" spans="14:20">
      <c r="N3943" s="7" t="str">
        <f>HYPERLINK("E:\附赠：Excel模板\精美EXCEL模板\网友极力推荐的Excel模板1000例\符合主讲教师资格（具有硕士或讲师）的教师名册.xls","符合主讲教师资格（具有硕士或讲师）的教师名册.xls")</f>
        <v>符合主讲教师资格（具有硕士或讲师）的教师名册.xls</v>
      </c>
      <c r="Q3943">
        <v>0.02</v>
      </c>
      <c r="R3943" s="7" t="str">
        <f t="shared" si="76"/>
        <v>E:\附赠：Excel模板\精美EXCEL模板\网友极力推荐的Excel模板1000例</v>
      </c>
      <c r="S3943" s="9">
        <v>43600.3821875</v>
      </c>
      <c r="T3943" s="9">
        <v>43390.5166666667</v>
      </c>
    </row>
    <row r="3944" spans="14:20">
      <c r="N3944" s="7" t="str">
        <f>HYPERLINK("E:\附赠：Excel模板\精美EXCEL模板\网友极力推荐的Excel模板1000例\答辩时间安排表.xls","答辩时间安排表.xls")</f>
        <v>答辩时间安排表.xls</v>
      </c>
      <c r="Q3944">
        <v>0.02</v>
      </c>
      <c r="R3944" s="7" t="str">
        <f t="shared" si="76"/>
        <v>E:\附赠：Excel模板\精美EXCEL模板\网友极力推荐的Excel模板1000例</v>
      </c>
      <c r="S3944" s="9">
        <v>43600.3821875</v>
      </c>
      <c r="T3944" s="9">
        <v>43390.5167824074</v>
      </c>
    </row>
    <row r="3945" spans="14:20">
      <c r="N3945" s="7" t="str">
        <f>HYPERLINK("E:\附赠：Excel模板\精美EXCEL模板\网友极力推荐的Excel模板1000例\管理制度一览表.xls","管理制度一览表.xls")</f>
        <v>管理制度一览表.xls</v>
      </c>
      <c r="Q3945">
        <v>0.01</v>
      </c>
      <c r="R3945" s="7" t="str">
        <f t="shared" si="76"/>
        <v>E:\附赠：Excel模板\精美EXCEL模板\网友极力推荐的Excel模板1000例</v>
      </c>
      <c r="S3945" s="9">
        <v>43600.3821875</v>
      </c>
      <c r="T3945" s="9">
        <v>43390.5165972222</v>
      </c>
    </row>
    <row r="3946" spans="14:20">
      <c r="N3946" s="7" t="str">
        <f>HYPERLINK("E:\附赠：Excel模板\精美EXCEL模板\网友极力推荐的Excel模板1000例\管理费用及财务费用预算表.xls","管理费用及财务费用预算表.xls")</f>
        <v>管理费用及财务费用预算表.xls</v>
      </c>
      <c r="Q3946">
        <v>0.02</v>
      </c>
      <c r="R3946" s="7" t="str">
        <f t="shared" si="76"/>
        <v>E:\附赠：Excel模板\精美EXCEL模板\网友极力推荐的Excel模板1000例</v>
      </c>
      <c r="S3946" s="9">
        <v>43600.3821875</v>
      </c>
      <c r="T3946" s="9">
        <v>43390.5165972222</v>
      </c>
    </row>
    <row r="3947" spans="14:20">
      <c r="N3947" s="7" t="str">
        <f>HYPERLINK("E:\附赠：Excel模板\精美EXCEL模板\网友极力推荐的Excel模板1000例\管理，信管，国贸论文题目.xls","管理，信管，国贸论文题目.xls")</f>
        <v>管理，信管，国贸论文题目.xls</v>
      </c>
      <c r="Q3947">
        <v>0.04</v>
      </c>
      <c r="R3947" s="7" t="str">
        <f t="shared" si="76"/>
        <v>E:\附赠：Excel模板\精美EXCEL模板\网友极力推荐的Excel模板1000例</v>
      </c>
      <c r="S3947" s="9">
        <v>43600.3821875</v>
      </c>
      <c r="T3947" s="9">
        <v>43390.5165972222</v>
      </c>
    </row>
    <row r="3948" spans="14:20">
      <c r="N3948" s="7" t="str">
        <f>HYPERLINK("E:\附赠：Excel模板\精美EXCEL模板\网友极力推荐的Excel模板1000例\粮食增产工程项目统计表.xls","粮食增产工程项目统计表.xls")</f>
        <v>粮食增产工程项目统计表.xls</v>
      </c>
      <c r="Q3948">
        <v>0.02</v>
      </c>
      <c r="R3948" s="7" t="str">
        <f t="shared" si="76"/>
        <v>E:\附赠：Excel模板\精美EXCEL模板\网友极力推荐的Excel模板1000例</v>
      </c>
      <c r="S3948" s="9">
        <v>43600.3821875</v>
      </c>
      <c r="T3948" s="9">
        <v>43390.5163657407</v>
      </c>
    </row>
    <row r="3949" spans="14:20">
      <c r="N3949" s="7" t="str">
        <f>HYPERLINK("E:\附赠：Excel模板\精美EXCEL模板\网友极力推荐的Excel模板1000例\系统干部名册.xls","系统干部名册.xls")</f>
        <v>系统干部名册.xls</v>
      </c>
      <c r="Q3949">
        <v>0.02</v>
      </c>
      <c r="R3949" s="7" t="str">
        <f t="shared" si="76"/>
        <v>E:\附赠：Excel模板\精美EXCEL模板\网友极力推荐的Excel模板1000例</v>
      </c>
      <c r="S3949" s="9">
        <v>43600.3821875</v>
      </c>
      <c r="T3949" s="9">
        <v>43390.5159953704</v>
      </c>
    </row>
    <row r="3950" spans="14:20">
      <c r="N3950" s="7" t="str">
        <f>HYPERLINK("E:\附赠：Excel模板\精美EXCEL模板\网友极力推荐的Excel模板1000例\累积资金结算指数计算表.xls","累积资金结算指数计算表.xls")</f>
        <v>累积资金结算指数计算表.xls</v>
      </c>
      <c r="Q3950">
        <v>0.02</v>
      </c>
      <c r="R3950" s="7" t="str">
        <f t="shared" si="76"/>
        <v>E:\附赠：Excel模板\精美EXCEL模板\网友极力推荐的Excel模板1000例</v>
      </c>
      <c r="S3950" s="9">
        <v>43600.3821875</v>
      </c>
      <c r="T3950" s="9">
        <v>43390.5163888889</v>
      </c>
    </row>
    <row r="3951" spans="14:20">
      <c r="N3951" s="7" t="str">
        <f>HYPERLINK("E:\附赠：Excel模板\精美EXCEL模板\网友极力推荐的Excel模板1000例\纳入预算管理的政府性基金收支表.xls","纳入预算管理的政府性基金收支表.xls")</f>
        <v>纳入预算管理的政府性基金收支表.xls</v>
      </c>
      <c r="Q3951">
        <v>0.02</v>
      </c>
      <c r="R3951" s="7" t="str">
        <f t="shared" si="76"/>
        <v>E:\附赠：Excel模板\精美EXCEL模板\网友极力推荐的Excel模板1000例</v>
      </c>
      <c r="S3951" s="9">
        <v>43600.3821875</v>
      </c>
      <c r="T3951" s="9">
        <v>43390.5163194444</v>
      </c>
    </row>
    <row r="3952" spans="14:20">
      <c r="N3952" s="7" t="str">
        <f>HYPERLINK("E:\附赠：Excel模板\精美EXCEL模板\网友极力推荐的Excel模板1000例\纳税人实际经营情况及印模备案表.xls","纳税人实际经营情况及印模备案表.xls")</f>
        <v>纳税人实际经营情况及印模备案表.xls</v>
      </c>
      <c r="Q3952">
        <v>0.01</v>
      </c>
      <c r="R3952" s="7" t="str">
        <f t="shared" si="76"/>
        <v>E:\附赠：Excel模板\精美EXCEL模板\网友极力推荐的Excel模板1000例</v>
      </c>
      <c r="S3952" s="9">
        <v>43600.3821875</v>
      </c>
      <c r="T3952" s="9">
        <v>43390.5163194444</v>
      </c>
    </row>
    <row r="3953" spans="14:20">
      <c r="N3953" s="7" t="str">
        <f>HYPERLINK("E:\附赠：Excel模板\精美EXCEL模板\网友极力推荐的Excel模板1000例\纳税人实际经营情况及印模备案表2.xls","纳税人实际经营情况及印模备案表2.xls")</f>
        <v>纳税人实际经营情况及印模备案表2.xls</v>
      </c>
      <c r="Q3953">
        <v>0.01</v>
      </c>
      <c r="R3953" s="7" t="str">
        <f t="shared" si="76"/>
        <v>E:\附赠：Excel模板\精美EXCEL模板\网友极力推荐的Excel模板1000例</v>
      </c>
      <c r="S3953" s="9">
        <v>43600.3821875</v>
      </c>
      <c r="T3953" s="9">
        <v>43390.5163194444</v>
      </c>
    </row>
    <row r="3954" spans="14:20">
      <c r="N3954" s="7" t="str">
        <f>HYPERLINK("E:\附赠：Excel模板\精美EXCEL模板\网友极力推荐的Excel模板1000例\经济困难学生调查明细表.xls","经济困难学生调查明细表.xls")</f>
        <v>经济困难学生调查明细表.xls</v>
      </c>
      <c r="Q3954">
        <v>0.02</v>
      </c>
      <c r="R3954" s="7" t="str">
        <f t="shared" si="76"/>
        <v>E:\附赠：Excel模板\精美EXCEL模板\网友极力推荐的Excel模板1000例</v>
      </c>
      <c r="S3954" s="9">
        <v>43600.3821875</v>
      </c>
      <c r="T3954" s="9">
        <v>43390.5164351852</v>
      </c>
    </row>
    <row r="3955" spans="14:20">
      <c r="N3955" s="7" t="str">
        <f>HYPERLINK("E:\附赠：Excel模板\精美EXCEL模板\网友极力推荐的Excel模板1000例\经济困难家庭子女减免费入学汇总表.xls","经济困难家庭子女减免费入学汇总表.xls")</f>
        <v>经济困难家庭子女减免费入学汇总表.xls</v>
      </c>
      <c r="Q3955">
        <v>0.02</v>
      </c>
      <c r="R3955" s="7" t="str">
        <f t="shared" si="76"/>
        <v>E:\附赠：Excel模板\精美EXCEL模板\网友极力推荐的Excel模板1000例</v>
      </c>
      <c r="S3955" s="9">
        <v>43600.3821875</v>
      </c>
      <c r="T3955" s="9">
        <v>43390.5164351852</v>
      </c>
    </row>
    <row r="3956" spans="14:20">
      <c r="N3956" s="7" t="str">
        <f>HYPERLINK("E:\附赠：Excel模板\精美EXCEL模板\网友极力推荐的Excel模板1000例\经济技术合作项目登记表.xls","经济技术合作项目登记表.xls")</f>
        <v>经济技术合作项目登记表.xls</v>
      </c>
      <c r="Q3956">
        <v>0.02</v>
      </c>
      <c r="R3956" s="7" t="str">
        <f t="shared" si="76"/>
        <v>E:\附赠：Excel模板\精美EXCEL模板\网友极力推荐的Excel模板1000例</v>
      </c>
      <c r="S3956" s="9">
        <v>43600.3821875</v>
      </c>
      <c r="T3956" s="9">
        <v>43390.5164351852</v>
      </c>
    </row>
    <row r="3957" spans="14:20">
      <c r="N3957" s="7" t="str">
        <f>HYPERLINK("E:\附赠：Excel模板\精美EXCEL模板\网友极力推荐的Excel模板1000例\经济普查试点普查表填报范围一览表.xls","经济普查试点普查表填报范围一览表.xls")</f>
        <v>经济普查试点普查表填报范围一览表.xls</v>
      </c>
      <c r="Q3957">
        <v>0.03</v>
      </c>
      <c r="R3957" s="7" t="str">
        <f t="shared" si="76"/>
        <v>E:\附赠：Excel模板\精美EXCEL模板\网友极力推荐的Excel模板1000例</v>
      </c>
      <c r="S3957" s="9">
        <v>43600.3821875</v>
      </c>
      <c r="T3957" s="9">
        <v>43390.5164351852</v>
      </c>
    </row>
    <row r="3958" spans="14:20">
      <c r="N3958" s="7" t="str">
        <f>HYPERLINK("E:\附赠：Excel模板\精美EXCEL模板\网友极力推荐的Excel模板1000例\经济普查试点普查表填报范围一览表2.xls","经济普查试点普查表填报范围一览表2.xls")</f>
        <v>经济普查试点普查表填报范围一览表2.xls</v>
      </c>
      <c r="Q3958">
        <v>0.03</v>
      </c>
      <c r="R3958" s="7" t="str">
        <f t="shared" si="76"/>
        <v>E:\附赠：Excel模板\精美EXCEL模板\网友极力推荐的Excel模板1000例</v>
      </c>
      <c r="S3958" s="9">
        <v>43600.3821875</v>
      </c>
      <c r="T3958" s="9">
        <v>43390.5164351852</v>
      </c>
    </row>
    <row r="3959" spans="14:20">
      <c r="N3959" s="7" t="str">
        <f>HYPERLINK("E:\附赠：Excel模板\精美EXCEL模板\网友极力推荐的Excel模板1000例\经营情况表.xls","经营情况表.xls")</f>
        <v>经营情况表.xls</v>
      </c>
      <c r="Q3959">
        <v>0.02</v>
      </c>
      <c r="R3959" s="7" t="str">
        <f t="shared" si="76"/>
        <v>E:\附赠：Excel模板\精美EXCEL模板\网友极力推荐的Excel模板1000例</v>
      </c>
      <c r="S3959" s="9">
        <v>43600.3821875</v>
      </c>
      <c r="T3959" s="9">
        <v>43390.5164351852</v>
      </c>
    </row>
    <row r="3960" spans="14:20">
      <c r="N3960" s="7" t="str">
        <f>HYPERLINK("E:\附赠：Excel模板\精美EXCEL模板\网友极力推荐的Excel模板1000例\经费（事业、经营）支出明细表.xls","经费（事业、经营）支出明细表.xls")</f>
        <v>经费（事业、经营）支出明细表.xls</v>
      </c>
      <c r="Q3960">
        <v>0.02</v>
      </c>
      <c r="R3960" s="7" t="str">
        <f t="shared" si="76"/>
        <v>E:\附赠：Excel模板\精美EXCEL模板\网友极力推荐的Excel模板1000例</v>
      </c>
      <c r="S3960" s="9">
        <v>43600.3821875</v>
      </c>
      <c r="T3960" s="9">
        <v>43390.5164351852</v>
      </c>
    </row>
    <row r="3961" spans="14:20">
      <c r="N3961" s="7" t="str">
        <f>HYPERLINK("E:\附赠：Excel模板\精美EXCEL模板\网友极力推荐的Excel模板1000例\结构分析表.xls","结构分析表.xls")</f>
        <v>结构分析表.xls</v>
      </c>
      <c r="Q3961">
        <v>0.02</v>
      </c>
      <c r="R3961" s="7" t="str">
        <f t="shared" si="76"/>
        <v>E:\附赠：Excel模板\精美EXCEL模板\网友极力推荐的Excel模板1000例</v>
      </c>
      <c r="S3961" s="9">
        <v>43600.3821875</v>
      </c>
      <c r="T3961" s="9">
        <v>43390.5164583333</v>
      </c>
    </row>
    <row r="3962" spans="14:20">
      <c r="N3962" s="7" t="str">
        <f>HYPERLINK("E:\附赠：Excel模板\精美EXCEL模板\网友极力推荐的Excel模板1000例\统计财务科固定报表目录.xls","统计财务科固定报表目录.xls")</f>
        <v>统计财务科固定报表目录.xls</v>
      </c>
      <c r="Q3962">
        <v>0.02</v>
      </c>
      <c r="R3962" s="7" t="str">
        <f t="shared" si="76"/>
        <v>E:\附赠：Excel模板\精美EXCEL模板\网友极力推荐的Excel模板1000例</v>
      </c>
      <c r="S3962" s="9">
        <v>43600.3821875</v>
      </c>
      <c r="T3962" s="9">
        <v>43390.5160416667</v>
      </c>
    </row>
    <row r="3963" spans="14:20">
      <c r="N3963" s="7" t="str">
        <f>HYPERLINK("E:\附赠：Excel模板\精美EXCEL模板\网友极力推荐的Excel模板1000例\绩效基本情况表1.xls","绩效基本情况表1.xls")</f>
        <v>绩效基本情况表1.xls</v>
      </c>
      <c r="Q3963">
        <v>0.02</v>
      </c>
      <c r="R3963" s="7" t="str">
        <f t="shared" si="76"/>
        <v>E:\附赠：Excel模板\精美EXCEL模板\网友极力推荐的Excel模板1000例</v>
      </c>
      <c r="S3963" s="9">
        <v>43600.3821875</v>
      </c>
      <c r="T3963" s="9">
        <v>43390.5165277778</v>
      </c>
    </row>
    <row r="3964" spans="14:20">
      <c r="N3964" s="7" t="str">
        <f>HYPERLINK("E:\附赠：Excel模板\精美EXCEL模板\网友极力推荐的Excel模板1000例\绩效基本情况表2.xls","绩效基本情况表2.xls")</f>
        <v>绩效基本情况表2.xls</v>
      </c>
      <c r="Q3964">
        <v>0.02</v>
      </c>
      <c r="R3964" s="7" t="str">
        <f t="shared" si="76"/>
        <v>E:\附赠：Excel模板\精美EXCEL模板\网友极力推荐的Excel模板1000例</v>
      </c>
      <c r="S3964" s="9">
        <v>43600.3821875</v>
      </c>
      <c r="T3964" s="9">
        <v>43390.5165277778</v>
      </c>
    </row>
    <row r="3965" spans="14:20">
      <c r="N3965" s="7" t="str">
        <f>HYPERLINK("E:\附赠：Excel模板\精美EXCEL模板\网友极力推荐的Excel模板1000例\绩效指标表.xls","绩效指标表.xls")</f>
        <v>绩效指标表.xls</v>
      </c>
      <c r="Q3965">
        <v>0.02</v>
      </c>
      <c r="R3965" s="7" t="str">
        <f t="shared" si="76"/>
        <v>E:\附赠：Excel模板\精美EXCEL模板\网友极力推荐的Excel模板1000例</v>
      </c>
      <c r="S3965" s="9">
        <v>43600.3821875</v>
      </c>
      <c r="T3965" s="9">
        <v>43390.5165277778</v>
      </c>
    </row>
    <row r="3966" spans="14:20">
      <c r="N3966" s="7" t="str">
        <f>HYPERLINK("E:\附赠：Excel模板\精美EXCEL模板\网友极力推荐的Excel模板1000例\网上出口商品库登记表.xls","网上出口商品库登记表.xls")</f>
        <v>网上出口商品库登记表.xls</v>
      </c>
      <c r="Q3966">
        <v>0.02</v>
      </c>
      <c r="R3966" s="7" t="str">
        <f t="shared" si="76"/>
        <v>E:\附赠：Excel模板\精美EXCEL模板\网友极力推荐的Excel模板1000例</v>
      </c>
      <c r="S3966" s="9">
        <v>43600.3821875</v>
      </c>
      <c r="T3966" s="9">
        <v>43390.5160185185</v>
      </c>
    </row>
    <row r="3967" spans="14:20">
      <c r="N3967" s="7" t="str">
        <f>HYPERLINK("E:\附赠：Excel模板\精美EXCEL模板\网友极力推荐的Excel模板1000例\美容美发经营情况明细表.xls","美容美发经营情况明细表.xls")</f>
        <v>美容美发经营情况明细表.xls</v>
      </c>
      <c r="Q3967">
        <v>0.02</v>
      </c>
      <c r="R3967" s="7" t="str">
        <f t="shared" si="76"/>
        <v>E:\附赠：Excel模板\精美EXCEL模板\网友极力推荐的Excel模板1000例</v>
      </c>
      <c r="S3967" s="9">
        <v>43600.3821875</v>
      </c>
      <c r="T3967" s="9">
        <v>43390.5163194444</v>
      </c>
    </row>
    <row r="3968" spans="14:20">
      <c r="N3968" s="7" t="str">
        <f>HYPERLINK("E:\附赠：Excel模板\精美EXCEL模板\网友极力推荐的Excel模板1000例\老条款车贷险业务统计表.xls","老条款车贷险业务统计表.xls")</f>
        <v>老条款车贷险业务统计表.xls</v>
      </c>
      <c r="Q3968">
        <v>0.02</v>
      </c>
      <c r="R3968" s="7" t="str">
        <f t="shared" si="76"/>
        <v>E:\附赠：Excel模板\精美EXCEL模板\网友极力推荐的Excel模板1000例</v>
      </c>
      <c r="S3968" s="9">
        <v>43600.3821875</v>
      </c>
      <c r="T3968" s="9">
        <v>43390.5163888889</v>
      </c>
    </row>
    <row r="3969" spans="14:20">
      <c r="N3969" s="7" t="str">
        <f>HYPERLINK("E:\附赠：Excel模板\精美EXCEL模板\网友极力推荐的Excel模板1000例\职业介绍工作情况表.xls","职业介绍工作情况表.xls")</f>
        <v>职业介绍工作情况表.xls</v>
      </c>
      <c r="Q3969">
        <v>0.02</v>
      </c>
      <c r="R3969" s="7" t="str">
        <f t="shared" si="76"/>
        <v>E:\附赠：Excel模板\精美EXCEL模板\网友极力推荐的Excel模板1000例</v>
      </c>
      <c r="S3969" s="9">
        <v>43600.3821875</v>
      </c>
      <c r="T3969" s="9">
        <v>43390.5156944444</v>
      </c>
    </row>
    <row r="3970" spans="14:20">
      <c r="N3970" s="7" t="str">
        <f>HYPERLINK("E:\附赠：Excel模板\精美EXCEL模板\网友极力推荐的Excel模板1000例\职位申请人履历表.xls","职位申请人履历表.xls")</f>
        <v>职位申请人履历表.xls</v>
      </c>
      <c r="Q3970">
        <v>0.02</v>
      </c>
      <c r="R3970" s="7" t="str">
        <f t="shared" ref="R3970:R4033" si="77">HYPERLINK("E:\附赠：Excel模板\精美EXCEL模板\网友极力推荐的Excel模板1000例","E:\附赠：Excel模板\精美EXCEL模板\网友极力推荐的Excel模板1000例")</f>
        <v>E:\附赠：Excel模板\精美EXCEL模板\网友极力推荐的Excel模板1000例</v>
      </c>
      <c r="S3970" s="9">
        <v>43600.3821875</v>
      </c>
      <c r="T3970" s="9">
        <v>43390.5156944444</v>
      </c>
    </row>
    <row r="3971" spans="14:20">
      <c r="N3971" s="7" t="str">
        <f>HYPERLINK("E:\附赠：Excel模板\精美EXCEL模板\网友极力推荐的Excel模板1000例\职务任免审批表.xls","职务任免审批表.xls")</f>
        <v>职务任免审批表.xls</v>
      </c>
      <c r="Q3971">
        <v>0.02</v>
      </c>
      <c r="R3971" s="7" t="str">
        <f t="shared" si="77"/>
        <v>E:\附赠：Excel模板\精美EXCEL模板\网友极力推荐的Excel模板1000例</v>
      </c>
      <c r="S3971" s="9">
        <v>43600.3821875</v>
      </c>
      <c r="T3971" s="9">
        <v>43390.5156944444</v>
      </c>
    </row>
    <row r="3972" spans="14:20">
      <c r="N3972" s="7" t="str">
        <f>HYPERLINK("E:\附赠：Excel模板\精美EXCEL模板\网友极力推荐的Excel模板1000例\职员招聘考生报名表.xls","职员招聘考生报名表.xls")</f>
        <v>职员招聘考生报名表.xls</v>
      </c>
      <c r="Q3972">
        <v>0.02</v>
      </c>
      <c r="R3972" s="7" t="str">
        <f t="shared" si="77"/>
        <v>E:\附赠：Excel模板\精美EXCEL模板\网友极力推荐的Excel模板1000例</v>
      </c>
      <c r="S3972" s="9">
        <v>43600.3821875</v>
      </c>
      <c r="T3972" s="9">
        <v>43390.5156712963</v>
      </c>
    </row>
    <row r="3973" spans="14:20">
      <c r="N3973" s="7" t="str">
        <f>HYPERLINK("E:\附赠：Excel模板\精美EXCEL模板\网友极力推荐的Excel模板1000例\职工人数增加减少情况.xls","职工人数增加减少情况.xls")</f>
        <v>职工人数增加减少情况.xls</v>
      </c>
      <c r="Q3973">
        <v>0.02</v>
      </c>
      <c r="R3973" s="7" t="str">
        <f t="shared" si="77"/>
        <v>E:\附赠：Excel模板\精美EXCEL模板\网友极力推荐的Excel模板1000例</v>
      </c>
      <c r="S3973" s="9">
        <v>43600.3821875</v>
      </c>
      <c r="T3973" s="9">
        <v>43390.5156944444</v>
      </c>
    </row>
    <row r="3974" spans="14:20">
      <c r="N3974" s="7" t="str">
        <f>HYPERLINK("E:\附赠：Excel模板\精美EXCEL模板\网友极力推荐的Excel模板1000例\职工养老保险情况调查表.xls","职工养老保险情况调查表.xls")</f>
        <v>职工养老保险情况调查表.xls</v>
      </c>
      <c r="Q3974">
        <v>0.02</v>
      </c>
      <c r="R3974" s="7" t="str">
        <f t="shared" si="77"/>
        <v>E:\附赠：Excel模板\精美EXCEL模板\网友极力推荐的Excel模板1000例</v>
      </c>
      <c r="S3974" s="9">
        <v>43600.3821875</v>
      </c>
      <c r="T3974" s="9">
        <v>43390.5156944444</v>
      </c>
    </row>
    <row r="3975" spans="14:20">
      <c r="N3975" s="7" t="str">
        <f>HYPERLINK("E:\附赠：Excel模板\精美EXCEL模板\网友极力推荐的Excel模板1000例\股份有限公司会计科目一览表.xls","股份有限公司会计科目一览表.xls")</f>
        <v>股份有限公司会计科目一览表.xls</v>
      </c>
      <c r="Q3975">
        <v>0.05</v>
      </c>
      <c r="R3975" s="7" t="str">
        <f t="shared" si="77"/>
        <v>E:\附赠：Excel模板\精美EXCEL模板\网友极力推荐的Excel模板1000例</v>
      </c>
      <c r="S3975" s="9">
        <v>43600.3821875</v>
      </c>
      <c r="T3975" s="9">
        <v>43390.5166203704</v>
      </c>
    </row>
    <row r="3976" spans="14:20">
      <c r="N3976" s="7" t="str">
        <f>HYPERLINK("E:\附赠：Excel模板\精美EXCEL模板\网友极力推荐的Excel模板1000例\股份有限公司本月份业务资料.xls","股份有限公司本月份业务资料.xls")</f>
        <v>股份有限公司本月份业务资料.xls</v>
      </c>
      <c r="Q3976">
        <v>0.02</v>
      </c>
      <c r="R3976" s="7" t="str">
        <f t="shared" si="77"/>
        <v>E:\附赠：Excel模板\精美EXCEL模板\网友极力推荐的Excel模板1000例</v>
      </c>
      <c r="S3976" s="9">
        <v>43600.3821875</v>
      </c>
      <c r="T3976" s="9">
        <v>43390.5166203704</v>
      </c>
    </row>
    <row r="3977" spans="14:20">
      <c r="N3977" s="7" t="str">
        <f>HYPERLINK("E:\附赠：Excel模板\精美EXCEL模板\网友极力推荐的Excel模板1000例\股份有限公司結構分析表.xls","股份有限公司結構分析表.xls")</f>
        <v>股份有限公司結構分析表.xls</v>
      </c>
      <c r="Q3977">
        <v>0.03</v>
      </c>
      <c r="R3977" s="7" t="str">
        <f t="shared" si="77"/>
        <v>E:\附赠：Excel模板\精美EXCEL模板\网友极力推荐的Excel模板1000例</v>
      </c>
      <c r="S3977" s="9">
        <v>43600.3821875</v>
      </c>
      <c r="T3977" s="9">
        <v>43390.5166203704</v>
      </c>
    </row>
    <row r="3978" spans="14:20">
      <c r="N3978" s="7" t="str">
        <f>HYPERLINK("E:\附赠：Excel模板\精美EXCEL模板\网友极力推荐的Excel模板1000例\能源及维修费用明细表.xls","能源及维修费用明细表.xls")</f>
        <v>能源及维修费用明细表.xls</v>
      </c>
      <c r="Q3978">
        <v>0.02</v>
      </c>
      <c r="R3978" s="7" t="str">
        <f t="shared" si="77"/>
        <v>E:\附赠：Excel模板\精美EXCEL模板\网友极力推荐的Excel模板1000例</v>
      </c>
      <c r="S3978" s="9">
        <v>43600.3821875</v>
      </c>
      <c r="T3978" s="9">
        <v>43390.5163194444</v>
      </c>
    </row>
    <row r="3979" spans="14:20">
      <c r="N3979" s="7" t="str">
        <f>HYPERLINK("E:\附赠：Excel模板\精美EXCEL模板\网友极力推荐的Excel模板1000例\自动进口许可管理货物目录.xls","自动进口许可管理货物目录.xls")</f>
        <v>自动进口许可管理货物目录.xls</v>
      </c>
      <c r="Q3979">
        <v>0.03</v>
      </c>
      <c r="R3979" s="7" t="str">
        <f t="shared" si="77"/>
        <v>E:\附赠：Excel模板\精美EXCEL模板\网友极力推荐的Excel模板1000例</v>
      </c>
      <c r="S3979" s="9">
        <v>43600.3821875</v>
      </c>
      <c r="T3979" s="9">
        <v>43390.5155787037</v>
      </c>
    </row>
    <row r="3980" spans="14:20">
      <c r="N3980" s="7" t="str">
        <f>HYPERLINK("E:\附赠：Excel模板\精美EXCEL模板\网友极力推荐的Excel模板1000例\自筹经费购置教学仪器设备一览表.xls","自筹经费购置教学仪器设备一览表.xls")</f>
        <v>自筹经费购置教学仪器设备一览表.xls</v>
      </c>
      <c r="Q3980">
        <v>0.02</v>
      </c>
      <c r="R3980" s="7" t="str">
        <f t="shared" si="77"/>
        <v>E:\附赠：Excel模板\精美EXCEL模板\网友极力推荐的Excel模板1000例</v>
      </c>
      <c r="S3980" s="9">
        <v>43600.3821875</v>
      </c>
      <c r="T3980" s="9">
        <v>43390.5155787037</v>
      </c>
    </row>
    <row r="3981" spans="14:20">
      <c r="N3981" s="7" t="str">
        <f>HYPERLINK("E:\附赠：Excel模板\精美EXCEL模板\网友极力推荐的Excel模板1000例\节假日旅游情况调查表.xls","节假日旅游情况调查表.xls")</f>
        <v>节假日旅游情况调查表.xls</v>
      </c>
      <c r="Q3981">
        <v>0.02</v>
      </c>
      <c r="R3981" s="7" t="str">
        <f t="shared" si="77"/>
        <v>E:\附赠：Excel模板\精美EXCEL模板\网友极力推荐的Excel模板1000例</v>
      </c>
      <c r="S3981" s="9">
        <v>43600.3821875</v>
      </c>
      <c r="T3981" s="9">
        <v>43390.5164583333</v>
      </c>
    </row>
    <row r="3982" spans="14:20">
      <c r="N3982" s="7" t="str">
        <f>HYPERLINK("E:\附赠：Excel模板\精美EXCEL模板\网友极力推荐的Excel模板1000例\节目主持人报名表.xls","节目主持人报名表.xls")</f>
        <v>节目主持人报名表.xls</v>
      </c>
      <c r="Q3982">
        <v>0.03</v>
      </c>
      <c r="R3982" s="7" t="str">
        <f t="shared" si="77"/>
        <v>E:\附赠：Excel模板\精美EXCEL模板\网友极力推荐的Excel模板1000例</v>
      </c>
      <c r="S3982" s="9">
        <v>43600.3821875</v>
      </c>
      <c r="T3982" s="9">
        <v>43390.5164583333</v>
      </c>
    </row>
    <row r="3983" spans="14:20">
      <c r="N3983" s="7" t="str">
        <f>HYPERLINK("E:\附赠：Excel模板\精美EXCEL模板\网友极力推荐的Excel模板1000例\药监支出明细表.xls","药监支出明细表.xls")</f>
        <v>药监支出明细表.xls</v>
      </c>
      <c r="Q3983">
        <v>0.03</v>
      </c>
      <c r="R3983" s="7" t="str">
        <f t="shared" si="77"/>
        <v>E:\附赠：Excel模板\精美EXCEL模板\网友极力推荐的Excel模板1000例</v>
      </c>
      <c r="S3983" s="9">
        <v>43600.3821875</v>
      </c>
      <c r="T3983" s="9">
        <v>43390.515787037</v>
      </c>
    </row>
    <row r="3984" spans="14:20">
      <c r="N3984" s="7" t="str">
        <f>HYPERLINK("E:\附赠：Excel模板\精美EXCEL模板\网友极力推荐的Excel模板1000例\药监收入明细表.xls","药监收入明细表.xls")</f>
        <v>药监收入明细表.xls</v>
      </c>
      <c r="Q3984">
        <v>0.03</v>
      </c>
      <c r="R3984" s="7" t="str">
        <f t="shared" si="77"/>
        <v>E:\附赠：Excel模板\精美EXCEL模板\网友极力推荐的Excel模板1000例</v>
      </c>
      <c r="S3984" s="9">
        <v>43600.3821875</v>
      </c>
      <c r="T3984" s="9">
        <v>43390.515787037</v>
      </c>
    </row>
    <row r="3985" spans="14:20">
      <c r="N3985" s="7" t="str">
        <f>HYPERLINK("E:\附赠：Excel模板\精美EXCEL模板\网友极力推荐的Excel模板1000例\药监行政事业性支出明细表.xls","药监行政事业性支出明细表.xls")</f>
        <v>药监行政事业性支出明细表.xls</v>
      </c>
      <c r="Q3985">
        <v>0.03</v>
      </c>
      <c r="R3985" s="7" t="str">
        <f t="shared" si="77"/>
        <v>E:\附赠：Excel模板\精美EXCEL模板\网友极力推荐的Excel模板1000例</v>
      </c>
      <c r="S3985" s="9">
        <v>43600.3821875</v>
      </c>
      <c r="T3985" s="9">
        <v>43390.515787037</v>
      </c>
    </row>
    <row r="3986" spans="14:20">
      <c r="N3986" s="7" t="str">
        <f>HYPERLINK("E:\附赠：Excel模板\精美EXCEL模板\网友极力推荐的Excel模板1000例\营业外收支明细表.xls","营业外收支明细表.xls")</f>
        <v>营业外收支明细表.xls</v>
      </c>
      <c r="Q3986">
        <v>0.02</v>
      </c>
      <c r="R3986" s="7" t="str">
        <f t="shared" si="77"/>
        <v>E:\附赠：Excel模板\精美EXCEL模板\网友极力推荐的Excel模板1000例</v>
      </c>
      <c r="S3986" s="9">
        <v>43600.3821875</v>
      </c>
      <c r="T3986" s="9">
        <v>43390.5157638889</v>
      </c>
    </row>
    <row r="3987" spans="14:20">
      <c r="N3987" s="7" t="str">
        <f>HYPERLINK("E:\附赠：Excel模板\精美EXCEL模板\网友极力推荐的Excel模板1000例\融资报表.xls","融资报表.xls")</f>
        <v>融资报表.xls</v>
      </c>
      <c r="Q3987">
        <v>0.02</v>
      </c>
      <c r="R3987" s="7" t="str">
        <f t="shared" si="77"/>
        <v>E:\附赠：Excel模板\精美EXCEL模板\网友极力推荐的Excel模板1000例</v>
      </c>
      <c r="S3987" s="9">
        <v>43600.3821875</v>
      </c>
      <c r="T3987" s="9">
        <v>43390.5161805556</v>
      </c>
    </row>
    <row r="3988" spans="14:20">
      <c r="N3988" s="7" t="str">
        <f>HYPERLINK("E:\附赠：Excel模板\精美EXCEL模板\网友极力推荐的Excel模板1000例\行业活动服务站点名单.xls","行业活动服务站点名单.xls")</f>
        <v>行业活动服务站点名单.xls</v>
      </c>
      <c r="Q3988">
        <v>0.02</v>
      </c>
      <c r="R3988" s="7" t="str">
        <f t="shared" si="77"/>
        <v>E:\附赠：Excel模板\精美EXCEL模板\网友极力推荐的Excel模板1000例</v>
      </c>
      <c r="S3988" s="9">
        <v>43600.3821875</v>
      </c>
      <c r="T3988" s="9">
        <v>43390.5159027778</v>
      </c>
    </row>
    <row r="3989" spans="14:20">
      <c r="N3989" s="7" t="str">
        <f>HYPERLINK("E:\附赠：Excel模板\精美EXCEL模板\网友极力推荐的Excel模板1000例\行政事业单位住房基金核定表.xls","行政事业单位住房基金核定表.xls")</f>
        <v>行政事业单位住房基金核定表.xls</v>
      </c>
      <c r="Q3989">
        <v>0.01</v>
      </c>
      <c r="R3989" s="7" t="str">
        <f t="shared" si="77"/>
        <v>E:\附赠：Excel模板\精美EXCEL模板\网友极力推荐的Excel模板1000例</v>
      </c>
      <c r="S3989" s="9">
        <v>43600.3821875</v>
      </c>
      <c r="T3989" s="9">
        <v>43390.5159027778</v>
      </c>
    </row>
    <row r="3990" spans="14:20">
      <c r="N3990" s="7" t="str">
        <f>HYPERLINK("E:\附赠：Excel模板\精美EXCEL模板\网友极力推荐的Excel模板1000例\行政事业单位政府采购预算表.xls","行政事业单位政府采购预算表.xls")</f>
        <v>行政事业单位政府采购预算表.xls</v>
      </c>
      <c r="Q3990">
        <v>0.02</v>
      </c>
      <c r="R3990" s="7" t="str">
        <f t="shared" si="77"/>
        <v>E:\附赠：Excel模板\精美EXCEL模板\网友极力推荐的Excel模板1000例</v>
      </c>
      <c r="S3990" s="9">
        <v>43600.3821875</v>
      </c>
      <c r="T3990" s="9">
        <v>43390.5159027778</v>
      </c>
    </row>
    <row r="3991" spans="14:20">
      <c r="N3991" s="7" t="str">
        <f>HYPERLINK("E:\附赠：Excel模板\精美EXCEL模板\网友极力推荐的Excel模板1000例\行政事业单位银行帐户开设情况表.xls","行政事业单位银行帐户开设情况表.xls")</f>
        <v>行政事业单位银行帐户开设情况表.xls</v>
      </c>
      <c r="Q3991">
        <v>0.02</v>
      </c>
      <c r="R3991" s="7" t="str">
        <f t="shared" si="77"/>
        <v>E:\附赠：Excel模板\精美EXCEL模板\网友极力推荐的Excel模板1000例</v>
      </c>
      <c r="S3991" s="9">
        <v>43600.3821875</v>
      </c>
      <c r="T3991" s="9">
        <v>43390.5159027778</v>
      </c>
    </row>
    <row r="3992" spans="14:20">
      <c r="N3992" s="7" t="str">
        <f>HYPERLINK("E:\附赠：Excel模板\精美EXCEL模板\网友极力推荐的Excel模板1000例\行政事业单位非税收入情况表.xls","行政事业单位非税收入情况表.xls")</f>
        <v>行政事业单位非税收入情况表.xls</v>
      </c>
      <c r="Q3992">
        <v>0.02</v>
      </c>
      <c r="R3992" s="7" t="str">
        <f t="shared" si="77"/>
        <v>E:\附赠：Excel模板\精美EXCEL模板\网友极力推荐的Excel模板1000例</v>
      </c>
      <c r="S3992" s="9">
        <v>43600.3821875</v>
      </c>
      <c r="T3992" s="9">
        <v>43390.5159027778</v>
      </c>
    </row>
    <row r="3993" spans="14:20">
      <c r="N3993" s="7" t="str">
        <f>HYPERLINK("E:\附赠：Excel模板\精美EXCEL模板\网友极力推荐的Excel模板1000例\行政事业性收费年审情况表.xls","行政事业性收费年审情况表.xls")</f>
        <v>行政事业性收费年审情况表.xls</v>
      </c>
      <c r="Q3993">
        <v>0.08</v>
      </c>
      <c r="R3993" s="7" t="str">
        <f t="shared" si="77"/>
        <v>E:\附赠：Excel模板\精美EXCEL模板\网友极力推荐的Excel模板1000例</v>
      </c>
      <c r="S3993" s="9">
        <v>43600.3821875</v>
      </c>
      <c r="T3993" s="9">
        <v>43390.5158796296</v>
      </c>
    </row>
    <row r="3994" spans="14:20">
      <c r="N3994" s="7" t="str">
        <f>HYPERLINK("E:\附赠：Excel模板\精美EXCEL模板\网友极力推荐的Excel模板1000例\行政事业性收费项目目录.xls","行政事业性收费项目目录.xls")</f>
        <v>行政事业性收费项目目录.xls</v>
      </c>
      <c r="Q3994">
        <v>0.02</v>
      </c>
      <c r="R3994" s="7" t="str">
        <f t="shared" si="77"/>
        <v>E:\附赠：Excel模板\精美EXCEL模板\网友极力推荐的Excel模板1000例</v>
      </c>
      <c r="S3994" s="9">
        <v>43600.3821875</v>
      </c>
      <c r="T3994" s="9">
        <v>43390.5158796296</v>
      </c>
    </row>
    <row r="3995" spans="14:20">
      <c r="N3995" s="7" t="str">
        <f>HYPERLINK("E:\附赠：Excel模板\精美EXCEL模板\网友极力推荐的Excel模板1000例\行政事业类财政拨款收支表.xls","行政事业类财政拨款收支表.xls")</f>
        <v>行政事业类财政拨款收支表.xls</v>
      </c>
      <c r="Q3995">
        <v>0.02</v>
      </c>
      <c r="R3995" s="7" t="str">
        <f t="shared" si="77"/>
        <v>E:\附赠：Excel模板\精美EXCEL模板\网友极力推荐的Excel模板1000例</v>
      </c>
      <c r="S3995" s="9">
        <v>43600.3821875</v>
      </c>
      <c r="T3995" s="9">
        <v>43390.5159027778</v>
      </c>
    </row>
    <row r="3996" spans="14:20">
      <c r="N3996" s="7" t="str">
        <f>HYPERLINK("E:\附赠：Excel模板\精美EXCEL模板\网友极力推荐的Excel模板1000例\行政单位收入支出表.xls","行政单位收入支出表.xls")</f>
        <v>行政单位收入支出表.xls</v>
      </c>
      <c r="Q3996">
        <v>0.02</v>
      </c>
      <c r="R3996" s="7" t="str">
        <f t="shared" si="77"/>
        <v>E:\附赠：Excel模板\精美EXCEL模板\网友极力推荐的Excel模板1000例</v>
      </c>
      <c r="S3996" s="9">
        <v>43600.3821875</v>
      </c>
      <c r="T3996" s="9">
        <v>43390.5159027778</v>
      </c>
    </row>
    <row r="3997" spans="14:20">
      <c r="N3997" s="7" t="str">
        <f>HYPERLINK("E:\附赠：Excel模板\精美EXCEL模板\网友极力推荐的Excel模板1000例\行政单位收入支出表2.xls","行政单位收入支出表2.xls")</f>
        <v>行政单位收入支出表2.xls</v>
      </c>
      <c r="Q3997">
        <v>0.02</v>
      </c>
      <c r="R3997" s="7" t="str">
        <f t="shared" si="77"/>
        <v>E:\附赠：Excel模板\精美EXCEL模板\网友极力推荐的Excel模板1000例</v>
      </c>
      <c r="S3997" s="9">
        <v>43600.3821875</v>
      </c>
      <c r="T3997" s="9">
        <v>43390.5159027778</v>
      </c>
    </row>
    <row r="3998" spans="14:20">
      <c r="N3998" s="7" t="str">
        <f>HYPERLINK("E:\附赠：Excel模板\精美EXCEL模板\网友极力推荐的Excel模板1000例\行政单位资产负债表.xls","行政单位资产负债表.xls")</f>
        <v>行政单位资产负债表.xls</v>
      </c>
      <c r="Q3998">
        <v>0.02</v>
      </c>
      <c r="R3998" s="7" t="str">
        <f t="shared" si="77"/>
        <v>E:\附赠：Excel模板\精美EXCEL模板\网友极力推荐的Excel模板1000例</v>
      </c>
      <c r="S3998" s="9">
        <v>43600.3821875</v>
      </c>
      <c r="T3998" s="9">
        <v>43390.5159027778</v>
      </c>
    </row>
    <row r="3999" spans="14:20">
      <c r="N3999" s="7" t="str">
        <f>HYPERLINK("E:\附赠：Excel模板\精美EXCEL模板\网友极力推荐的Excel模板1000例\行政普查申报.xls","行政普查申报.xls")</f>
        <v>行政普查申报.xls</v>
      </c>
      <c r="Q3999">
        <v>0.05</v>
      </c>
      <c r="R3999" s="7" t="str">
        <f t="shared" si="77"/>
        <v>E:\附赠：Excel模板\精美EXCEL模板\网友极力推荐的Excel模板1000例</v>
      </c>
      <c r="S3999" s="9">
        <v>43600.3821875</v>
      </c>
      <c r="T3999" s="9">
        <v>43390.5159027778</v>
      </c>
    </row>
    <row r="4000" spans="14:20">
      <c r="N4000" s="7" t="str">
        <f>HYPERLINK("E:\附赠：Excel模板\精美EXCEL模板\网友极力推荐的Excel模板1000例\行政管理费用明细表.xls","行政管理费用明细表.xls")</f>
        <v>行政管理费用明细表.xls</v>
      </c>
      <c r="Q4000">
        <v>0.02</v>
      </c>
      <c r="R4000" s="7" t="str">
        <f t="shared" si="77"/>
        <v>E:\附赠：Excel模板\精美EXCEL模板\网友极力推荐的Excel模板1000例</v>
      </c>
      <c r="S4000" s="9">
        <v>43600.3821875</v>
      </c>
      <c r="T4000" s="9">
        <v>43390.5159027778</v>
      </c>
    </row>
    <row r="4001" spans="14:20">
      <c r="N4001" s="7" t="str">
        <f>HYPERLINK("E:\附赠：Excel模板\精美EXCEL模板\网友极力推荐的Excel模板1000例\街道年目标管理责任表.xls","街道年目标管理责任表.xls")</f>
        <v>街道年目标管理责任表.xls</v>
      </c>
      <c r="Q4001">
        <v>0.03</v>
      </c>
      <c r="R4001" s="7" t="str">
        <f t="shared" si="77"/>
        <v>E:\附赠：Excel模板\精美EXCEL模板\网友极力推荐的Excel模板1000例</v>
      </c>
      <c r="S4001" s="9">
        <v>43600.3821875</v>
      </c>
      <c r="T4001" s="9">
        <v>43390.5164583333</v>
      </c>
    </row>
    <row r="4002" spans="14:20">
      <c r="N4002" s="7" t="str">
        <f>HYPERLINK("E:\附赠：Excel模板\精美EXCEL模板\网友极力推荐的Excel模板1000例\装饰装修室内设计大赛申报表.xls","装饰装修室内设计大赛申报表.xls")</f>
        <v>装饰装修室内设计大赛申报表.xls</v>
      </c>
      <c r="Q4002">
        <v>0.02</v>
      </c>
      <c r="R4002" s="7" t="str">
        <f t="shared" si="77"/>
        <v>E:\附赠：Excel模板\精美EXCEL模板\网友极力推荐的Excel模板1000例</v>
      </c>
      <c r="S4002" s="9">
        <v>43600.3821875</v>
      </c>
      <c r="T4002" s="9">
        <v>43390.515625</v>
      </c>
    </row>
    <row r="4003" spans="14:20">
      <c r="N4003" s="7" t="str">
        <f>HYPERLINK("E:\附赠：Excel模板\精美EXCEL模板\网友极力推荐的Excel模板1000例\西部地区“两基”攻坚规划总表.xls","西部地区“两基”攻坚规划总表.xls")</f>
        <v>西部地区“两基”攻坚规划总表.xls</v>
      </c>
      <c r="Q4003">
        <v>0.02</v>
      </c>
      <c r="R4003" s="7" t="str">
        <f t="shared" si="77"/>
        <v>E:\附赠：Excel模板\精美EXCEL模板\网友极力推荐的Excel模板1000例</v>
      </c>
      <c r="S4003" s="9">
        <v>43600.3821875</v>
      </c>
      <c r="T4003" s="9">
        <v>43390.5159953704</v>
      </c>
    </row>
    <row r="4004" spans="14:20">
      <c r="N4004" s="7" t="str">
        <f>HYPERLINK("E:\附赠：Excel模板\精美EXCEL模板\网友极力推荐的Excel模板1000例\规范收入单位银行账户登记及收入收缴情况登记表.xls","规范收入单位银行账户登记及收入收缴情况登记表.xls")</f>
        <v>规范收入单位银行账户登记及收入收缴情况登记表.xls</v>
      </c>
      <c r="Q4004">
        <v>0.02</v>
      </c>
      <c r="R4004" s="7" t="str">
        <f t="shared" si="77"/>
        <v>E:\附赠：Excel模板\精美EXCEL模板\网友极力推荐的Excel模板1000例</v>
      </c>
      <c r="S4004" s="9">
        <v>43600.3821875</v>
      </c>
      <c r="T4004" s="9">
        <v>43390.5165972222</v>
      </c>
    </row>
    <row r="4005" spans="14:20">
      <c r="N4005" s="7" t="str">
        <f>HYPERLINK("E:\附赠：Excel模板\精美EXCEL模板\网友极力推荐的Excel模板1000例\视听阅览室多媒体资源目录表.xls","视听阅览室多媒体资源目录表.xls")</f>
        <v>视听阅览室多媒体资源目录表.xls</v>
      </c>
      <c r="Q4005">
        <v>0.02</v>
      </c>
      <c r="R4005" s="7" t="str">
        <f t="shared" si="77"/>
        <v>E:\附赠：Excel模板\精美EXCEL模板\网友极力推荐的Excel模板1000例</v>
      </c>
      <c r="S4005" s="9">
        <v>43600.3821875</v>
      </c>
      <c r="T4005" s="9">
        <v>43390.5160648148</v>
      </c>
    </row>
    <row r="4006" spans="14:20">
      <c r="N4006" s="7" t="str">
        <f>HYPERLINK("E:\附赠：Excel模板\精美EXCEL模板\网友极力推荐的Excel模板1000例\计划学员信息纪录表.xls","计划学员信息纪录表.xls")</f>
        <v>计划学员信息纪录表.xls</v>
      </c>
      <c r="Q4006">
        <v>0.02</v>
      </c>
      <c r="R4006" s="7" t="str">
        <f t="shared" si="77"/>
        <v>E:\附赠：Excel模板\精美EXCEL模板\网友极力推荐的Excel模板1000例</v>
      </c>
      <c r="S4006" s="9">
        <v>43600.3821875</v>
      </c>
      <c r="T4006" s="9">
        <v>43390.5165277778</v>
      </c>
    </row>
    <row r="4007" spans="14:20">
      <c r="N4007" s="7" t="str">
        <f>HYPERLINK("E:\附赠：Excel模板\精美EXCEL模板\网友极力推荐的Excel模板1000例\计算机金融（专科）毕业设计参考题目.xls","计算机金融（专科）毕业设计参考题目.xls")</f>
        <v>计算机金融（专科）毕业设计参考题目.xls</v>
      </c>
      <c r="Q4007">
        <v>0.04</v>
      </c>
      <c r="R4007" s="7" t="str">
        <f t="shared" si="77"/>
        <v>E:\附赠：Excel模板\精美EXCEL模板\网友极力推荐的Excel模板1000例</v>
      </c>
      <c r="S4007" s="9">
        <v>43600.3821875</v>
      </c>
      <c r="T4007" s="9">
        <v>43390.5165277778</v>
      </c>
    </row>
    <row r="4008" spans="14:20">
      <c r="N4008" s="7" t="str">
        <f>HYPERLINK("E:\附赠：Excel模板\精美EXCEL模板\网友极力推荐的Excel模板1000例\订货单.xls","订货单.xls")</f>
        <v>订货单.xls</v>
      </c>
      <c r="Q4008">
        <v>0.02</v>
      </c>
      <c r="R4008" s="7" t="str">
        <f t="shared" si="77"/>
        <v>E:\附赠：Excel模板\精美EXCEL模板\网友极力推荐的Excel模板1000例</v>
      </c>
      <c r="S4008" s="9">
        <v>43600.3821875</v>
      </c>
      <c r="T4008" s="9">
        <v>43390.516712963</v>
      </c>
    </row>
    <row r="4009" spans="14:20">
      <c r="N4009" s="7" t="str">
        <f>HYPERLINK("E:\附赠：Excel模板\精美EXCEL模板\网友极力推荐的Excel模板1000例\订阅杂志登记表.xls","订阅杂志登记表.xls")</f>
        <v>订阅杂志登记表.xls</v>
      </c>
      <c r="Q4009">
        <v>0.01</v>
      </c>
      <c r="R4009" s="7" t="str">
        <f t="shared" si="77"/>
        <v>E:\附赠：Excel模板\精美EXCEL模板\网友极力推荐的Excel模板1000例</v>
      </c>
      <c r="S4009" s="9">
        <v>43600.3821875</v>
      </c>
      <c r="T4009" s="9">
        <v>43390.516712963</v>
      </c>
    </row>
    <row r="4010" spans="14:20">
      <c r="N4010" s="7" t="str">
        <f>HYPERLINK("E:\附赠：Excel模板\精美EXCEL模板\网友极力推荐的Excel模板1000例\设备资产清单.xls","设备资产清单.xls")</f>
        <v>设备资产清单.xls</v>
      </c>
      <c r="Q4010">
        <v>0.02</v>
      </c>
      <c r="R4010" s="7" t="str">
        <f t="shared" si="77"/>
        <v>E:\附赠：Excel模板\精美EXCEL模板\网友极力推荐的Excel模板1000例</v>
      </c>
      <c r="S4010" s="9">
        <v>43600.3821875</v>
      </c>
      <c r="T4010" s="9">
        <v>43390.5161574074</v>
      </c>
    </row>
    <row r="4011" spans="14:20">
      <c r="N4011" s="7" t="str">
        <f>HYPERLINK("E:\附赠：Excel模板\精美EXCEL模板\网友极力推荐的Excel模板1000例\证券业利润费用表.xls","证券业利润费用表.xls")</f>
        <v>证券业利润费用表.xls</v>
      </c>
      <c r="Q4011">
        <v>0.02</v>
      </c>
      <c r="R4011" s="7" t="str">
        <f t="shared" si="77"/>
        <v>E:\附赠：Excel模板\精美EXCEL模板\网友极力推荐的Excel模板1000例</v>
      </c>
      <c r="S4011" s="9">
        <v>43600.3821875</v>
      </c>
      <c r="T4011" s="9">
        <v>43390.5156944444</v>
      </c>
    </row>
    <row r="4012" spans="14:20">
      <c r="N4012" s="7" t="str">
        <f>HYPERLINK("E:\附赠：Excel模板\精美EXCEL模板\网友极力推荐的Excel模板1000例\证券业务统计表.xls","证券业务统计表.xls")</f>
        <v>证券业务统计表.xls</v>
      </c>
      <c r="Q4012">
        <v>0.02</v>
      </c>
      <c r="R4012" s="7" t="str">
        <f t="shared" si="77"/>
        <v>E:\附赠：Excel模板\精美EXCEL模板\网友极力推荐的Excel模板1000例</v>
      </c>
      <c r="S4012" s="9">
        <v>43600.3821875</v>
      </c>
      <c r="T4012" s="9">
        <v>43390.5156944444</v>
      </c>
    </row>
    <row r="4013" spans="14:20">
      <c r="N4013" s="7" t="str">
        <f>HYPERLINK("E:\附赠：Excel模板\精美EXCEL模板\网友极力推荐的Excel模板1000例\证券业经济普查－普查表填报说明.xls","证券业经济普查－普查表填报说明.xls")</f>
        <v>证券业经济普查－普查表填报说明.xls</v>
      </c>
      <c r="Q4013">
        <v>0.07</v>
      </c>
      <c r="R4013" s="7" t="str">
        <f t="shared" si="77"/>
        <v>E:\附赠：Excel模板\精美EXCEL模板\网友极力推荐的Excel模板1000例</v>
      </c>
      <c r="S4013" s="9">
        <v>43600.3821875</v>
      </c>
      <c r="T4013" s="9">
        <v>43390.5156944444</v>
      </c>
    </row>
    <row r="4014" spans="14:20">
      <c r="N4014" s="7" t="str">
        <f>HYPERLINK("E:\附赠：Excel模板\精美EXCEL模板\网友极力推荐的Excel模板1000例\证券业资产负债表.xls","证券业资产负债表.xls")</f>
        <v>证券业资产负债表.xls</v>
      </c>
      <c r="Q4014">
        <v>0.02</v>
      </c>
      <c r="R4014" s="7" t="str">
        <f t="shared" si="77"/>
        <v>E:\附赠：Excel模板\精美EXCEL模板\网友极力推荐的Excel模板1000例</v>
      </c>
      <c r="S4014" s="9">
        <v>43600.3821875</v>
      </c>
      <c r="T4014" s="9">
        <v>43390.5156944444</v>
      </c>
    </row>
    <row r="4015" spans="14:20">
      <c r="N4015" s="7" t="str">
        <f>HYPERLINK("E:\附赠：Excel模板\精美EXCEL模板\网友极力推荐的Excel模板1000例\课程开考科目.xls","课程开考科目.xls")</f>
        <v>课程开考科目.xls</v>
      </c>
      <c r="Q4015">
        <v>0.03</v>
      </c>
      <c r="R4015" s="7" t="str">
        <f t="shared" si="77"/>
        <v>E:\附赠：Excel模板\精美EXCEL模板\网友极力推荐的Excel模板1000例</v>
      </c>
      <c r="S4015" s="9">
        <v>43600.3821875</v>
      </c>
      <c r="T4015" s="9">
        <v>43390.5163888889</v>
      </c>
    </row>
    <row r="4016" spans="14:20">
      <c r="N4016" s="7" t="str">
        <f>HYPERLINK("E:\附赠：Excel模板\精美EXCEL模板\网友极力推荐的Excel模板1000例\课程的实验教学开出情况一览表.xls","课程的实验教学开出情况一览表.xls")</f>
        <v>课程的实验教学开出情况一览表.xls</v>
      </c>
      <c r="Q4016">
        <v>0.02</v>
      </c>
      <c r="R4016" s="7" t="str">
        <f t="shared" si="77"/>
        <v>E:\附赠：Excel模板\精美EXCEL模板\网友极力推荐的Excel模板1000例</v>
      </c>
      <c r="S4016" s="9">
        <v>43600.3821875</v>
      </c>
      <c r="T4016" s="9">
        <v>43390.5163888889</v>
      </c>
    </row>
    <row r="4017" spans="14:20">
      <c r="N4017" s="7" t="str">
        <f>HYPERLINK("E:\附赠：Excel模板\精美EXCEL模板\网友极力推荐的Excel模板1000例\课程表（土地与资源）.xls","课程表（土地与资源）.xls")</f>
        <v>课程表（土地与资源）.xls</v>
      </c>
      <c r="Q4017">
        <v>0.03</v>
      </c>
      <c r="R4017" s="7" t="str">
        <f t="shared" si="77"/>
        <v>E:\附赠：Excel模板\精美EXCEL模板\网友极力推荐的Excel模板1000例</v>
      </c>
      <c r="S4017" s="9">
        <v>43600.3821875</v>
      </c>
      <c r="T4017" s="9">
        <v>43390.516412037</v>
      </c>
    </row>
    <row r="4018" spans="14:20">
      <c r="N4018" s="7" t="str">
        <f>HYPERLINK("E:\附赠：Excel模板\精美EXCEL模板\网友极力推荐的Excel模板1000例\课程负责人统计表.xls","课程负责人统计表.xls")</f>
        <v>课程负责人统计表.xls</v>
      </c>
      <c r="Q4018">
        <v>0.02</v>
      </c>
      <c r="R4018" s="7" t="str">
        <f t="shared" si="77"/>
        <v>E:\附赠：Excel模板\精美EXCEL模板\网友极力推荐的Excel模板1000例</v>
      </c>
      <c r="S4018" s="9">
        <v>43600.3821875</v>
      </c>
      <c r="T4018" s="9">
        <v>43390.5163888889</v>
      </c>
    </row>
    <row r="4019" spans="14:20">
      <c r="N4019" s="7" t="str">
        <f>HYPERLINK("E:\附赠：Excel模板\精美EXCEL模板\网友极力推荐的Excel模板1000例\课表.xls","课表.xls")</f>
        <v>课表.xls</v>
      </c>
      <c r="Q4019">
        <v>0.02</v>
      </c>
      <c r="R4019" s="7" t="str">
        <f t="shared" si="77"/>
        <v>E:\附赠：Excel模板\精美EXCEL模板\网友极力推荐的Excel模板1000例</v>
      </c>
      <c r="S4019" s="9">
        <v>43600.3821875</v>
      </c>
      <c r="T4019" s="9">
        <v>43390.516412037</v>
      </c>
    </row>
    <row r="4020" spans="14:20">
      <c r="N4020" s="7" t="str">
        <f>HYPERLINK("E:\附赠：Excel模板\精美EXCEL模板\网友极力推荐的Excel模板1000例\调帐申请单.xls","调帐申请单.xls")</f>
        <v>调帐申请单.xls</v>
      </c>
      <c r="Q4020">
        <v>0.01</v>
      </c>
      <c r="R4020" s="7" t="str">
        <f t="shared" si="77"/>
        <v>E:\附赠：Excel模板\精美EXCEL模板\网友极力推荐的Excel模板1000例</v>
      </c>
      <c r="S4020" s="9">
        <v>43600.3821875</v>
      </c>
      <c r="T4020" s="9">
        <v>43390.516712963</v>
      </c>
    </row>
    <row r="4021" spans="14:20">
      <c r="N4021" s="7" t="str">
        <f>HYPERLINK("E:\附赠：Excel模板\精美EXCEL模板\网友极力推荐的Excel模板1000例\財務業務指標.xls","財務業務指標.xls")</f>
        <v>財務業務指標.xls</v>
      </c>
      <c r="Q4021">
        <v>0.02</v>
      </c>
      <c r="R4021" s="7" t="str">
        <f t="shared" si="77"/>
        <v>E:\附赠：Excel模板\精美EXCEL模板\网友极力推荐的Excel模板1000例</v>
      </c>
      <c r="S4021" s="9">
        <v>43600.3821875</v>
      </c>
      <c r="T4021" s="9">
        <v>43390.5155787037</v>
      </c>
    </row>
    <row r="4022" spans="14:20">
      <c r="N4022" s="7" t="str">
        <f>HYPERLINK("E:\附赠：Excel模板\精美EXCEL模板\网友极力推荐的Excel模板1000例\財務管理授課大鋼.xls","財務管理授課大鋼.xls")</f>
        <v>財務管理授課大鋼.xls</v>
      </c>
      <c r="Q4022">
        <v>0.02</v>
      </c>
      <c r="R4022" s="7" t="str">
        <f t="shared" si="77"/>
        <v>E:\附赠：Excel模板\精美EXCEL模板\网友极力推荐的Excel模板1000例</v>
      </c>
      <c r="S4022" s="9">
        <v>43600.3821875</v>
      </c>
      <c r="T4022" s="9">
        <v>43390.5155787037</v>
      </c>
    </row>
    <row r="4023" spans="14:20">
      <c r="N4023" s="7" t="str">
        <f>HYPERLINK("E:\附赠：Excel模板\精美EXCEL模板\网友极力推荐的Excel模板1000例\财产保险公司业务统计表.xls","财产保险公司业务统计表.xls")</f>
        <v>财产保险公司业务统计表.xls</v>
      </c>
      <c r="Q4023">
        <v>0.02</v>
      </c>
      <c r="R4023" s="7" t="str">
        <f t="shared" si="77"/>
        <v>E:\附赠：Excel模板\精美EXCEL模板\网友极力推荐的Excel模板1000例</v>
      </c>
      <c r="S4023" s="9">
        <v>43600.3821875</v>
      </c>
      <c r="T4023" s="9">
        <v>43390.5168981481</v>
      </c>
    </row>
    <row r="4024" spans="14:20">
      <c r="N4024" s="7" t="str">
        <f>HYPERLINK("E:\附赠：Excel模板\精美EXCEL模板\网友极力推荐的Excel模板1000例\财产保险公司分险种监管业务统计报表.xls","财产保险公司分险种监管业务统计报表.xls")</f>
        <v>财产保险公司分险种监管业务统计报表.xls</v>
      </c>
      <c r="Q4024">
        <v>0.02</v>
      </c>
      <c r="R4024" s="7" t="str">
        <f t="shared" si="77"/>
        <v>E:\附赠：Excel模板\精美EXCEL模板\网友极力推荐的Excel模板1000例</v>
      </c>
      <c r="S4024" s="9">
        <v>43600.3821875</v>
      </c>
      <c r="T4024" s="9">
        <v>43390.5168981481</v>
      </c>
    </row>
    <row r="4025" spans="14:20">
      <c r="N4025" s="7" t="str">
        <f>HYPERLINK("E:\附赠：Excel模板\精美EXCEL模板\网友极力推荐的Excel模板1000例\财产保险公司机动车险经营结构情况统计表.xls","财产保险公司机动车险经营结构情况统计表.xls")</f>
        <v>财产保险公司机动车险经营结构情况统计表.xls</v>
      </c>
      <c r="Q4025">
        <v>0.02</v>
      </c>
      <c r="R4025" s="7" t="str">
        <f t="shared" si="77"/>
        <v>E:\附赠：Excel模板\精美EXCEL模板\网友极力推荐的Excel模板1000例</v>
      </c>
      <c r="S4025" s="9">
        <v>43600.3821875</v>
      </c>
      <c r="T4025" s="9">
        <v>43390.5168981481</v>
      </c>
    </row>
    <row r="4026" spans="14:20">
      <c r="N4026" s="7" t="str">
        <f>HYPERLINK("E:\附赠：Excel模板\精美EXCEL模板\网友极力推荐的Excel模板1000例\财会机构及人员情况表.xls","财会机构及人员情况表.xls")</f>
        <v>财会机构及人员情况表.xls</v>
      </c>
      <c r="Q4026">
        <v>0.02</v>
      </c>
      <c r="R4026" s="7" t="str">
        <f t="shared" si="77"/>
        <v>E:\附赠：Excel模板\精美EXCEL模板\网友极力推荐的Excel模板1000例</v>
      </c>
      <c r="S4026" s="9">
        <v>43600.3821875</v>
      </c>
      <c r="T4026" s="9">
        <v>43390.516875</v>
      </c>
    </row>
    <row r="4027" spans="14:20">
      <c r="N4027" s="7" t="str">
        <f>HYPERLINK("E:\附赠：Excel模板\精美EXCEL模板\网友极力推荐的Excel模板1000例\财务信息化建设基本情况调查表.xls","财务信息化建设基本情况调查表.xls")</f>
        <v>财务信息化建设基本情况调查表.xls</v>
      </c>
      <c r="Q4027">
        <v>0.02</v>
      </c>
      <c r="R4027" s="7" t="str">
        <f t="shared" si="77"/>
        <v>E:\附赠：Excel模板\精美EXCEL模板\网友极力推荐的Excel模板1000例</v>
      </c>
      <c r="S4027" s="9">
        <v>43600.3821875</v>
      </c>
      <c r="T4027" s="9">
        <v>43390.516875</v>
      </c>
    </row>
    <row r="4028" spans="14:20">
      <c r="N4028" s="7" t="str">
        <f>HYPERLINK("E:\附赠：Excel模板\精美EXCEL模板\网友极力推荐的Excel模板1000例\财务决算审批表.xls","财务决算审批表.xls")</f>
        <v>财务决算审批表.xls</v>
      </c>
      <c r="Q4028">
        <v>0.02</v>
      </c>
      <c r="R4028" s="7" t="str">
        <f t="shared" si="77"/>
        <v>E:\附赠：Excel模板\精美EXCEL模板\网友极力推荐的Excel模板1000例</v>
      </c>
      <c r="S4028" s="9">
        <v>43600.3821875</v>
      </c>
      <c r="T4028" s="9">
        <v>43390.516875</v>
      </c>
    </row>
    <row r="4029" spans="14:20">
      <c r="N4029" s="7" t="str">
        <f>HYPERLINK("E:\附赠：Excel模板\精美EXCEL模板\网友极力推荐的Excel模板1000例\财务决算批复表.xls","财务决算批复表.xls")</f>
        <v>财务决算批复表.xls</v>
      </c>
      <c r="Q4029">
        <v>0.02</v>
      </c>
      <c r="R4029" s="7" t="str">
        <f t="shared" si="77"/>
        <v>E:\附赠：Excel模板\精美EXCEL模板\网友极力推荐的Excel模板1000例</v>
      </c>
      <c r="S4029" s="9">
        <v>43600.3821875</v>
      </c>
      <c r="T4029" s="9">
        <v>43390.516875</v>
      </c>
    </row>
    <row r="4030" spans="14:20">
      <c r="N4030" s="7" t="str">
        <f>HYPERLINK("E:\附赠：Excel模板\精美EXCEL模板\网友极力推荐的Excel模板1000例\财务工作考核条例.xls","财务工作考核条例.xls")</f>
        <v>财务工作考核条例.xls</v>
      </c>
      <c r="Q4030">
        <v>0.02</v>
      </c>
      <c r="R4030" s="7" t="str">
        <f t="shared" si="77"/>
        <v>E:\附赠：Excel模板\精美EXCEL模板\网友极力推荐的Excel模板1000例</v>
      </c>
      <c r="S4030" s="9">
        <v>43600.3821875</v>
      </c>
      <c r="T4030" s="9">
        <v>43390.516875</v>
      </c>
    </row>
    <row r="4031" spans="14:20">
      <c r="N4031" s="7" t="str">
        <f>HYPERLINK("E:\附赠：Excel模板\精美EXCEL模板\网友极力推荐的Excel模板1000例\财务报告.xls","财务报告.xls")</f>
        <v>财务报告.xls</v>
      </c>
      <c r="Q4031">
        <v>0.01</v>
      </c>
      <c r="R4031" s="7" t="str">
        <f t="shared" si="77"/>
        <v>E:\附赠：Excel模板\精美EXCEL模板\网友极力推荐的Excel模板1000例</v>
      </c>
      <c r="S4031" s="9">
        <v>43600.3821875</v>
      </c>
      <c r="T4031" s="9">
        <v>43390.516875</v>
      </c>
    </row>
    <row r="4032" spans="14:20">
      <c r="N4032" s="7" t="str">
        <f>HYPERLINK("E:\附赠：Excel模板\精美EXCEL模板\网友极力推荐的Excel模板1000例\财务报表.xls","财务报表.xls")</f>
        <v>财务报表.xls</v>
      </c>
      <c r="Q4032">
        <v>0.04</v>
      </c>
      <c r="R4032" s="7" t="str">
        <f t="shared" si="77"/>
        <v>E:\附赠：Excel模板\精美EXCEL模板\网友极力推荐的Excel模板1000例</v>
      </c>
      <c r="S4032" s="9">
        <v>43600.3821875</v>
      </c>
      <c r="T4032" s="9">
        <v>43390.516875</v>
      </c>
    </row>
    <row r="4033" spans="14:20">
      <c r="N4033" s="7" t="str">
        <f>HYPERLINK("E:\附赠：Excel模板\精美EXCEL模板\网友极力推荐的Excel模板1000例\财务指标比较分析表.xls","财务指标比较分析表.xls")</f>
        <v>财务指标比较分析表.xls</v>
      </c>
      <c r="Q4033">
        <v>0.02</v>
      </c>
      <c r="R4033" s="7" t="str">
        <f t="shared" si="77"/>
        <v>E:\附赠：Excel模板\精美EXCEL模板\网友极力推荐的Excel模板1000例</v>
      </c>
      <c r="S4033" s="9">
        <v>43600.3821875</v>
      </c>
      <c r="T4033" s="9">
        <v>43390.516875</v>
      </c>
    </row>
    <row r="4034" spans="14:20">
      <c r="N4034" s="7" t="str">
        <f>HYPERLINK("E:\附赠：Excel模板\精美EXCEL模板\网友极力推荐的Excel模板1000例\财务收支计划表.xls","财务收支计划表.xls")</f>
        <v>财务收支计划表.xls</v>
      </c>
      <c r="Q4034">
        <v>0.02</v>
      </c>
      <c r="R4034" s="7" t="str">
        <f t="shared" ref="R4034:R4097" si="78">HYPERLINK("E:\附赠：Excel模板\精美EXCEL模板\网友极力推荐的Excel模板1000例","E:\附赠：Excel模板\精美EXCEL模板\网友极力推荐的Excel模板1000例")</f>
        <v>E:\附赠：Excel模板\精美EXCEL模板\网友极力推荐的Excel模板1000例</v>
      </c>
      <c r="S4034" s="9">
        <v>43600.3821875</v>
      </c>
      <c r="T4034" s="9">
        <v>43390.516875</v>
      </c>
    </row>
    <row r="4035" spans="14:20">
      <c r="N4035" s="7" t="str">
        <f>HYPERLINK("E:\附赠：Excel模板\精美EXCEL模板\网友极力推荐的Excel模板1000例\财务检查情况登记表.xls","财务检查情况登记表.xls")</f>
        <v>财务检查情况登记表.xls</v>
      </c>
      <c r="Q4035">
        <v>0.02</v>
      </c>
      <c r="R4035" s="7" t="str">
        <f t="shared" si="78"/>
        <v>E:\附赠：Excel模板\精美EXCEL模板\网友极力推荐的Excel模板1000例</v>
      </c>
      <c r="S4035" s="9">
        <v>43600.3821875</v>
      </c>
      <c r="T4035" s="9">
        <v>43390.516875</v>
      </c>
    </row>
    <row r="4036" spans="14:20">
      <c r="N4036" s="7" t="str">
        <f>HYPERLINK("E:\附赠：Excel模板\精美EXCEL模板\网友极力推荐的Excel模板1000例\财务比率表.xls","财务比率表.xls")</f>
        <v>财务比率表.xls</v>
      </c>
      <c r="Q4036">
        <v>0.06</v>
      </c>
      <c r="R4036" s="7" t="str">
        <f t="shared" si="78"/>
        <v>E:\附赠：Excel模板\精美EXCEL模板\网友极力推荐的Excel模板1000例</v>
      </c>
      <c r="S4036" s="9">
        <v>43600.3821875</v>
      </c>
      <c r="T4036" s="9">
        <v>43390.516875</v>
      </c>
    </row>
    <row r="4037" spans="14:20">
      <c r="N4037" s="7" t="str">
        <f>HYPERLINK("E:\附赠：Excel模板\精美EXCEL模板\网友极力推荐的Excel模板1000例\财务管理专业教学培养方案.xls","财务管理专业教学培养方案.xls")</f>
        <v>财务管理专业教学培养方案.xls</v>
      </c>
      <c r="Q4037">
        <v>0.02</v>
      </c>
      <c r="R4037" s="7" t="str">
        <f t="shared" si="78"/>
        <v>E:\附赠：Excel模板\精美EXCEL模板\网友极力推荐的Excel模板1000例</v>
      </c>
      <c r="S4037" s="9">
        <v>43600.3821875</v>
      </c>
      <c r="T4037" s="9">
        <v>43390.5168981481</v>
      </c>
    </row>
    <row r="4038" spans="14:20">
      <c r="N4038" s="7" t="str">
        <f>HYPERLINK("E:\附赠：Excel模板\精美EXCEL模板\网友极力推荐的Excel模板1000例\财务管理（本）专业教学计划表.xls","财务管理（本）专业教学计划表.xls")</f>
        <v>财务管理（本）专业教学计划表.xls</v>
      </c>
      <c r="Q4038">
        <v>0.04</v>
      </c>
      <c r="R4038" s="7" t="str">
        <f t="shared" si="78"/>
        <v>E:\附赠：Excel模板\精美EXCEL模板\网友极力推荐的Excel模板1000例</v>
      </c>
      <c r="S4038" s="9">
        <v>43600.3821875</v>
      </c>
      <c r="T4038" s="9">
        <v>43390.516875</v>
      </c>
    </row>
    <row r="4039" spans="14:20">
      <c r="N4039" s="7" t="str">
        <f>HYPERLINK("E:\附赠：Excel模板\精美EXCEL模板\网友极力推荐的Excel模板1000例\财务系统调查表.xls","财务系统调查表.xls")</f>
        <v>财务系统调查表.xls</v>
      </c>
      <c r="Q4039">
        <v>0.02</v>
      </c>
      <c r="R4039" s="7" t="str">
        <f t="shared" si="78"/>
        <v>E:\附赠：Excel模板\精美EXCEL模板\网友极力推荐的Excel模板1000例</v>
      </c>
      <c r="S4039" s="9">
        <v>43600.3821875</v>
      </c>
      <c r="T4039" s="9">
        <v>43390.516875</v>
      </c>
    </row>
    <row r="4040" spans="14:20">
      <c r="N4040" s="7" t="str">
        <f>HYPERLINK("E:\附赠：Excel模板\精美EXCEL模板\网友极力推荐的Excel模板1000例\财政、财务收支审计情况审核表.xls","财政、财务收支审计情况审核表.xls")</f>
        <v>财政、财务收支审计情况审核表.xls</v>
      </c>
      <c r="Q4040">
        <v>0.02</v>
      </c>
      <c r="R4040" s="7" t="str">
        <f t="shared" si="78"/>
        <v>E:\附赠：Excel模板\精美EXCEL模板\网友极力推荐的Excel模板1000例</v>
      </c>
      <c r="S4040" s="9">
        <v>43600.3821875</v>
      </c>
      <c r="T4040" s="9">
        <v>43390.516875</v>
      </c>
    </row>
    <row r="4041" spans="14:20">
      <c r="N4041" s="7" t="str">
        <f>HYPERLINK("E:\附赠：Excel模板\精美EXCEL模板\网友极力推荐的Excel模板1000例\财政一般预算收支决算总表.xls","财政一般预算收支决算总表.xls")</f>
        <v>财政一般预算收支决算总表.xls</v>
      </c>
      <c r="Q4041">
        <v>0.02</v>
      </c>
      <c r="R4041" s="7" t="str">
        <f t="shared" si="78"/>
        <v>E:\附赠：Excel模板\精美EXCEL模板\网友极力推荐的Excel模板1000例</v>
      </c>
      <c r="S4041" s="9">
        <v>43600.3821875</v>
      </c>
      <c r="T4041" s="9">
        <v>43390.5168518519</v>
      </c>
    </row>
    <row r="4042" spans="14:20">
      <c r="N4042" s="7" t="str">
        <f>HYPERLINK("E:\附赠：Excel模板\精美EXCEL模板\网友极力推荐的Excel模板1000例\财政专户资金分类快报表.xls","财政专户资金分类快报表.xls")</f>
        <v>财政专户资金分类快报表.xls</v>
      </c>
      <c r="Q4042">
        <v>0.02</v>
      </c>
      <c r="R4042" s="7" t="str">
        <f t="shared" si="78"/>
        <v>E:\附赠：Excel模板\精美EXCEL模板\网友极力推荐的Excel模板1000例</v>
      </c>
      <c r="S4042" s="9">
        <v>43600.3821875</v>
      </c>
      <c r="T4042" s="9">
        <v>43390.5168518519</v>
      </c>
    </row>
    <row r="4043" spans="14:20">
      <c r="N4043" s="7" t="str">
        <f>HYPERLINK("E:\附赠：Excel模板\精美EXCEL模板\网友极力推荐的Excel模板1000例\财政专项资金申报项目情况表.xls","财政专项资金申报项目情况表.xls")</f>
        <v>财政专项资金申报项目情况表.xls</v>
      </c>
      <c r="Q4043">
        <v>0.02</v>
      </c>
      <c r="R4043" s="7" t="str">
        <f t="shared" si="78"/>
        <v>E:\附赠：Excel模板\精美EXCEL模板\网友极力推荐的Excel模板1000例</v>
      </c>
      <c r="S4043" s="9">
        <v>43600.3821875</v>
      </c>
      <c r="T4043" s="9">
        <v>43390.5168518519</v>
      </c>
    </row>
    <row r="4044" spans="14:20">
      <c r="N4044" s="7" t="str">
        <f>HYPERLINK("E:\附赠：Excel模板\精美EXCEL模板\网友极力推荐的Excel模板1000例\财政专项资金申报项目汇总表.xls","财政专项资金申报项目汇总表.xls")</f>
        <v>财政专项资金申报项目汇总表.xls</v>
      </c>
      <c r="Q4044">
        <v>0.02</v>
      </c>
      <c r="R4044" s="7" t="str">
        <f t="shared" si="78"/>
        <v>E:\附赠：Excel模板\精美EXCEL模板\网友极力推荐的Excel模板1000例</v>
      </c>
      <c r="S4044" s="9">
        <v>43600.3821875</v>
      </c>
      <c r="T4044" s="9">
        <v>43390.5168518519</v>
      </c>
    </row>
    <row r="4045" spans="14:20">
      <c r="N4045" s="7" t="str">
        <f>HYPERLINK("E:\附赠：Excel模板\精美EXCEL模板\网友极力推荐的Excel模板1000例\财政专项资金申请书.xls","财政专项资金申请书.xls")</f>
        <v>财政专项资金申请书.xls</v>
      </c>
      <c r="Q4045">
        <v>0.02</v>
      </c>
      <c r="R4045" s="7" t="str">
        <f t="shared" si="78"/>
        <v>E:\附赠：Excel模板\精美EXCEL模板\网友极力推荐的Excel模板1000例</v>
      </c>
      <c r="S4045" s="9">
        <v>43600.3821875</v>
      </c>
      <c r="T4045" s="9">
        <v>43390.5168518519</v>
      </c>
    </row>
    <row r="4046" spans="14:20">
      <c r="N4046" s="7" t="str">
        <f>HYPERLINK("E:\附赠：Excel模板\精美EXCEL模板\网友极力推荐的Excel模板1000例\财政国库管理制度改革范围划分建议表.xls","财政国库管理制度改革范围划分建议表.xls")</f>
        <v>财政国库管理制度改革范围划分建议表.xls</v>
      </c>
      <c r="Q4046">
        <v>0.02</v>
      </c>
      <c r="R4046" s="7" t="str">
        <f t="shared" si="78"/>
        <v>E:\附赠：Excel模板\精美EXCEL模板\网友极力推荐的Excel模板1000例</v>
      </c>
      <c r="S4046" s="9">
        <v>43600.3821875</v>
      </c>
      <c r="T4046" s="9">
        <v>43390.516875</v>
      </c>
    </row>
    <row r="4047" spans="14:20">
      <c r="N4047" s="7" t="str">
        <f>HYPERLINK("E:\附赠：Excel模板\精美EXCEL模板\网友极力推荐的Excel模板1000例\财政性建设项目阶段式审核流程总表.xls","财政性建设项目阶段式审核流程总表.xls")</f>
        <v>财政性建设项目阶段式审核流程总表.xls</v>
      </c>
      <c r="Q4047">
        <v>0.04</v>
      </c>
      <c r="R4047" s="7" t="str">
        <f t="shared" si="78"/>
        <v>E:\附赠：Excel模板\精美EXCEL模板\网友极力推荐的Excel模板1000例</v>
      </c>
      <c r="S4047" s="9">
        <v>43600.3821875</v>
      </c>
      <c r="T4047" s="9">
        <v>43390.5168518519</v>
      </c>
    </row>
    <row r="4048" spans="14:20">
      <c r="N4048" s="7" t="str">
        <f>HYPERLINK("E:\附赠：Excel模板\精美EXCEL模板\网友极力推荐的Excel模板1000例\财政票据使用情况表.xls","财政票据使用情况表.xls")</f>
        <v>财政票据使用情况表.xls</v>
      </c>
      <c r="Q4048">
        <v>0.02</v>
      </c>
      <c r="R4048" s="7" t="str">
        <f t="shared" si="78"/>
        <v>E:\附赠：Excel模板\精美EXCEL模板\网友极力推荐的Excel模板1000例</v>
      </c>
      <c r="S4048" s="9">
        <v>43600.3821875</v>
      </c>
      <c r="T4048" s="9">
        <v>43390.5168518519</v>
      </c>
    </row>
    <row r="4049" spans="14:20">
      <c r="N4049" s="7" t="str">
        <f>HYPERLINK("E:\附赠：Excel模板\精美EXCEL模板\网友极力推荐的Excel模板1000例\财政票据核销登记表.xls","财政票据核销登记表.xls")</f>
        <v>财政票据核销登记表.xls</v>
      </c>
      <c r="Q4049">
        <v>0.02</v>
      </c>
      <c r="R4049" s="7" t="str">
        <f t="shared" si="78"/>
        <v>E:\附赠：Excel模板\精美EXCEL模板\网友极力推荐的Excel模板1000例</v>
      </c>
      <c r="S4049" s="9">
        <v>43600.3821875</v>
      </c>
      <c r="T4049" s="9">
        <v>43390.516875</v>
      </c>
    </row>
    <row r="4050" spans="14:20">
      <c r="N4050" s="7" t="str">
        <f>HYPERLINK("E:\附赠：Excel模板\精美EXCEL模板\网友极力推荐的Excel模板1000例\财政票据注册登记表.xls","财政票据注册登记表.xls")</f>
        <v>财政票据注册登记表.xls</v>
      </c>
      <c r="Q4050">
        <v>0.02</v>
      </c>
      <c r="R4050" s="7" t="str">
        <f t="shared" si="78"/>
        <v>E:\附赠：Excel模板\精美EXCEL模板\网友极力推荐的Excel模板1000例</v>
      </c>
      <c r="S4050" s="9">
        <v>43600.3821875</v>
      </c>
      <c r="T4050" s="9">
        <v>43390.5168518519</v>
      </c>
    </row>
    <row r="4051" spans="14:20">
      <c r="N4051" s="7" t="str">
        <f>HYPERLINK("E:\附赠：Excel模板\精美EXCEL模板\网友极力推荐的Excel模板1000例\财政资金决算汇总表.xls","财政资金决算汇总表.xls")</f>
        <v>财政资金决算汇总表.xls</v>
      </c>
      <c r="Q4051">
        <v>0.02</v>
      </c>
      <c r="R4051" s="7" t="str">
        <f t="shared" si="78"/>
        <v>E:\附赠：Excel模板\精美EXCEL模板\网友极力推荐的Excel模板1000例</v>
      </c>
      <c r="S4051" s="9">
        <v>43600.3821875</v>
      </c>
      <c r="T4051" s="9">
        <v>43390.5168518519</v>
      </c>
    </row>
    <row r="4052" spans="14:20">
      <c r="N4052" s="7" t="str">
        <f>HYPERLINK("E:\附赠：Excel模板\精美EXCEL模板\网友极力推荐的Excel模板1000例\财政资金支持技术创新项目检查汇总表.xls","财政资金支持技术创新项目检查汇总表.xls")</f>
        <v>财政资金支持技术创新项目检查汇总表.xls</v>
      </c>
      <c r="Q4052">
        <v>0.02</v>
      </c>
      <c r="R4052" s="7" t="str">
        <f t="shared" si="78"/>
        <v>E:\附赠：Excel模板\精美EXCEL模板\网友极力推荐的Excel模板1000例</v>
      </c>
      <c r="S4052" s="9">
        <v>43600.3821875</v>
      </c>
      <c r="T4052" s="9">
        <v>43390.5168518519</v>
      </c>
    </row>
    <row r="4053" spans="14:20">
      <c r="N4053" s="7" t="str">
        <f>HYPERLINK("E:\附赠：Excel模板\精美EXCEL模板\网友极力推荐的Excel模板1000例\财政采购验收单.xls","财政采购验收单.xls")</f>
        <v>财政采购验收单.xls</v>
      </c>
      <c r="Q4053">
        <v>0.03</v>
      </c>
      <c r="R4053" s="7" t="str">
        <f t="shared" si="78"/>
        <v>E:\附赠：Excel模板\精美EXCEL模板\网友极力推荐的Excel模板1000例</v>
      </c>
      <c r="S4053" s="9">
        <v>43600.3821875</v>
      </c>
      <c r="T4053" s="9">
        <v>43390.516875</v>
      </c>
    </row>
    <row r="4054" spans="14:20">
      <c r="N4054" s="7" t="str">
        <f>HYPERLINK("E:\附赠：Excel模板\精美EXCEL模板\网友极力推荐的Excel模板1000例\财政预算信用等级申请评定表.xls","财政预算信用等级申请评定表.xls")</f>
        <v>财政预算信用等级申请评定表.xls</v>
      </c>
      <c r="Q4054">
        <v>0.03</v>
      </c>
      <c r="R4054" s="7" t="str">
        <f t="shared" si="78"/>
        <v>E:\附赠：Excel模板\精美EXCEL模板\网友极力推荐的Excel模板1000例</v>
      </c>
      <c r="S4054" s="9">
        <v>43600.3821875</v>
      </c>
      <c r="T4054" s="9">
        <v>43390.5168518519</v>
      </c>
    </row>
    <row r="4055" spans="14:20">
      <c r="N4055" s="7" t="str">
        <f>HYPERLINK("E:\附赠：Excel模板\精美EXCEL模板\网友极力推荐的Excel模板1000例\货币投资情况明细表.xls","货币投资情况明细表.xls")</f>
        <v>货币投资情况明细表.xls</v>
      </c>
      <c r="Q4055">
        <v>0.01</v>
      </c>
      <c r="R4055" s="7" t="str">
        <f t="shared" si="78"/>
        <v>E:\附赠：Excel模板\精美EXCEL模板\网友极力推荐的Excel模板1000例</v>
      </c>
      <c r="S4055" s="9">
        <v>43600.3821875</v>
      </c>
      <c r="T4055" s="9">
        <v>43390.5165740741</v>
      </c>
    </row>
    <row r="4056" spans="14:20">
      <c r="N4056" s="7" t="str">
        <f>HYPERLINK("E:\附赠：Excel模板\精美EXCEL模板\网友极力推荐的Excel模板1000例\货币资产及存货调查表.xls","货币资产及存货调查表.xls")</f>
        <v>货币资产及存货调查表.xls</v>
      </c>
      <c r="Q4056">
        <v>0.02</v>
      </c>
      <c r="R4056" s="7" t="str">
        <f t="shared" si="78"/>
        <v>E:\附赠：Excel模板\精美EXCEL模板\网友极力推荐的Excel模板1000例</v>
      </c>
      <c r="S4056" s="9">
        <v>43600.3821875</v>
      </c>
      <c r="T4056" s="9">
        <v>43390.5165740741</v>
      </c>
    </row>
    <row r="4057" spans="14:20">
      <c r="N4057" s="7" t="str">
        <f>HYPERLINK("E:\附赠：Excel模板\精美EXCEL模板\网友极力推荐的Excel模板1000例\贫困学生登记表.xls","贫困学生登记表.xls")</f>
        <v>贫困学生登记表.xls</v>
      </c>
      <c r="Q4057">
        <v>0.02</v>
      </c>
      <c r="R4057" s="7" t="str">
        <f t="shared" si="78"/>
        <v>E:\附赠：Excel模板\精美EXCEL模板\网友极力推荐的Excel模板1000例</v>
      </c>
      <c r="S4057" s="9">
        <v>43600.3821875</v>
      </c>
      <c r="T4057" s="9">
        <v>43390.5162731481</v>
      </c>
    </row>
    <row r="4058" spans="14:20">
      <c r="N4058" s="7" t="str">
        <f>HYPERLINK("E:\附赠：Excel模板\精美EXCEL模板\网友极力推荐的Excel模板1000例\贫困家庭子女实行免费教育学生名册.xls","贫困家庭子女实行免费教育学生名册.xls")</f>
        <v>贫困家庭子女实行免费教育学生名册.xls</v>
      </c>
      <c r="Q4058">
        <v>0.02</v>
      </c>
      <c r="R4058" s="7" t="str">
        <f t="shared" si="78"/>
        <v>E:\附赠：Excel模板\精美EXCEL模板\网友极力推荐的Excel模板1000例</v>
      </c>
      <c r="S4058" s="9">
        <v>43600.3821875</v>
      </c>
      <c r="T4058" s="9">
        <v>43390.5162731481</v>
      </c>
    </row>
    <row r="4059" spans="14:20">
      <c r="N4059" s="7" t="str">
        <f>HYPERLINK("E:\附赠：Excel模板\精美EXCEL模板\网友极力推荐的Excel模板1000例\贫困家庭经济困难学生免杂费资金分配表.xls","贫困家庭经济困难学生免杂费资金分配表.xls")</f>
        <v>贫困家庭经济困难学生免杂费资金分配表.xls</v>
      </c>
      <c r="Q4059">
        <v>0.02</v>
      </c>
      <c r="R4059" s="7" t="str">
        <f t="shared" si="78"/>
        <v>E:\附赠：Excel模板\精美EXCEL模板\网友极力推荐的Excel模板1000例</v>
      </c>
      <c r="S4059" s="9">
        <v>43600.3821875</v>
      </c>
      <c r="T4059" s="9">
        <v>43390.5162962963</v>
      </c>
    </row>
    <row r="4060" spans="14:20">
      <c r="N4060" s="7" t="str">
        <f>HYPERLINK("E:\附赠：Excel模板\精美EXCEL模板\网友极力推荐的Excel模板1000例\贫困户家庭情况一览表.xls","贫困户家庭情况一览表.xls")</f>
        <v>贫困户家庭情况一览表.xls</v>
      </c>
      <c r="Q4060">
        <v>0.01</v>
      </c>
      <c r="R4060" s="7" t="str">
        <f t="shared" si="78"/>
        <v>E:\附赠：Excel模板\精美EXCEL模板\网友极力推荐的Excel模板1000例</v>
      </c>
      <c r="S4060" s="9">
        <v>43600.3821875</v>
      </c>
      <c r="T4060" s="9">
        <v>43390.5162731481</v>
      </c>
    </row>
    <row r="4061" spans="14:20">
      <c r="N4061" s="7" t="str">
        <f>HYPERLINK("E:\附赠：Excel模板\精美EXCEL模板\网友极力推荐的Excel模板1000例\购房家庭贷款贴息申请表.xls","购房家庭贷款贴息申请表.xls")</f>
        <v>购房家庭贷款贴息申请表.xls</v>
      </c>
      <c r="Q4061">
        <v>0.02</v>
      </c>
      <c r="R4061" s="7" t="str">
        <f t="shared" si="78"/>
        <v>E:\附赠：Excel模板\精美EXCEL模板\网友极力推荐的Excel模板1000例</v>
      </c>
      <c r="S4061" s="9">
        <v>43600.3821875</v>
      </c>
      <c r="T4061" s="9">
        <v>43390.5166203704</v>
      </c>
    </row>
    <row r="4062" spans="14:20">
      <c r="N4062" s="7" t="str">
        <f>HYPERLINK("E:\附赠：Excel模板\精美EXCEL模板\网友极力推荐的Excel模板1000例\购车分期付款计算表.xls","购车分期付款计算表.xls")</f>
        <v>购车分期付款计算表.xls</v>
      </c>
      <c r="Q4062">
        <v>0.03</v>
      </c>
      <c r="R4062" s="7" t="str">
        <f t="shared" si="78"/>
        <v>E:\附赠：Excel模板\精美EXCEL模板\网友极力推荐的Excel模板1000例</v>
      </c>
      <c r="S4062" s="9">
        <v>43600.3821875</v>
      </c>
      <c r="T4062" s="9">
        <v>43390.5166203704</v>
      </c>
    </row>
    <row r="4063" spans="14:20">
      <c r="N4063" s="7" t="str">
        <f>HYPERLINK("E:\附赠：Excel模板\精美EXCEL模板\网友极力推荐的Excel模板1000例\贷款协定执行情况表.xls","贷款协定执行情况表.xls")</f>
        <v>贷款协定执行情况表.xls</v>
      </c>
      <c r="Q4063">
        <v>0.02</v>
      </c>
      <c r="R4063" s="7" t="str">
        <f t="shared" si="78"/>
        <v>E:\附赠：Excel模板\精美EXCEL模板\网友极力推荐的Excel模板1000例</v>
      </c>
      <c r="S4063" s="9">
        <v>43600.3821875</v>
      </c>
      <c r="T4063" s="9">
        <v>43390.5167592593</v>
      </c>
    </row>
    <row r="4064" spans="14:20">
      <c r="N4064" s="7" t="str">
        <f>HYPERLINK("E:\附赠：Excel模板\精美EXCEL模板\网友极力推荐的Excel模板1000例\费用滚动预算.xls","费用滚动预算.xls")</f>
        <v>费用滚动预算.xls</v>
      </c>
      <c r="Q4064">
        <v>0.04</v>
      </c>
      <c r="R4064" s="7" t="str">
        <f t="shared" si="78"/>
        <v>E:\附赠：Excel模板\精美EXCEL模板\网友极力推荐的Excel模板1000例</v>
      </c>
      <c r="S4064" s="9">
        <v>43600.3821875</v>
      </c>
      <c r="T4064" s="9">
        <v>43390.5166898148</v>
      </c>
    </row>
    <row r="4065" spans="14:20">
      <c r="N4065" s="7" t="str">
        <f>HYPERLINK("E:\附赠：Excel模板\精美EXCEL模板\网友极力推荐的Excel模板1000例\资产减值准备明细表.xls","资产减值准备明细表.xls")</f>
        <v>资产减值准备明细表.xls</v>
      </c>
      <c r="Q4065">
        <v>0.02</v>
      </c>
      <c r="R4065" s="7" t="str">
        <f t="shared" si="78"/>
        <v>E:\附赠：Excel模板\精美EXCEL模板\网友极力推荐的Excel模板1000例</v>
      </c>
      <c r="S4065" s="9">
        <v>43600.3821875</v>
      </c>
      <c r="T4065" s="9">
        <v>43390.5156712963</v>
      </c>
    </row>
    <row r="4066" spans="14:20">
      <c r="N4066" s="7" t="str">
        <f>HYPERLINK("E:\附赠：Excel模板\精美EXCEL模板\网友极力推荐的Excel模板1000例\资产清查表.xls","资产清查表.xls")</f>
        <v>资产清查表.xls</v>
      </c>
      <c r="Q4066">
        <v>0.02</v>
      </c>
      <c r="R4066" s="7" t="str">
        <f t="shared" si="78"/>
        <v>E:\附赠：Excel模板\精美EXCEL模板\网友极力推荐的Excel模板1000例</v>
      </c>
      <c r="S4066" s="9">
        <v>43600.3821875</v>
      </c>
      <c r="T4066" s="9">
        <v>43390.5156018519</v>
      </c>
    </row>
    <row r="4067" spans="14:20">
      <c r="N4067" s="7" t="str">
        <f>HYPERLINK("E:\附赠：Excel模板\精美EXCEL模板\网友极力推荐的Excel模板1000例\资产管理公司资产处置公示.xls","资产管理公司资产处置公示.xls")</f>
        <v>资产管理公司资产处置公示.xls</v>
      </c>
      <c r="Q4067">
        <v>0.05</v>
      </c>
      <c r="R4067" s="7" t="str">
        <f t="shared" si="78"/>
        <v>E:\附赠：Excel模板\精美EXCEL模板\网友极力推荐的Excel模板1000例</v>
      </c>
      <c r="S4067" s="9">
        <v>43600.3821875</v>
      </c>
      <c r="T4067" s="9">
        <v>43390.5156018519</v>
      </c>
    </row>
    <row r="4068" spans="14:20">
      <c r="N4068" s="7" t="str">
        <f>HYPERLINK("E:\附赠：Excel模板\精美EXCEL模板\网友极力推荐的Excel模板1000例\资产评估结果汇总表.xls","资产评估结果汇总表.xls")</f>
        <v>资产评估结果汇总表.xls</v>
      </c>
      <c r="Q4068">
        <v>0.01</v>
      </c>
      <c r="R4068" s="7" t="str">
        <f t="shared" si="78"/>
        <v>E:\附赠：Excel模板\精美EXCEL模板\网友极力推荐的Excel模板1000例</v>
      </c>
      <c r="S4068" s="9">
        <v>43600.3821875</v>
      </c>
      <c r="T4068" s="9">
        <v>43390.5156712963</v>
      </c>
    </row>
    <row r="4069" spans="14:20">
      <c r="N4069" s="7" t="str">
        <f>HYPERLINK("E:\附赠：Excel模板\精美EXCEL模板\网友极力推荐的Excel模板1000例\资产评估项目基本情况.xls","资产评估项目基本情况.xls")</f>
        <v>资产评估项目基本情况.xls</v>
      </c>
      <c r="Q4069">
        <v>0.02</v>
      </c>
      <c r="R4069" s="7" t="str">
        <f t="shared" si="78"/>
        <v>E:\附赠：Excel模板\精美EXCEL模板\网友极力推荐的Excel模板1000例</v>
      </c>
      <c r="S4069" s="9">
        <v>43600.3821875</v>
      </c>
      <c r="T4069" s="9">
        <v>43390.5156018519</v>
      </c>
    </row>
    <row r="4070" spans="14:20">
      <c r="N4070" s="7" t="str">
        <f>HYPERLINK("E:\附赠：Excel模板\精美EXCEL模板\网友极力推荐的Excel模板1000例\资产评估项目核准申请表.xls","资产评估项目核准申请表.xls")</f>
        <v>资产评估项目核准申请表.xls</v>
      </c>
      <c r="Q4070">
        <v>0.02</v>
      </c>
      <c r="R4070" s="7" t="str">
        <f t="shared" si="78"/>
        <v>E:\附赠：Excel模板\精美EXCEL模板\网友极力推荐的Excel模板1000例</v>
      </c>
      <c r="S4070" s="9">
        <v>43600.3821875</v>
      </c>
      <c r="T4070" s="9">
        <v>43390.5156018519</v>
      </c>
    </row>
    <row r="4071" spans="14:20">
      <c r="N4071" s="7" t="str">
        <f>HYPERLINK("E:\附赠：Excel模板\精美EXCEL模板\网友极力推荐的Excel模板1000例\资产负债表1.xls","资产负债表1.xls")</f>
        <v>资产负债表1.xls</v>
      </c>
      <c r="Q4071">
        <v>0.02</v>
      </c>
      <c r="R4071" s="7" t="str">
        <f t="shared" si="78"/>
        <v>E:\附赠：Excel模板\精美EXCEL模板\网友极力推荐的Excel模板1000例</v>
      </c>
      <c r="S4071" s="9">
        <v>43600.3821875</v>
      </c>
      <c r="T4071" s="9">
        <v>43390.515625</v>
      </c>
    </row>
    <row r="4072" spans="14:20">
      <c r="N4072" s="7" t="str">
        <f>HYPERLINK("E:\附赠：Excel模板\精美EXCEL模板\网友极力推荐的Excel模板1000例\资产负债表10.xls","资产负债表10.xls")</f>
        <v>资产负债表10.xls</v>
      </c>
      <c r="Q4072">
        <v>0.02</v>
      </c>
      <c r="R4072" s="7" t="str">
        <f t="shared" si="78"/>
        <v>E:\附赠：Excel模板\精美EXCEL模板\网友极力推荐的Excel模板1000例</v>
      </c>
      <c r="S4072" s="9">
        <v>43600.3821875</v>
      </c>
      <c r="T4072" s="9">
        <v>43390.515625</v>
      </c>
    </row>
    <row r="4073" spans="14:20">
      <c r="N4073" s="7" t="str">
        <f>HYPERLINK("E:\附赠：Excel模板\精美EXCEL模板\网友极力推荐的Excel模板1000例\资产负债表11.xls","资产负债表11.xls")</f>
        <v>资产负债表11.xls</v>
      </c>
      <c r="Q4073">
        <v>0.02</v>
      </c>
      <c r="R4073" s="7" t="str">
        <f t="shared" si="78"/>
        <v>E:\附赠：Excel模板\精美EXCEL模板\网友极力推荐的Excel模板1000例</v>
      </c>
      <c r="S4073" s="9">
        <v>43600.3821875</v>
      </c>
      <c r="T4073" s="9">
        <v>43390.515625</v>
      </c>
    </row>
    <row r="4074" spans="14:20">
      <c r="N4074" s="7" t="str">
        <f>HYPERLINK("E:\附赠：Excel模板\精美EXCEL模板\网友极力推荐的Excel模板1000例\资产负债表2.xls","资产负债表2.xls")</f>
        <v>资产负债表2.xls</v>
      </c>
      <c r="Q4074">
        <v>0.03</v>
      </c>
      <c r="R4074" s="7" t="str">
        <f t="shared" si="78"/>
        <v>E:\附赠：Excel模板\精美EXCEL模板\网友极力推荐的Excel模板1000例</v>
      </c>
      <c r="S4074" s="9">
        <v>43600.3821875</v>
      </c>
      <c r="T4074" s="9">
        <v>43390.515625</v>
      </c>
    </row>
    <row r="4075" spans="14:20">
      <c r="N4075" s="7" t="str">
        <f>HYPERLINK("E:\附赠：Excel模板\精美EXCEL模板\网友极力推荐的Excel模板1000例\资产负债表3.xls","资产负债表3.xls")</f>
        <v>资产负债表3.xls</v>
      </c>
      <c r="Q4075">
        <v>0.03</v>
      </c>
      <c r="R4075" s="7" t="str">
        <f t="shared" si="78"/>
        <v>E:\附赠：Excel模板\精美EXCEL模板\网友极力推荐的Excel模板1000例</v>
      </c>
      <c r="S4075" s="9">
        <v>43600.3821875</v>
      </c>
      <c r="T4075" s="9">
        <v>43390.5156018519</v>
      </c>
    </row>
    <row r="4076" spans="14:20">
      <c r="N4076" s="7" t="str">
        <f>HYPERLINK("E:\附赠：Excel模板\精美EXCEL模板\网友极力推荐的Excel模板1000例\资产负债表4.xls","资产负债表4.xls")</f>
        <v>资产负债表4.xls</v>
      </c>
      <c r="Q4076">
        <v>0.08</v>
      </c>
      <c r="R4076" s="7" t="str">
        <f t="shared" si="78"/>
        <v>E:\附赠：Excel模板\精美EXCEL模板\网友极力推荐的Excel模板1000例</v>
      </c>
      <c r="S4076" s="9">
        <v>43600.3821875</v>
      </c>
      <c r="T4076" s="9">
        <v>43390.515625</v>
      </c>
    </row>
    <row r="4077" spans="14:20">
      <c r="N4077" s="7" t="str">
        <f>HYPERLINK("E:\附赠：Excel模板\精美EXCEL模板\网友极力推荐的Excel模板1000例\资产负债表5.xls","资产负债表5.xls")</f>
        <v>资产负债表5.xls</v>
      </c>
      <c r="Q4077">
        <v>0.05</v>
      </c>
      <c r="R4077" s="7" t="str">
        <f t="shared" si="78"/>
        <v>E:\附赠：Excel模板\精美EXCEL模板\网友极力推荐的Excel模板1000例</v>
      </c>
      <c r="S4077" s="9">
        <v>43600.3821875</v>
      </c>
      <c r="T4077" s="9">
        <v>43390.5156018519</v>
      </c>
    </row>
    <row r="4078" spans="14:20">
      <c r="N4078" s="7" t="str">
        <f>HYPERLINK("E:\附赠：Excel模板\精美EXCEL模板\网友极力推荐的Excel模板1000例\资产负债表6.xls","资产负债表6.xls")</f>
        <v>资产负债表6.xls</v>
      </c>
      <c r="Q4078">
        <v>0.03</v>
      </c>
      <c r="R4078" s="7" t="str">
        <f t="shared" si="78"/>
        <v>E:\附赠：Excel模板\精美EXCEL模板\网友极力推荐的Excel模板1000例</v>
      </c>
      <c r="S4078" s="9">
        <v>43600.3821875</v>
      </c>
      <c r="T4078" s="9">
        <v>43390.5156712963</v>
      </c>
    </row>
    <row r="4079" spans="14:20">
      <c r="N4079" s="7" t="str">
        <f>HYPERLINK("E:\附赠：Excel模板\精美EXCEL模板\网友极力推荐的Excel模板1000例\资产负债表7.xls","资产负债表7.xls")</f>
        <v>资产负债表7.xls</v>
      </c>
      <c r="Q4079">
        <v>0.03</v>
      </c>
      <c r="R4079" s="7" t="str">
        <f t="shared" si="78"/>
        <v>E:\附赠：Excel模板\精美EXCEL模板\网友极力推荐的Excel模板1000例</v>
      </c>
      <c r="S4079" s="9">
        <v>43600.3821875</v>
      </c>
      <c r="T4079" s="9">
        <v>43390.5156018519</v>
      </c>
    </row>
    <row r="4080" spans="14:20">
      <c r="N4080" s="7" t="str">
        <f>HYPERLINK("E:\附赠：Excel模板\精美EXCEL模板\网友极力推荐的Excel模板1000例\资产负债表8.xls","资产负债表8.xls")</f>
        <v>资产负债表8.xls</v>
      </c>
      <c r="Q4080">
        <v>0.02</v>
      </c>
      <c r="R4080" s="7" t="str">
        <f t="shared" si="78"/>
        <v>E:\附赠：Excel模板\精美EXCEL模板\网友极力推荐的Excel模板1000例</v>
      </c>
      <c r="S4080" s="9">
        <v>43600.3821875</v>
      </c>
      <c r="T4080" s="9">
        <v>43390.5156018519</v>
      </c>
    </row>
    <row r="4081" spans="14:20">
      <c r="N4081" s="7" t="str">
        <f>HYPERLINK("E:\附赠：Excel模板\精美EXCEL模板\网友极力推荐的Excel模板1000例\资产负债表9.xls","资产负债表9.xls")</f>
        <v>资产负债表9.xls</v>
      </c>
      <c r="Q4081">
        <v>0.02</v>
      </c>
      <c r="R4081" s="7" t="str">
        <f t="shared" si="78"/>
        <v>E:\附赠：Excel模板\精美EXCEL模板\网友极力推荐的Excel模板1000例</v>
      </c>
      <c r="S4081" s="9">
        <v>43600.3821875</v>
      </c>
      <c r="T4081" s="9">
        <v>43390.5156018519</v>
      </c>
    </row>
    <row r="4082" spans="14:20">
      <c r="N4082" s="7" t="str">
        <f>HYPERLINK("E:\附赠：Excel模板\精美EXCEL模板\网友极力推荐的Excel模板1000例\资金周报表.xls","资金周报表.xls")</f>
        <v>资金周报表.xls</v>
      </c>
      <c r="Q4082">
        <v>0.02</v>
      </c>
      <c r="R4082" s="7" t="str">
        <f t="shared" si="78"/>
        <v>E:\附赠：Excel模板\精美EXCEL模板\网友极力推荐的Excel模板1000例</v>
      </c>
      <c r="S4082" s="9">
        <v>43600.3821875</v>
      </c>
      <c r="T4082" s="9">
        <v>43390.5155787037</v>
      </c>
    </row>
    <row r="4083" spans="14:20">
      <c r="N4083" s="7" t="str">
        <f>HYPERLINK("E:\附赠：Excel模板\精美EXCEL模板\网友极力推荐的Excel模板1000例\资金平衡表.xls","资金平衡表.xls")</f>
        <v>资金平衡表.xls</v>
      </c>
      <c r="Q4083">
        <v>0.03</v>
      </c>
      <c r="R4083" s="7" t="str">
        <f t="shared" si="78"/>
        <v>E:\附赠：Excel模板\精美EXCEL模板\网友极力推荐的Excel模板1000例</v>
      </c>
      <c r="S4083" s="9">
        <v>43600.3821875</v>
      </c>
      <c r="T4083" s="9">
        <v>43390.5155787037</v>
      </c>
    </row>
    <row r="4084" spans="14:20">
      <c r="N4084" s="7" t="str">
        <f>HYPERLINK("E:\附赠：Excel模板\精美EXCEL模板\网友极力推荐的Excel模板1000例\资金报表.xls","资金报表.xls")</f>
        <v>资金报表.xls</v>
      </c>
      <c r="Q4084">
        <v>0.02</v>
      </c>
      <c r="R4084" s="7" t="str">
        <f t="shared" si="78"/>
        <v>E:\附赠：Excel模板\精美EXCEL模板\网友极力推荐的Excel模板1000例</v>
      </c>
      <c r="S4084" s="9">
        <v>43600.3821875</v>
      </c>
      <c r="T4084" s="9">
        <v>43390.5156018519</v>
      </c>
    </row>
    <row r="4085" spans="14:20">
      <c r="N4085" s="7" t="str">
        <f>HYPERLINK("E:\附赠：Excel模板\精美EXCEL模板\网友极力推荐的Excel模板1000例\资金核实申报表.xls","资金核实申报表.xls")</f>
        <v>资金核实申报表.xls</v>
      </c>
      <c r="Q4085">
        <v>0.02</v>
      </c>
      <c r="R4085" s="7" t="str">
        <f t="shared" si="78"/>
        <v>E:\附赠：Excel模板\精美EXCEL模板\网友极力推荐的Excel模板1000例</v>
      </c>
      <c r="S4085" s="9">
        <v>43600.3821875</v>
      </c>
      <c r="T4085" s="9">
        <v>43390.5155787037</v>
      </c>
    </row>
    <row r="4086" spans="14:20">
      <c r="N4086" s="7" t="str">
        <f>HYPERLINK("E:\附赠：Excel模板\精美EXCEL模板\网友极力推荐的Excel模板1000例\资金活动表.xls","资金活动表.xls")</f>
        <v>资金活动表.xls</v>
      </c>
      <c r="Q4086">
        <v>0.02</v>
      </c>
      <c r="R4086" s="7" t="str">
        <f t="shared" si="78"/>
        <v>E:\附赠：Excel模板\精美EXCEL模板\网友极力推荐的Excel模板1000例</v>
      </c>
      <c r="S4086" s="9">
        <v>43600.3821875</v>
      </c>
      <c r="T4086" s="9">
        <v>43390.5156018519</v>
      </c>
    </row>
    <row r="4087" spans="14:20">
      <c r="N4087" s="7" t="str">
        <f>HYPERLINK("E:\附赠：Excel模板\精美EXCEL模板\网友极力推荐的Excel模板1000例\资金登记.xls","资金登记.xls")</f>
        <v>资金登记.xls</v>
      </c>
      <c r="Q4087">
        <v>0.02</v>
      </c>
      <c r="R4087" s="7" t="str">
        <f t="shared" si="78"/>
        <v>E:\附赠：Excel模板\精美EXCEL模板\网友极力推荐的Excel模板1000例</v>
      </c>
      <c r="S4087" s="9">
        <v>43600.3821875</v>
      </c>
      <c r="T4087" s="9">
        <v>43390.5156018519</v>
      </c>
    </row>
    <row r="4088" spans="14:20">
      <c r="N4088" s="7" t="str">
        <f>HYPERLINK("E:\附赠：Excel模板\精美EXCEL模板\网友极力推荐的Excel模板1000例\资金管理状况表.xls","资金管理状况表.xls")</f>
        <v>资金管理状况表.xls</v>
      </c>
      <c r="Q4088">
        <v>0.02</v>
      </c>
      <c r="R4088" s="7" t="str">
        <f t="shared" si="78"/>
        <v>E:\附赠：Excel模板\精美EXCEL模板\网友极力推荐的Excel模板1000例</v>
      </c>
      <c r="S4088" s="9">
        <v>43600.3821875</v>
      </c>
      <c r="T4088" s="9">
        <v>43390.5156018519</v>
      </c>
    </row>
    <row r="4089" spans="14:20">
      <c r="N4089" s="7" t="str">
        <f>HYPERLINK("E:\附赠：Excel模板\精美EXCEL模板\网友极力推荐的Excel模板1000例\赊销审核表.xls","赊销审核表.xls")</f>
        <v>赊销审核表.xls</v>
      </c>
      <c r="Q4089">
        <v>0.02</v>
      </c>
      <c r="R4089" s="7" t="str">
        <f t="shared" si="78"/>
        <v>E:\附赠：Excel模板\精美EXCEL模板\网友极力推荐的Excel模板1000例</v>
      </c>
      <c r="S4089" s="9">
        <v>43600.3821875</v>
      </c>
      <c r="T4089" s="9">
        <v>43390.5161805556</v>
      </c>
    </row>
    <row r="4090" spans="14:20">
      <c r="N4090" s="7" t="str">
        <f>HYPERLINK("E:\附赠：Excel模板\精美EXCEL模板\网友极力推荐的Excel模板1000例\赴俄罗斯个人资料表.xls","赴俄罗斯个人资料表.xls")</f>
        <v>赴俄罗斯个人资料表.xls</v>
      </c>
      <c r="Q4090">
        <v>0.02</v>
      </c>
      <c r="R4090" s="7" t="str">
        <f t="shared" si="78"/>
        <v>E:\附赠：Excel模板\精美EXCEL模板\网友极力推荐的Excel模板1000例</v>
      </c>
      <c r="S4090" s="9">
        <v>43600.3821875</v>
      </c>
      <c r="T4090" s="9">
        <v>43390.5166666667</v>
      </c>
    </row>
    <row r="4091" spans="14:20">
      <c r="N4091" s="7" t="str">
        <f>HYPERLINK("E:\附赠：Excel模板\精美EXCEL模板\网友极力推荐的Excel模板1000例\趋势分析表.xls","趋势分析表.xls")</f>
        <v>趋势分析表.xls</v>
      </c>
      <c r="Q4091">
        <v>0.02</v>
      </c>
      <c r="R4091" s="7" t="str">
        <f t="shared" si="78"/>
        <v>E:\附赠：Excel模板\精美EXCEL模板\网友极力推荐的Excel模板1000例</v>
      </c>
      <c r="S4091" s="9">
        <v>43600.3821875</v>
      </c>
      <c r="T4091" s="9">
        <v>43390.5162268519</v>
      </c>
    </row>
    <row r="4092" spans="14:20">
      <c r="N4092" s="7" t="str">
        <f>HYPERLINK("E:\附赠：Excel模板\精美EXCEL模板\网友极力推荐的Excel模板1000例\跆拳道馆学员登记表.xls","跆拳道馆学员登记表.xls")</f>
        <v>跆拳道馆学员登记表.xls</v>
      </c>
      <c r="Q4092">
        <v>0.02</v>
      </c>
      <c r="R4092" s="7" t="str">
        <f t="shared" si="78"/>
        <v>E:\附赠：Excel模板\精美EXCEL模板\网友极力推荐的Excel模板1000例</v>
      </c>
      <c r="S4092" s="9">
        <v>43600.3821875</v>
      </c>
      <c r="T4092" s="9">
        <v>43390.5155787037</v>
      </c>
    </row>
    <row r="4093" spans="14:20">
      <c r="N4093" s="7" t="str">
        <f>HYPERLINK("E:\附赠：Excel模板\精美EXCEL模板\网友极力推荐的Excel模板1000例\路网建设报表.xls","路网建设报表.xls")</f>
        <v>路网建设报表.xls</v>
      </c>
      <c r="Q4093">
        <v>0.1</v>
      </c>
      <c r="R4093" s="7" t="str">
        <f t="shared" si="78"/>
        <v>E:\附赠：Excel模板\精美EXCEL模板\网友极力推荐的Excel模板1000例</v>
      </c>
      <c r="S4093" s="9">
        <v>43600.3821875</v>
      </c>
      <c r="T4093" s="9">
        <v>43390.5163657407</v>
      </c>
    </row>
    <row r="4094" spans="14:20">
      <c r="N4094" s="7" t="str">
        <f>HYPERLINK("E:\附赠：Excel模板\精美EXCEL模板\网友极力推荐的Excel模板1000例\车辆、设备类资产情况明细表.xls","车辆、设备类资产情况明细表.xls")</f>
        <v>车辆、设备类资产情况明细表.xls</v>
      </c>
      <c r="Q4094">
        <v>0.01</v>
      </c>
      <c r="R4094" s="7" t="str">
        <f t="shared" si="78"/>
        <v>E:\附赠：Excel模板\精美EXCEL模板\网友极力推荐的Excel模板1000例</v>
      </c>
      <c r="S4094" s="9">
        <v>43600.3821875</v>
      </c>
      <c r="T4094" s="9">
        <v>43390.5168287037</v>
      </c>
    </row>
    <row r="4095" spans="14:20">
      <c r="N4095" s="7" t="str">
        <f>HYPERLINK("E:\附赠：Excel模板\精美EXCEL模板\网友极力推荐的Excel模板1000例\轮渡码头客运航班公告.xls","轮渡码头客运航班公告.xls")</f>
        <v>轮渡码头客运航班公告.xls</v>
      </c>
      <c r="Q4095">
        <v>0.01</v>
      </c>
      <c r="R4095" s="7" t="str">
        <f t="shared" si="78"/>
        <v>E:\附赠：Excel模板\精美EXCEL模板\网友极力推荐的Excel模板1000例</v>
      </c>
      <c r="S4095" s="9">
        <v>43600.3821875</v>
      </c>
      <c r="T4095" s="9">
        <v>43390.5163425926</v>
      </c>
    </row>
    <row r="4096" spans="14:20">
      <c r="N4096" s="7" t="str">
        <f>HYPERLINK("E:\附赠：Excel模板\精美EXCEL模板\网友极力推荐的Excel模板1000例\运输主要统计指标年报.xls","运输主要统计指标年报.xls")</f>
        <v>运输主要统计指标年报.xls</v>
      </c>
      <c r="Q4096">
        <v>0.02</v>
      </c>
      <c r="R4096" s="7" t="str">
        <f t="shared" si="78"/>
        <v>E:\附赠：Excel模板\精美EXCEL模板\网友极力推荐的Excel模板1000例</v>
      </c>
      <c r="S4096" s="9">
        <v>43600.3821875</v>
      </c>
      <c r="T4096" s="9">
        <v>43390.5157175926</v>
      </c>
    </row>
    <row r="4097" spans="14:20">
      <c r="N4097" s="7" t="str">
        <f>HYPERLINK("E:\附赠：Excel模板\精美EXCEL模板\网友极力推荐的Excel模板1000例\近三年选用教材情况一览表.xls","近三年选用教材情况一览表.xls")</f>
        <v>近三年选用教材情况一览表.xls</v>
      </c>
      <c r="Q4097">
        <v>0.02</v>
      </c>
      <c r="R4097" s="7" t="str">
        <f t="shared" si="78"/>
        <v>E:\附赠：Excel模板\精美EXCEL模板\网友极力推荐的Excel模板1000例</v>
      </c>
      <c r="S4097" s="9">
        <v>43600.3821875</v>
      </c>
      <c r="T4097" s="9">
        <v>43390.5164351852</v>
      </c>
    </row>
    <row r="4098" spans="14:20">
      <c r="N4098" s="7" t="str">
        <f>HYPERLINK("E:\附赠：Excel模板\精美EXCEL模板\网友极力推荐的Excel模板1000例\进出口商品网上交易会申请表.xls","进出口商品网上交易会申请表.xls")</f>
        <v>进出口商品网上交易会申请表.xls</v>
      </c>
      <c r="Q4098">
        <v>0.02</v>
      </c>
      <c r="R4098" s="7" t="str">
        <f t="shared" ref="R4098:R4161" si="79">HYPERLINK("E:\附赠：Excel模板\精美EXCEL模板\网友极力推荐的Excel模板1000例","E:\附赠：Excel模板\精美EXCEL模板\网友极力推荐的Excel模板1000例")</f>
        <v>E:\附赠：Excel模板\精美EXCEL模板\网友极力推荐的Excel模板1000例</v>
      </c>
      <c r="S4098" s="9">
        <v>43600.3821875</v>
      </c>
      <c r="T4098" s="9">
        <v>43390.5164351852</v>
      </c>
    </row>
    <row r="4099" spans="14:20">
      <c r="N4099" s="7" t="str">
        <f>HYPERLINK("E:\附赠：Excel模板\精美EXCEL模板\网友极力推荐的Excel模板1000例\进货销货通知.xls","进货销货通知.xls")</f>
        <v>进货销货通知.xls</v>
      </c>
      <c r="Q4099">
        <v>0.02</v>
      </c>
      <c r="R4099" s="7" t="str">
        <f t="shared" si="79"/>
        <v>E:\附赠：Excel模板\精美EXCEL模板\网友极力推荐的Excel模板1000例</v>
      </c>
      <c r="S4099" s="9">
        <v>43600.3821875</v>
      </c>
      <c r="T4099" s="9">
        <v>43390.5164351852</v>
      </c>
    </row>
    <row r="4100" spans="14:20">
      <c r="N4100" s="7" t="str">
        <f>HYPERLINK("E:\附赠：Excel模板\精美EXCEL模板\网友极力推荐的Excel模板1000例\违纪情况统计表.xls","违纪情况统计表.xls")</f>
        <v>违纪情况统计表.xls</v>
      </c>
      <c r="Q4100">
        <v>0.02</v>
      </c>
      <c r="R4100" s="7" t="str">
        <f t="shared" si="79"/>
        <v>E:\附赠：Excel模板\精美EXCEL模板\网友极力推荐的Excel模板1000例</v>
      </c>
      <c r="S4100" s="9">
        <v>43600.3821875</v>
      </c>
      <c r="T4100" s="9">
        <v>43390.5160185185</v>
      </c>
    </row>
    <row r="4101" spans="14:20">
      <c r="N4101" s="7" t="str">
        <f>HYPERLINK("E:\附赠：Excel模板\精美EXCEL模板\网友极力推荐的Excel模板1000例\退赔外汇.xls","退赔外汇.xls")</f>
        <v>退赔外汇.xls</v>
      </c>
      <c r="Q4101">
        <v>0.02</v>
      </c>
      <c r="R4101" s="7" t="str">
        <f t="shared" si="79"/>
        <v>E:\附赠：Excel模板\精美EXCEL模板\网友极力推荐的Excel模板1000例</v>
      </c>
      <c r="S4101" s="9">
        <v>43600.3821875</v>
      </c>
      <c r="T4101" s="9">
        <v>43390.5160185185</v>
      </c>
    </row>
    <row r="4102" spans="14:20">
      <c r="N4102" s="7" t="str">
        <f>HYPERLINK("E:\附赠：Excel模板\精美EXCEL模板\网友极力推荐的Excel模板1000例\选用外文原版教材一览表.xls","选用外文原版教材一览表.xls")</f>
        <v>选用外文原版教材一览表.xls</v>
      </c>
      <c r="Q4102">
        <v>0.02</v>
      </c>
      <c r="R4102" s="7" t="str">
        <f t="shared" si="79"/>
        <v>E:\附赠：Excel模板\精美EXCEL模板\网友极力推荐的Excel模板1000例</v>
      </c>
      <c r="S4102" s="9">
        <v>43600.3821875</v>
      </c>
      <c r="T4102" s="9">
        <v>43390.5158796296</v>
      </c>
    </row>
    <row r="4103" spans="14:20">
      <c r="N4103" s="7" t="str">
        <f>HYPERLINK("E:\附赠：Excel模板\精美EXCEL模板\网友极力推荐的Excel模板1000例\道路养护投资情况年报.xls","道路养护投资情况年报.xls")</f>
        <v>道路养护投资情况年报.xls</v>
      </c>
      <c r="Q4103">
        <v>0.02</v>
      </c>
      <c r="R4103" s="7" t="str">
        <f t="shared" si="79"/>
        <v>E:\附赠：Excel模板\精美EXCEL模板\网友极力推荐的Excel模板1000例</v>
      </c>
      <c r="S4103" s="9">
        <v>43600.3821875</v>
      </c>
      <c r="T4103" s="9">
        <v>43390.5167361111</v>
      </c>
    </row>
    <row r="4104" spans="14:20">
      <c r="N4104" s="7" t="str">
        <f>HYPERLINK("E:\附赠：Excel模板\精美EXCEL模板\网友极力推荐的Excel模板1000例\邮政电信企业补充指标表.xls","邮政电信企业补充指标表.xls")</f>
        <v>邮政电信企业补充指标表.xls</v>
      </c>
      <c r="Q4104">
        <v>0.02</v>
      </c>
      <c r="R4104" s="7" t="str">
        <f t="shared" si="79"/>
        <v>E:\附赠：Excel模板\精美EXCEL模板\网友极力推荐的Excel模板1000例</v>
      </c>
      <c r="S4104" s="9">
        <v>43600.3821875</v>
      </c>
      <c r="T4104" s="9">
        <v>43390.5157638889</v>
      </c>
    </row>
    <row r="4105" spans="14:20">
      <c r="N4105" s="7" t="str">
        <f>HYPERLINK("E:\附赠：Excel模板\精美EXCEL模板\网友极力推荐的Excel模板1000例\部直属企事业单位情况统计表.xls","部直属企事业单位情况统计表.xls")</f>
        <v>部直属企事业单位情况统计表.xls</v>
      </c>
      <c r="Q4105">
        <v>0.02</v>
      </c>
      <c r="R4105" s="7" t="str">
        <f t="shared" si="79"/>
        <v>E:\附赠：Excel模板\精美EXCEL模板\网友极力推荐的Excel模板1000例</v>
      </c>
      <c r="S4105" s="9">
        <v>43600.3821875</v>
      </c>
      <c r="T4105" s="9">
        <v>43390.5168981481</v>
      </c>
    </row>
    <row r="4106" spans="14:20">
      <c r="N4106" s="7" t="str">
        <f>HYPERLINK("E:\附赠：Excel模板\精美EXCEL模板\网友极力推荐的Excel模板1000例\部门包干经费预算安排汇总表.xls","部门包干经费预算安排汇总表.xls")</f>
        <v>部门包干经费预算安排汇总表.xls</v>
      </c>
      <c r="Q4106">
        <v>0.03</v>
      </c>
      <c r="R4106" s="7" t="str">
        <f t="shared" si="79"/>
        <v>E:\附赠：Excel模板\精美EXCEL模板\网友极力推荐的Excel模板1000例</v>
      </c>
      <c r="S4106" s="9">
        <v>43600.3821875</v>
      </c>
      <c r="T4106" s="9">
        <v>43390.5168981481</v>
      </c>
    </row>
    <row r="4107" spans="14:20">
      <c r="N4107" s="7" t="str">
        <f>HYPERLINK("E:\附赠：Excel模板\精美EXCEL模板\网友极力推荐的Excel模板1000例\部门日报表.xls","部门日报表.xls")</f>
        <v>部门日报表.xls</v>
      </c>
      <c r="Q4107">
        <v>0.01</v>
      </c>
      <c r="R4107" s="7" t="str">
        <f t="shared" si="79"/>
        <v>E:\附赠：Excel模板\精美EXCEL模板\网友极力推荐的Excel模板1000例</v>
      </c>
      <c r="S4107" s="9">
        <v>43600.3821875</v>
      </c>
      <c r="T4107" s="9">
        <v>43390.5168981481</v>
      </c>
    </row>
    <row r="4108" spans="14:20">
      <c r="N4108" s="7" t="str">
        <f>HYPERLINK("E:\附赠：Excel模板\精美EXCEL模板\网友极力推荐的Excel模板1000例\部门电话分布一览表.xls","部门电话分布一览表.xls")</f>
        <v>部门电话分布一览表.xls</v>
      </c>
      <c r="Q4108">
        <v>0.03</v>
      </c>
      <c r="R4108" s="7" t="str">
        <f t="shared" si="79"/>
        <v>E:\附赠：Excel模板\精美EXCEL模板\网友极力推荐的Excel模板1000例</v>
      </c>
      <c r="S4108" s="9">
        <v>43600.3821875</v>
      </c>
      <c r="T4108" s="9">
        <v>43390.5168981481</v>
      </c>
    </row>
    <row r="4109" spans="14:20">
      <c r="N4109" s="7" t="str">
        <f>HYPERLINK("E:\附赠：Excel模板\精美EXCEL模板\网友极力推荐的Excel模板1000例\部门预算单位非税收入资金管理台账.xls","部门预算单位非税收入资金管理台账.xls")</f>
        <v>部门预算单位非税收入资金管理台账.xls</v>
      </c>
      <c r="Q4109">
        <v>0.02</v>
      </c>
      <c r="R4109" s="7" t="str">
        <f t="shared" si="79"/>
        <v>E:\附赠：Excel模板\精美EXCEL模板\网友极力推荐的Excel模板1000例</v>
      </c>
      <c r="S4109" s="9">
        <v>43600.3821875</v>
      </c>
      <c r="T4109" s="9">
        <v>43390.5168981481</v>
      </c>
    </row>
    <row r="4110" spans="14:20">
      <c r="N4110" s="7" t="str">
        <f>HYPERLINK("E:\附赠：Excel模板\精美EXCEL模板\网友极力推荐的Excel模板1000例\部门（单位）票据领用情况表.xls","部门（单位）票据领用情况表.xls")</f>
        <v>部门（单位）票据领用情况表.xls</v>
      </c>
      <c r="Q4110">
        <v>0.02</v>
      </c>
      <c r="R4110" s="7" t="str">
        <f t="shared" si="79"/>
        <v>E:\附赠：Excel模板\精美EXCEL模板\网友极力推荐的Excel模板1000例</v>
      </c>
      <c r="S4110" s="9">
        <v>43600.3821875</v>
      </c>
      <c r="T4110" s="9">
        <v>43390.5168981481</v>
      </c>
    </row>
    <row r="4111" spans="14:20">
      <c r="N4111" s="7" t="str">
        <f>HYPERLINK("E:\附赠：Excel模板\精美EXCEL模板\网友极力推荐的Excel模板1000例\采购.xls","采购.xls")</f>
        <v>采购.xls</v>
      </c>
      <c r="Q4111">
        <v>0.03</v>
      </c>
      <c r="R4111" s="7" t="str">
        <f t="shared" si="79"/>
        <v>E:\附赠：Excel模板\精美EXCEL模板\网友极力推荐的Excel模板1000例</v>
      </c>
      <c r="S4111" s="9">
        <v>43600.3821875</v>
      </c>
      <c r="T4111" s="9">
        <v>43390.5168518519</v>
      </c>
    </row>
    <row r="4112" spans="14:20">
      <c r="N4112" s="7" t="str">
        <f>HYPERLINK("E:\附赠：Excel模板\精美EXCEL模板\网友极力推荐的Excel模板1000例\采购报表.xls","采购报表.xls")</f>
        <v>采购报表.xls</v>
      </c>
      <c r="Q4112">
        <v>0.03</v>
      </c>
      <c r="R4112" s="7" t="str">
        <f t="shared" si="79"/>
        <v>E:\附赠：Excel模板\精美EXCEL模板\网友极力推荐的Excel模板1000例</v>
      </c>
      <c r="S4112" s="9">
        <v>43600.3821875</v>
      </c>
      <c r="T4112" s="9">
        <v>43390.5168518519</v>
      </c>
    </row>
    <row r="4113" spans="14:20">
      <c r="N4113" s="7" t="str">
        <f>HYPERLINK("E:\附赠：Excel模板\精美EXCEL模板\网友极力推荐的Excel模板1000例\采购目录及采购限额标准和公开招标数额表.xls","采购目录及采购限额标准和公开招标数额表.xls")</f>
        <v>采购目录及采购限额标准和公开招标数额表.xls</v>
      </c>
      <c r="Q4113">
        <v>0.03</v>
      </c>
      <c r="R4113" s="7" t="str">
        <f t="shared" si="79"/>
        <v>E:\附赠：Excel模板\精美EXCEL模板\网友极力推荐的Excel模板1000例</v>
      </c>
      <c r="S4113" s="9">
        <v>43600.3821875</v>
      </c>
      <c r="T4113" s="9">
        <v>43390.5168518519</v>
      </c>
    </row>
    <row r="4114" spans="14:20">
      <c r="N4114" s="7" t="str">
        <f>HYPERLINK("E:\附赠：Excel模板\精美EXCEL模板\网友极力推荐的Excel模板1000例\重点建设学科“软件”投入与执行情况验收表.xls","重点建设学科“软件”投入与执行情况验收表.xls")</f>
        <v>重点建设学科“软件”投入与执行情况验收表.xls</v>
      </c>
      <c r="Q4114">
        <v>0.02</v>
      </c>
      <c r="R4114" s="7" t="str">
        <f t="shared" si="79"/>
        <v>E:\附赠：Excel模板\精美EXCEL模板\网友极力推荐的Excel模板1000例</v>
      </c>
      <c r="S4114" s="9">
        <v>43600.3821875</v>
      </c>
      <c r="T4114" s="9">
        <v>43390.5156481481</v>
      </c>
    </row>
    <row r="4115" spans="14:20">
      <c r="N4115" s="7" t="str">
        <f>HYPERLINK("E:\附赠：Excel模板\精美EXCEL模板\网友极力推荐的Excel模板1000例\重点建设教材申报选题表.xls","重点建设教材申报选题表.xls")</f>
        <v>重点建设教材申报选题表.xls</v>
      </c>
      <c r="Q4115">
        <v>0.02</v>
      </c>
      <c r="R4115" s="7" t="str">
        <f t="shared" si="79"/>
        <v>E:\附赠：Excel模板\精美EXCEL模板\网友极力推荐的Excel模板1000例</v>
      </c>
      <c r="S4115" s="9">
        <v>43600.3821875</v>
      </c>
      <c r="T4115" s="9">
        <v>43390.5156481481</v>
      </c>
    </row>
    <row r="4116" spans="14:20">
      <c r="N4116" s="7" t="str">
        <f>HYPERLINK("E:\附赠：Excel模板\精美EXCEL模板\网友极力推荐的Excel模板1000例\金融业中英文对照.xls","金融业中英文对照.xls")</f>
        <v>金融业中英文对照.xls</v>
      </c>
      <c r="Q4116">
        <v>0.03</v>
      </c>
      <c r="R4116" s="7" t="str">
        <f t="shared" si="79"/>
        <v>E:\附赠：Excel模板\精美EXCEL模板\网友极力推荐的Excel模板1000例</v>
      </c>
      <c r="S4116" s="9">
        <v>43600.3821875</v>
      </c>
      <c r="T4116" s="9">
        <v>43390.5164583333</v>
      </c>
    </row>
    <row r="4117" spans="14:20">
      <c r="N4117" s="7" t="str">
        <f>HYPERLINK("E:\附赠：Excel模板\精美EXCEL模板\网友极力推荐的Excel模板1000例\金融机构甄别可疑外汇资金交易报告表.xls","金融机构甄别可疑外汇资金交易报告表.xls")</f>
        <v>金融机构甄别可疑外汇资金交易报告表.xls</v>
      </c>
      <c r="Q4117">
        <v>0.02</v>
      </c>
      <c r="R4117" s="7" t="str">
        <f t="shared" si="79"/>
        <v>E:\附赠：Excel模板\精美EXCEL模板\网友极力推荐的Excel模板1000例</v>
      </c>
      <c r="S4117" s="9">
        <v>43600.3821875</v>
      </c>
      <c r="T4117" s="9">
        <v>43390.5164583333</v>
      </c>
    </row>
    <row r="4118" spans="14:20">
      <c r="N4118" s="7" t="str">
        <f>HYPERLINK("E:\附赠：Excel模板\精美EXCEL模板\网友极力推荐的Excel模板1000例\金融系统行业标准一览表.xls","金融系统行业标准一览表.xls")</f>
        <v>金融系统行业标准一览表.xls</v>
      </c>
      <c r="Q4118">
        <v>0.01</v>
      </c>
      <c r="R4118" s="7" t="str">
        <f t="shared" si="79"/>
        <v>E:\附赠：Excel模板\精美EXCEL模板\网友极力推荐的Excel模板1000例</v>
      </c>
      <c r="S4118" s="9">
        <v>43600.3821875</v>
      </c>
      <c r="T4118" s="9">
        <v>43390.5164583333</v>
      </c>
    </row>
    <row r="4119" spans="14:20">
      <c r="N4119" s="7" t="str">
        <f>HYPERLINK("E:\附赠：Excel模板\精美EXCEL模板\网友极力推荐的Excel模板1000例\铁路运输主要财务指标.xls","铁路运输主要财务指标.xls")</f>
        <v>铁路运输主要财务指标.xls</v>
      </c>
      <c r="Q4119">
        <v>0.02</v>
      </c>
      <c r="R4119" s="7" t="str">
        <f t="shared" si="79"/>
        <v>E:\附赠：Excel模板\精美EXCEL模板\网友极力推荐的Excel模板1000例</v>
      </c>
      <c r="S4119" s="9">
        <v>43600.3821875</v>
      </c>
      <c r="T4119" s="9">
        <v>43390.5160416667</v>
      </c>
    </row>
    <row r="4120" spans="14:20">
      <c r="N4120" s="7" t="str">
        <f>HYPERLINK("E:\附赠：Excel模板\精美EXCEL模板\网友极力推荐的Excel模板1000例\铁路运输企业补充指标表.xls","铁路运输企业补充指标表.xls")</f>
        <v>铁路运输企业补充指标表.xls</v>
      </c>
      <c r="Q4120">
        <v>0.02</v>
      </c>
      <c r="R4120" s="7" t="str">
        <f t="shared" si="79"/>
        <v>E:\附赠：Excel模板\精美EXCEL模板\网友极力推荐的Excel模板1000例</v>
      </c>
      <c r="S4120" s="9">
        <v>43600.3821875</v>
      </c>
      <c r="T4120" s="9">
        <v>43390.5160416667</v>
      </c>
    </row>
    <row r="4121" spans="14:20">
      <c r="N4121" s="7" t="str">
        <f>HYPERLINK("E:\附赠：Excel模板\精美EXCEL模板\网友极力推荐的Excel模板1000例\银行助学贷款申请审批表.xls","银行助学贷款申请审批表.xls")</f>
        <v>银行助学贷款申请审批表.xls</v>
      </c>
      <c r="Q4121">
        <v>0.03</v>
      </c>
      <c r="R4121" s="7" t="str">
        <f t="shared" si="79"/>
        <v>E:\附赠：Excel模板\精美EXCEL模板\网友极力推荐的Excel模板1000例</v>
      </c>
      <c r="S4121" s="9">
        <v>43600.3821875</v>
      </c>
      <c r="T4121" s="9">
        <v>43390.5157638889</v>
      </c>
    </row>
    <row r="4122" spans="14:20">
      <c r="N4122" s="7" t="str">
        <f>HYPERLINK("E:\附赠：Excel模板\精美EXCEL模板\网友极力推荐的Excel模板1000例\银行及其他金融机构利润费用表.xls","银行及其他金融机构利润费用表.xls")</f>
        <v>银行及其他金融机构利润费用表.xls</v>
      </c>
      <c r="Q4122">
        <v>0.02</v>
      </c>
      <c r="R4122" s="7" t="str">
        <f t="shared" si="79"/>
        <v>E:\附赠：Excel模板\精美EXCEL模板\网友极力推荐的Excel模板1000例</v>
      </c>
      <c r="S4122" s="9">
        <v>43600.3821875</v>
      </c>
      <c r="T4122" s="9">
        <v>43390.5157638889</v>
      </c>
    </row>
    <row r="4123" spans="14:20">
      <c r="N4123" s="7" t="str">
        <f>HYPERLINK("E:\附赠：Excel模板\精美EXCEL模板\网友极力推荐的Excel模板1000例\银行及其他金融机构资产负债表.xls","银行及其他金融机构资产负债表.xls")</f>
        <v>银行及其他金融机构资产负债表.xls</v>
      </c>
      <c r="Q4123">
        <v>0.02</v>
      </c>
      <c r="R4123" s="7" t="str">
        <f t="shared" si="79"/>
        <v>E:\附赠：Excel模板\精美EXCEL模板\网友极力推荐的Excel模板1000例</v>
      </c>
      <c r="S4123" s="9">
        <v>43600.3821875</v>
      </c>
      <c r="T4123" s="9">
        <v>43390.5157638889</v>
      </c>
    </row>
    <row r="4124" spans="14:20">
      <c r="N4124" s="7" t="str">
        <f>HYPERLINK("E:\附赠：Excel模板\精美EXCEL模板\网友极力推荐的Excel模板1000例\销售报表.xls","销售报表.xls")</f>
        <v>销售报表.xls</v>
      </c>
      <c r="Q4124">
        <v>0.06</v>
      </c>
      <c r="R4124" s="7" t="str">
        <f t="shared" si="79"/>
        <v>E:\附赠：Excel模板\精美EXCEL模板\网友极力推荐的Excel模板1000例</v>
      </c>
      <c r="S4124" s="9">
        <v>43600.3821875</v>
      </c>
      <c r="T4124" s="9">
        <v>43390.5159259259</v>
      </c>
    </row>
    <row r="4125" spans="14:20">
      <c r="N4125" s="7" t="str">
        <f>HYPERLINK("E:\附赠：Excel模板\精美EXCEL模板\网友极力推荐的Excel模板1000例\镇(街道、区)主要经济指标考核基础表.xls","镇(街道、区)主要经济指标考核基础表.xls")</f>
        <v>镇(街道、区)主要经济指标考核基础表.xls</v>
      </c>
      <c r="Q4125">
        <v>0.05</v>
      </c>
      <c r="R4125" s="7" t="str">
        <f t="shared" si="79"/>
        <v>E:\附赠：Excel模板\精美EXCEL模板\网友极力推荐的Excel模板1000例</v>
      </c>
      <c r="S4125" s="9">
        <v>43600.3821875</v>
      </c>
      <c r="T4125" s="9">
        <v>43390.5157175926</v>
      </c>
    </row>
    <row r="4126" spans="14:20">
      <c r="N4126" s="7" t="str">
        <f>HYPERLINK("E:\附赠：Excel模板\精美EXCEL模板\网友极力推荐的Excel模板1000例\长期投资明细表.xls","长期投资明细表.xls")</f>
        <v>长期投资明细表.xls</v>
      </c>
      <c r="Q4126">
        <v>0.02</v>
      </c>
      <c r="R4126" s="7" t="str">
        <f t="shared" si="79"/>
        <v>E:\附赠：Excel模板\精美EXCEL模板\网友极力推荐的Excel模板1000例</v>
      </c>
      <c r="S4126" s="9">
        <v>43600.3821875</v>
      </c>
      <c r="T4126" s="9">
        <v>43390.5168287037</v>
      </c>
    </row>
    <row r="4127" spans="14:20">
      <c r="N4127" s="7" t="str">
        <f>HYPERLINK("E:\附赠：Excel模板\精美EXCEL模板\网友极力推荐的Excel模板1000例\限额以上批发贸易业财务状况和经济效益.xls","限额以上批发贸易业财务状况和经济效益.xls")</f>
        <v>限额以上批发贸易业财务状况和经济效益.xls</v>
      </c>
      <c r="Q4127">
        <v>0.04</v>
      </c>
      <c r="R4127" s="7" t="str">
        <f t="shared" si="79"/>
        <v>E:\附赠：Excel模板\精美EXCEL模板\网友极力推荐的Excel模板1000例</v>
      </c>
      <c r="S4127" s="9">
        <v>43600.3821875</v>
      </c>
      <c r="T4127" s="9">
        <v>43390.5159722222</v>
      </c>
    </row>
    <row r="4128" spans="14:20">
      <c r="N4128" s="7" t="str">
        <f>HYPERLINK("E:\附赠：Excel模板\精美EXCEL模板\网友极力推荐的Excel模板1000例\限额以上餐饮企业主要财务指标.xls","限额以上餐饮企业主要财务指标.xls")</f>
        <v>限额以上餐饮企业主要财务指标.xls</v>
      </c>
      <c r="Q4128">
        <v>0.03</v>
      </c>
      <c r="R4128" s="7" t="str">
        <f t="shared" si="79"/>
        <v>E:\附赠：Excel模板\精美EXCEL模板\网友极力推荐的Excel模板1000例</v>
      </c>
      <c r="S4128" s="9">
        <v>43600.3821875</v>
      </c>
      <c r="T4128" s="9">
        <v>43390.5159722222</v>
      </c>
    </row>
    <row r="4129" spans="14:20">
      <c r="N4129" s="7" t="str">
        <f>HYPERLINK("E:\附赠：Excel模板\精美EXCEL模板\网友极力推荐的Excel模板1000例\限额以上餐饮企业主要财务指标情况.xls","限额以上餐饮企业主要财务指标情况.xls")</f>
        <v>限额以上餐饮企业主要财务指标情况.xls</v>
      </c>
      <c r="Q4129">
        <v>0.03</v>
      </c>
      <c r="R4129" s="7" t="str">
        <f t="shared" si="79"/>
        <v>E:\附赠：Excel模板\精美EXCEL模板\网友极力推荐的Excel模板1000例</v>
      </c>
      <c r="S4129" s="9">
        <v>43600.3821875</v>
      </c>
      <c r="T4129" s="9">
        <v>43390.5159722222</v>
      </c>
    </row>
    <row r="4130" spans="14:20">
      <c r="N4130" s="7" t="str">
        <f>HYPERLINK("E:\附赠：Excel模板\精美EXCEL模板\网友极力推荐的Excel模板1000例\集团应届大学生招生需求总汇表.xls","集团应届大学生招生需求总汇表.xls")</f>
        <v>集团应届大学生招生需求总汇表.xls</v>
      </c>
      <c r="Q4130">
        <v>0.02</v>
      </c>
      <c r="R4130" s="7" t="str">
        <f t="shared" si="79"/>
        <v>E:\附赠：Excel模板\精美EXCEL模板\网友极力推荐的Excel模板1000例</v>
      </c>
      <c r="S4130" s="9">
        <v>43600.3821875</v>
      </c>
      <c r="T4130" s="9">
        <v>43390.5165277778</v>
      </c>
    </row>
    <row r="4131" spans="14:20">
      <c r="N4131" s="7" t="str">
        <f>HYPERLINK("E:\附赠：Excel模板\精美EXCEL模板\网友极力推荐的Excel模板1000例\非保证类房贷险业务统计表.xls","非保证类房贷险业务统计表.xls")</f>
        <v>非保证类房贷险业务统计表.xls</v>
      </c>
      <c r="Q4131">
        <v>0.02</v>
      </c>
      <c r="R4131" s="7" t="str">
        <f t="shared" si="79"/>
        <v>E:\附赠：Excel模板\精美EXCEL模板\网友极力推荐的Excel模板1000例</v>
      </c>
      <c r="S4131" s="9">
        <v>43600.3821875</v>
      </c>
      <c r="T4131" s="9">
        <v>43390.5166898148</v>
      </c>
    </row>
    <row r="4132" spans="14:20">
      <c r="N4132" s="7" t="str">
        <f>HYPERLINK("E:\附赠：Excel模板\精美EXCEL模板\网友极力推荐的Excel模板1000例\非经营费用明细表.xls","非经营费用明细表.xls")</f>
        <v>非经营费用明细表.xls</v>
      </c>
      <c r="Q4132">
        <v>0.02</v>
      </c>
      <c r="R4132" s="7" t="str">
        <f t="shared" si="79"/>
        <v>E:\附赠：Excel模板\精美EXCEL模板\网友极力推荐的Excel模板1000例</v>
      </c>
      <c r="S4132" s="9">
        <v>43600.3821875</v>
      </c>
      <c r="T4132" s="9">
        <v>43390.5166898148</v>
      </c>
    </row>
    <row r="4133" spans="14:20">
      <c r="N4133" s="7" t="str">
        <f>HYPERLINK("E:\附赠：Excel模板\精美EXCEL模板\网友极力推荐的Excel模板1000例\面向社会公开招考国家公务员计划申报表.xls","面向社会公开招考国家公务员计划申报表.xls")</f>
        <v>面向社会公开招考国家公务员计划申报表.xls</v>
      </c>
      <c r="Q4133">
        <v>0.02</v>
      </c>
      <c r="R4133" s="7" t="str">
        <f t="shared" si="79"/>
        <v>E:\附赠：Excel模板\精美EXCEL模板\网友极力推荐的Excel模板1000例</v>
      </c>
      <c r="S4133" s="9">
        <v>43600.3821875</v>
      </c>
      <c r="T4133" s="9">
        <v>43390.5163194444</v>
      </c>
    </row>
    <row r="4134" spans="14:20">
      <c r="N4134" s="7" t="str">
        <f>HYPERLINK("E:\附赠：Excel模板\精美EXCEL模板\网友极力推荐的Excel模板1000例\项目依托单位及管理员名录.xls","项目依托单位及管理员名录.xls")</f>
        <v>项目依托单位及管理员名录.xls</v>
      </c>
      <c r="Q4134">
        <v>0.02</v>
      </c>
      <c r="R4134" s="7" t="str">
        <f t="shared" si="79"/>
        <v>E:\附赠：Excel模板\精美EXCEL模板\网友极力推荐的Excel模板1000例</v>
      </c>
      <c r="S4134" s="9">
        <v>43600.3821875</v>
      </c>
      <c r="T4134" s="9">
        <v>43390.5159259259</v>
      </c>
    </row>
    <row r="4135" spans="14:20">
      <c r="N4135" s="7" t="str">
        <f>HYPERLINK("E:\附赠：Excel模板\精美EXCEL模板\网友极力推荐的Excel模板1000例\项目基本情况表.xls","项目基本情况表.xls")</f>
        <v>项目基本情况表.xls</v>
      </c>
      <c r="Q4135">
        <v>0.02</v>
      </c>
      <c r="R4135" s="7" t="str">
        <f t="shared" si="79"/>
        <v>E:\附赠：Excel模板\精美EXCEL模板\网友极力推荐的Excel模板1000例</v>
      </c>
      <c r="S4135" s="9">
        <v>43600.3821875</v>
      </c>
      <c r="T4135" s="9">
        <v>43390.5159490741</v>
      </c>
    </row>
    <row r="4136" spans="14:20">
      <c r="N4136" s="7" t="str">
        <f>HYPERLINK("E:\附赠：Excel模板\精美EXCEL模板\网友极力推荐的Excel模板1000例\项目工作量统计表.xls","项目工作量统计表.xls")</f>
        <v>项目工作量统计表.xls</v>
      </c>
      <c r="Q4136">
        <v>0.02</v>
      </c>
      <c r="R4136" s="7" t="str">
        <f t="shared" si="79"/>
        <v>E:\附赠：Excel模板\精美EXCEL模板\网友极力推荐的Excel模板1000例</v>
      </c>
      <c r="S4136" s="9">
        <v>43600.3821875</v>
      </c>
      <c r="T4136" s="9">
        <v>43390.5159490741</v>
      </c>
    </row>
    <row r="4137" spans="14:20">
      <c r="N4137" s="7" t="str">
        <f>HYPERLINK("E:\附赠：Excel模板\精美EXCEL模板\网友极力推荐的Excel模板1000例\项目投资现金流量表.xls","项目投资现金流量表.xls")</f>
        <v>项目投资现金流量表.xls</v>
      </c>
      <c r="Q4137">
        <v>0.01</v>
      </c>
      <c r="R4137" s="7" t="str">
        <f t="shared" si="79"/>
        <v>E:\附赠：Excel模板\精美EXCEL模板\网友极力推荐的Excel模板1000例</v>
      </c>
      <c r="S4137" s="9">
        <v>43600.3821875</v>
      </c>
      <c r="T4137" s="9">
        <v>43390.5159259259</v>
      </c>
    </row>
    <row r="4138" spans="14:20">
      <c r="N4138" s="7" t="str">
        <f>HYPERLINK("E:\附赠：Excel模板\精美EXCEL模板\网友极力推荐的Excel模板1000例\项目损益表.xls","项目损益表.xls")</f>
        <v>项目损益表.xls</v>
      </c>
      <c r="Q4138">
        <v>0.01</v>
      </c>
      <c r="R4138" s="7" t="str">
        <f t="shared" si="79"/>
        <v>E:\附赠：Excel模板\精美EXCEL模板\网友极力推荐的Excel模板1000例</v>
      </c>
      <c r="S4138" s="9">
        <v>43600.3821875</v>
      </c>
      <c r="T4138" s="9">
        <v>43390.5159259259</v>
      </c>
    </row>
    <row r="4139" spans="14:20">
      <c r="N4139" s="7" t="str">
        <f>HYPERLINK("E:\附赠：Excel模板\精美EXCEL模板\网友极力推荐的Excel模板1000例\项目支出预算情况表.xls","项目支出预算情况表.xls")</f>
        <v>项目支出预算情况表.xls</v>
      </c>
      <c r="Q4139">
        <v>0.02</v>
      </c>
      <c r="R4139" s="7" t="str">
        <f t="shared" si="79"/>
        <v>E:\附赠：Excel模板\精美EXCEL模板\网友极力推荐的Excel模板1000例</v>
      </c>
      <c r="S4139" s="9">
        <v>43600.3821875</v>
      </c>
      <c r="T4139" s="9">
        <v>43390.5159259259</v>
      </c>
    </row>
    <row r="4140" spans="14:20">
      <c r="N4140" s="7" t="str">
        <f>HYPERLINK("E:\附赠：Excel模板\精美EXCEL模板\网友极力推荐的Excel模板1000例\项目支出预算明细表.xls","项目支出预算明细表.xls")</f>
        <v>项目支出预算明细表.xls</v>
      </c>
      <c r="Q4140">
        <v>0.02</v>
      </c>
      <c r="R4140" s="7" t="str">
        <f t="shared" si="79"/>
        <v>E:\附赠：Excel模板\精美EXCEL模板\网友极力推荐的Excel模板1000例</v>
      </c>
      <c r="S4140" s="9">
        <v>43600.3821875</v>
      </c>
      <c r="T4140" s="9">
        <v>43390.5159259259</v>
      </c>
    </row>
    <row r="4141" spans="14:20">
      <c r="N4141" s="7" t="str">
        <f>HYPERLINK("E:\附赠：Excel模板\精美EXCEL模板\网友极力推荐的Excel模板1000例\项目支出预算申报说明书.xls","项目支出预算申报说明书.xls")</f>
        <v>项目支出预算申报说明书.xls</v>
      </c>
      <c r="Q4141">
        <v>0.01</v>
      </c>
      <c r="R4141" s="7" t="str">
        <f t="shared" si="79"/>
        <v>E:\附赠：Excel模板\精美EXCEL模板\网友极力推荐的Excel模板1000例</v>
      </c>
      <c r="S4141" s="9">
        <v>43600.3821875</v>
      </c>
      <c r="T4141" s="9">
        <v>43390.5159259259</v>
      </c>
    </row>
    <row r="4142" spans="14:20">
      <c r="N4142" s="7" t="str">
        <f>HYPERLINK("E:\附赠：Excel模板\精美EXCEL模板\网友极力推荐的Excel模板1000例\项目数据汇总表.xls","项目数据汇总表.xls")</f>
        <v>项目数据汇总表.xls</v>
      </c>
      <c r="Q4142">
        <v>0.02</v>
      </c>
      <c r="R4142" s="7" t="str">
        <f t="shared" si="79"/>
        <v>E:\附赠：Excel模板\精美EXCEL模板\网友极力推荐的Excel模板1000例</v>
      </c>
      <c r="S4142" s="9">
        <v>43600.3821875</v>
      </c>
      <c r="T4142" s="9">
        <v>43390.5159259259</v>
      </c>
    </row>
    <row r="4143" spans="14:20">
      <c r="N4143" s="7" t="str">
        <f>HYPERLINK("E:\附赠：Excel模板\精美EXCEL模板\网友极力推荐的Excel模板1000例\项目经费支出明细表.xls","项目经费支出明细表.xls")</f>
        <v>项目经费支出明细表.xls</v>
      </c>
      <c r="Q4143">
        <v>0.03</v>
      </c>
      <c r="R4143" s="7" t="str">
        <f t="shared" si="79"/>
        <v>E:\附赠：Excel模板\精美EXCEL模板\网友极力推荐的Excel模板1000例</v>
      </c>
      <c r="S4143" s="9">
        <v>43600.3821875</v>
      </c>
      <c r="T4143" s="9">
        <v>43390.5159259259</v>
      </c>
    </row>
    <row r="4144" spans="14:20">
      <c r="N4144" s="7" t="str">
        <f>HYPERLINK("E:\附赠：Excel模板\精美EXCEL模板\网友极力推荐的Excel模板1000例\项目经费收入明细表.xls","项目经费收入明细表.xls")</f>
        <v>项目经费收入明细表.xls</v>
      </c>
      <c r="Q4144">
        <v>0.02</v>
      </c>
      <c r="R4144" s="7" t="str">
        <f t="shared" si="79"/>
        <v>E:\附赠：Excel模板\精美EXCEL模板\网友极力推荐的Excel模板1000例</v>
      </c>
      <c r="S4144" s="9">
        <v>43600.3821875</v>
      </c>
      <c r="T4144" s="9">
        <v>43390.5159490741</v>
      </c>
    </row>
    <row r="4145" spans="14:20">
      <c r="N4145" s="7" t="str">
        <f>HYPERLINK("E:\附赠：Excel模板\精美EXCEL模板\网友极力推荐的Excel模板1000例\项目经费收支总表.xls","项目经费收支总表.xls")</f>
        <v>项目经费收支总表.xls</v>
      </c>
      <c r="Q4145">
        <v>0.02</v>
      </c>
      <c r="R4145" s="7" t="str">
        <f t="shared" si="79"/>
        <v>E:\附赠：Excel模板\精美EXCEL模板\网友极力推荐的Excel模板1000例</v>
      </c>
      <c r="S4145" s="9">
        <v>43600.3821875</v>
      </c>
      <c r="T4145" s="9">
        <v>43390.5159490741</v>
      </c>
    </row>
    <row r="4146" spans="14:20">
      <c r="N4146" s="7" t="str">
        <f>HYPERLINK("E:\附赠：Excel模板\精美EXCEL模板\网友极力推荐的Excel模板1000例\项目经费预算及拨款计划.xls","项目经费预算及拨款计划.xls")</f>
        <v>项目经费预算及拨款计划.xls</v>
      </c>
      <c r="Q4146">
        <v>0.02</v>
      </c>
      <c r="R4146" s="7" t="str">
        <f t="shared" si="79"/>
        <v>E:\附赠：Excel模板\精美EXCEL模板\网友极力推荐的Excel模板1000例</v>
      </c>
      <c r="S4146" s="9">
        <v>43600.3821875</v>
      </c>
      <c r="T4146" s="9">
        <v>43390.5159490741</v>
      </c>
    </row>
    <row r="4147" spans="14:20">
      <c r="N4147" s="7" t="str">
        <f>HYPERLINK("E:\附赠：Excel模板\精美EXCEL模板\网友极力推荐的Excel模板1000例\项目评审报告.xls","项目评审报告.xls")</f>
        <v>项目评审报告.xls</v>
      </c>
      <c r="Q4147">
        <v>0.03</v>
      </c>
      <c r="R4147" s="7" t="str">
        <f t="shared" si="79"/>
        <v>E:\附赠：Excel模板\精美EXCEL模板\网友极力推荐的Excel模板1000例</v>
      </c>
      <c r="S4147" s="9">
        <v>43600.3821875</v>
      </c>
      <c r="T4147" s="9">
        <v>43390.5159259259</v>
      </c>
    </row>
    <row r="4148" spans="14:20">
      <c r="N4148" s="7" t="str">
        <f>HYPERLINK("E:\附赠：Excel模板\精美EXCEL模板\网友极力推荐的Excel模板1000例\项目负责人名单.xls","项目负责人名单.xls")</f>
        <v>项目负责人名单.xls</v>
      </c>
      <c r="Q4148">
        <v>0.03</v>
      </c>
      <c r="R4148" s="7" t="str">
        <f t="shared" si="79"/>
        <v>E:\附赠：Excel模板\精美EXCEL模板\网友极力推荐的Excel模板1000例</v>
      </c>
      <c r="S4148" s="9">
        <v>43600.3821875</v>
      </c>
      <c r="T4148" s="9">
        <v>43390.5159490741</v>
      </c>
    </row>
    <row r="4149" spans="14:20">
      <c r="N4149" s="7" t="str">
        <f>HYPERLINK("E:\附赠：Excel模板\精美EXCEL模板\网友极力推荐的Excel模板1000例\项目进度表.xls","项目进度表.xls")</f>
        <v>项目进度表.xls</v>
      </c>
      <c r="Q4149">
        <v>0.02</v>
      </c>
      <c r="R4149" s="7" t="str">
        <f t="shared" si="79"/>
        <v>E:\附赠：Excel模板\精美EXCEL模板\网友极力推荐的Excel模板1000例</v>
      </c>
      <c r="S4149" s="9">
        <v>43600.3821875</v>
      </c>
      <c r="T4149" s="9">
        <v>43390.5159490741</v>
      </c>
    </row>
    <row r="4150" spans="14:20">
      <c r="N4150" s="7" t="str">
        <f>HYPERLINK("E:\附赠：Excel模板\精美EXCEL模板\网友极力推荐的Excel模板1000例\项目进度表1.xls","项目进度表1.xls")</f>
        <v>项目进度表1.xls</v>
      </c>
      <c r="Q4150">
        <v>0.03</v>
      </c>
      <c r="R4150" s="7" t="str">
        <f t="shared" si="79"/>
        <v>E:\附赠：Excel模板\精美EXCEL模板\网友极力推荐的Excel模板1000例</v>
      </c>
      <c r="S4150" s="9">
        <v>43600.3821875</v>
      </c>
      <c r="T4150" s="9">
        <v>43390.5159490741</v>
      </c>
    </row>
    <row r="4151" spans="14:20">
      <c r="N4151" s="7" t="str">
        <f>HYPERLINK("E:\附赠：Excel模板\精美EXCEL模板\网友极力推荐的Excel模板1000例\项目进度表2.xls","项目进度表2.xls")</f>
        <v>项目进度表2.xls</v>
      </c>
      <c r="Q4151">
        <v>0.02</v>
      </c>
      <c r="R4151" s="7" t="str">
        <f t="shared" si="79"/>
        <v>E:\附赠：Excel模板\精美EXCEL模板\网友极力推荐的Excel模板1000例</v>
      </c>
      <c r="S4151" s="9">
        <v>43600.3821875</v>
      </c>
      <c r="T4151" s="9">
        <v>43390.5159490741</v>
      </c>
    </row>
    <row r="4152" spans="14:20">
      <c r="N4152" s="7" t="str">
        <f>HYPERLINK("E:\附赠：Excel模板\精美EXCEL模板\网友极力推荐的Excel模板1000例\预收、预付帐款明细表.xls","预收、预付帐款明细表.xls")</f>
        <v>预收、预付帐款明细表.xls</v>
      </c>
      <c r="Q4152">
        <v>0.02</v>
      </c>
      <c r="R4152" s="7" t="str">
        <f t="shared" si="79"/>
        <v>E:\附赠：Excel模板\精美EXCEL模板\网友极力推荐的Excel模板1000例</v>
      </c>
      <c r="S4152" s="9">
        <v>43600.3821875</v>
      </c>
      <c r="T4152" s="9">
        <v>43390.5157407407</v>
      </c>
    </row>
    <row r="4153" spans="14:20">
      <c r="N4153" s="7" t="str">
        <f>HYPERLINK("E:\附赠：Excel模板\精美EXCEL模板\网友极力推荐的Excel模板1000例\预算内财政支付支出情况表.xls","预算内财政支付支出情况表.xls")</f>
        <v>预算内财政支付支出情况表.xls</v>
      </c>
      <c r="Q4153">
        <v>0.01</v>
      </c>
      <c r="R4153" s="7" t="str">
        <f t="shared" si="79"/>
        <v>E:\附赠：Excel模板\精美EXCEL模板\网友极力推荐的Excel模板1000例</v>
      </c>
      <c r="S4153" s="9">
        <v>43600.3821875</v>
      </c>
      <c r="T4153" s="9">
        <v>43390.5157407407</v>
      </c>
    </row>
    <row r="4154" spans="14:20">
      <c r="N4154" s="7" t="str">
        <f>HYPERLINK("E:\附赠：Excel模板\精美EXCEL模板\网友极力推荐的Excel模板1000例\预算单位收入支出情况表.xls","预算单位收入支出情况表.xls")</f>
        <v>预算单位收入支出情况表.xls</v>
      </c>
      <c r="Q4154">
        <v>0.03</v>
      </c>
      <c r="R4154" s="7" t="str">
        <f t="shared" si="79"/>
        <v>E:\附赠：Excel模板\精美EXCEL模板\网友极力推荐的Excel模板1000例</v>
      </c>
      <c r="S4154" s="9">
        <v>43600.3821875</v>
      </c>
      <c r="T4154" s="9">
        <v>43390.5157407407</v>
      </c>
    </row>
    <row r="4155" spans="14:20">
      <c r="N4155" s="7" t="str">
        <f>HYPERLINK("E:\附赠：Excel模板\精美EXCEL模板\网友极力推荐的Excel模板1000例\预算单位财政拨款收支情况表.xls","预算单位财政拨款收支情况表.xls")</f>
        <v>预算单位财政拨款收支情况表.xls</v>
      </c>
      <c r="Q4155">
        <v>0.02</v>
      </c>
      <c r="R4155" s="7" t="str">
        <f t="shared" si="79"/>
        <v>E:\附赠：Excel模板\精美EXCEL模板\网友极力推荐的Excel模板1000例</v>
      </c>
      <c r="S4155" s="9">
        <v>43600.3821875</v>
      </c>
      <c r="T4155" s="9">
        <v>43390.5157407407</v>
      </c>
    </row>
    <row r="4156" spans="14:20">
      <c r="N4156" s="7" t="str">
        <f>HYPERLINK("E:\附赠：Excel模板\精美EXCEL模板\网友极力推荐的Excel模板1000例\预算单位（专项经费）财政直接支付申请书.xls","预算单位（专项经费）财政直接支付申请书.xls")</f>
        <v>预算单位（专项经费）财政直接支付申请书.xls</v>
      </c>
      <c r="Q4156">
        <v>0.02</v>
      </c>
      <c r="R4156" s="7" t="str">
        <f t="shared" si="79"/>
        <v>E:\附赠：Excel模板\精美EXCEL模板\网友极力推荐的Excel模板1000例</v>
      </c>
      <c r="S4156" s="9">
        <v>43600.3821875</v>
      </c>
      <c r="T4156" s="9">
        <v>43390.5157407407</v>
      </c>
    </row>
    <row r="4157" spans="14:20">
      <c r="N4157" s="7" t="str">
        <f>HYPERLINK("E:\附赠：Excel模板\精美EXCEL模板\网友极力推荐的Excel模板1000例\预算外资金用款计划表.xls","预算外资金用款计划表.xls")</f>
        <v>预算外资金用款计划表.xls</v>
      </c>
      <c r="Q4157">
        <v>0.02</v>
      </c>
      <c r="R4157" s="7" t="str">
        <f t="shared" si="79"/>
        <v>E:\附赠：Excel模板\精美EXCEL模板\网友极力推荐的Excel模板1000例</v>
      </c>
      <c r="S4157" s="9">
        <v>43600.3821875</v>
      </c>
      <c r="T4157" s="9">
        <v>43390.5157407407</v>
      </c>
    </row>
    <row r="4158" spans="14:20">
      <c r="N4158" s="7" t="str">
        <f>HYPERLINK("E:\附赠：Excel模板\精美EXCEL模板\网友极力推荐的Excel模板1000例\预计评估增值表.xls","预计评估增值表.xls")</f>
        <v>预计评估增值表.xls</v>
      </c>
      <c r="Q4158">
        <v>0.02</v>
      </c>
      <c r="R4158" s="7" t="str">
        <f t="shared" si="79"/>
        <v>E:\附赠：Excel模板\精美EXCEL模板\网友极力推荐的Excel模板1000例</v>
      </c>
      <c r="S4158" s="9">
        <v>43600.3821875</v>
      </c>
      <c r="T4158" s="9">
        <v>43390.5157407407</v>
      </c>
    </row>
    <row r="4159" spans="14:20">
      <c r="N4159" s="7" t="str">
        <f>HYPERLINK("E:\附赠：Excel模板\精美EXCEL模板\网友极力推荐的Excel模板1000例\预计资产负债简表.xls","预计资产负债简表.xls")</f>
        <v>预计资产负债简表.xls</v>
      </c>
      <c r="Q4159">
        <v>0.02</v>
      </c>
      <c r="R4159" s="7" t="str">
        <f t="shared" si="79"/>
        <v>E:\附赠：Excel模板\精美EXCEL模板\网友极力推荐的Excel模板1000例</v>
      </c>
      <c r="S4159" s="9">
        <v>43600.3821875</v>
      </c>
      <c r="T4159" s="9">
        <v>43390.5157407407</v>
      </c>
    </row>
    <row r="4160" spans="14:20">
      <c r="N4160" s="7" t="str">
        <f>HYPERLINK("E:\附赠：Excel模板\精美EXCEL模板\网友极力推荐的Excel模板1000例\风险控制表.xls","风险控制表.xls")</f>
        <v>风险控制表.xls</v>
      </c>
      <c r="Q4160">
        <v>0.03</v>
      </c>
      <c r="R4160" s="7" t="str">
        <f t="shared" si="79"/>
        <v>E:\附赠：Excel模板\精美EXCEL模板\网友极力推荐的Excel模板1000例</v>
      </c>
      <c r="S4160" s="9">
        <v>43600.3821875</v>
      </c>
      <c r="T4160" s="9">
        <v>43390.5166666667</v>
      </c>
    </row>
    <row r="4161" spans="14:20">
      <c r="N4161" s="7" t="str">
        <f>HYPERLINK("E:\附赠：Excel模板\精美EXCEL模板\网友极力推荐的Excel模板1000例\风险管理列表.xls","风险管理列表.xls")</f>
        <v>风险管理列表.xls</v>
      </c>
      <c r="Q4161">
        <v>0.02</v>
      </c>
      <c r="R4161" s="7" t="str">
        <f t="shared" si="79"/>
        <v>E:\附赠：Excel模板\精美EXCEL模板\网友极力推荐的Excel模板1000例</v>
      </c>
      <c r="S4161" s="9">
        <v>43600.3821875</v>
      </c>
      <c r="T4161" s="9">
        <v>43390.5166898148</v>
      </c>
    </row>
    <row r="4162" spans="14:20">
      <c r="N4162" s="7" t="str">
        <f>HYPERLINK("E:\附赠：Excel模板\精美EXCEL模板\网友极力推荐的Excel模板1000例\食品安全综合评价管理指标细则.xls","食品安全综合评价管理指标细则.xls")</f>
        <v>食品安全综合评价管理指标细则.xls</v>
      </c>
      <c r="Q4162">
        <v>0.06</v>
      </c>
      <c r="R4162" s="7" t="str">
        <f t="shared" ref="R4162:R4167" si="80">HYPERLINK("E:\附赠：Excel模板\精美EXCEL模板\网友极力推荐的Excel模板1000例","E:\附赠：Excel模板\精美EXCEL模板\网友极力推荐的Excel模板1000例")</f>
        <v>E:\附赠：Excel模板\精美EXCEL模板\网友极力推荐的Excel模板1000例</v>
      </c>
      <c r="S4162" s="9">
        <v>43600.3821875</v>
      </c>
      <c r="T4162" s="9">
        <v>43390.5161342593</v>
      </c>
    </row>
    <row r="4163" spans="14:20">
      <c r="N4163" s="7" t="str">
        <f>HYPERLINK("E:\附赠：Excel模板\精美EXCEL模板\网友极力推荐的Excel模板1000例\食品药品及医疗器械抽验支出明细表.xls","食品药品及医疗器械抽验支出明细表.xls")</f>
        <v>食品药品及医疗器械抽验支出明细表.xls</v>
      </c>
      <c r="Q4163">
        <v>0.02</v>
      </c>
      <c r="R4163" s="7" t="str">
        <f t="shared" si="80"/>
        <v>E:\附赠：Excel模板\精美EXCEL模板\网友极力推荐的Excel模板1000例</v>
      </c>
      <c r="S4163" s="9">
        <v>43600.3821875</v>
      </c>
      <c r="T4163" s="9">
        <v>43390.5161342593</v>
      </c>
    </row>
    <row r="4164" spans="14:20">
      <c r="N4164" s="7" t="str">
        <f>HYPERLINK("E:\附赠：Excel模板\精美EXCEL模板\网友极力推荐的Excel模板1000例\首季課程系列表.xls","首季課程系列表.xls")</f>
        <v>首季課程系列表.xls</v>
      </c>
      <c r="Q4164">
        <v>0.11</v>
      </c>
      <c r="R4164" s="7" t="str">
        <f t="shared" si="80"/>
        <v>E:\附赠：Excel模板\精美EXCEL模板\网友极力推荐的Excel模板1000例</v>
      </c>
      <c r="S4164" s="9">
        <v>43600.3821875</v>
      </c>
      <c r="T4164" s="9">
        <v>43390.5160648148</v>
      </c>
    </row>
    <row r="4165" spans="14:20">
      <c r="N4165" s="7" t="str">
        <f>HYPERLINK("E:\附赠：Excel模板\精美EXCEL模板\网友极力推荐的Excel模板1000例\香港特别行政区主要统计指标概览.xls","香港特别行政区主要统计指标概览.xls")</f>
        <v>香港特别行政区主要统计指标概览.xls</v>
      </c>
      <c r="Q4165">
        <v>0.02</v>
      </c>
      <c r="R4165" s="7" t="str">
        <f t="shared" si="80"/>
        <v>E:\附赠：Excel模板\精美EXCEL模板\网友极力推荐的Excel模板1000例</v>
      </c>
      <c r="S4165" s="9">
        <v>43600.3821875</v>
      </c>
      <c r="T4165" s="9">
        <v>43390.5159722222</v>
      </c>
    </row>
    <row r="4166" spans="14:20">
      <c r="N4166" s="7" t="str">
        <f>HYPERLINK("E:\附赠：Excel模板\精美EXCEL模板\网友极力推荐的Excel模板1000例\高等学校信息化建设情况统计表.xls","高等学校信息化建设情况统计表.xls")</f>
        <v>高等学校信息化建设情况统计表.xls</v>
      </c>
      <c r="Q4166">
        <v>0.02</v>
      </c>
      <c r="R4166" s="7" t="str">
        <f t="shared" si="80"/>
        <v>E:\附赠：Excel模板\精美EXCEL模板\网友极力推荐的Excel模板1000例</v>
      </c>
      <c r="S4166" s="9">
        <v>43600.3821875</v>
      </c>
      <c r="T4166" s="9">
        <v>43390.5166666667</v>
      </c>
    </row>
    <row r="4167" spans="14:20">
      <c r="N4167" s="7" t="str">
        <f>HYPERLINK("E:\附赠：Excel模板\精美EXCEL模板\网友极力推荐的Excel模板1000例\高级管理人员费用明细表.xls","高级管理人员费用明细表.xls")</f>
        <v>高级管理人员费用明细表.xls</v>
      </c>
      <c r="Q4167">
        <v>0.02</v>
      </c>
      <c r="R4167" s="7" t="str">
        <f t="shared" si="80"/>
        <v>E:\附赠：Excel模板\精美EXCEL模板\网友极力推荐的Excel模板1000例</v>
      </c>
      <c r="S4167" s="9">
        <v>43600.3821875</v>
      </c>
      <c r="T4167" s="9">
        <v>43390.5166666667</v>
      </c>
    </row>
    <row r="4168" spans="14:20">
      <c r="N4168" t="s">
        <v>15</v>
      </c>
      <c r="Q4168" t="s">
        <v>15</v>
      </c>
      <c r="R4168" t="s">
        <v>15</v>
      </c>
      <c r="S4168" t="s">
        <v>15</v>
      </c>
      <c r="T4168" t="s">
        <v>15</v>
      </c>
    </row>
    <row r="4169" spans="14:20">
      <c r="N4169" t="s">
        <v>15</v>
      </c>
      <c r="Q4169" t="s">
        <v>15</v>
      </c>
      <c r="R4169" t="s">
        <v>15</v>
      </c>
      <c r="S4169" t="s">
        <v>15</v>
      </c>
      <c r="T4169" t="s">
        <v>15</v>
      </c>
    </row>
    <row r="4170" spans="14:20">
      <c r="N4170" s="7" t="str">
        <f>HYPERLINK("E:\附赠：Excel模板\精美EXCEL模板\财务管理素材与模板\其他模板\三维旋转图表.xlt","三维旋转图表.xlt")</f>
        <v>三维旋转图表.xlt</v>
      </c>
      <c r="Q4170">
        <v>0.08</v>
      </c>
      <c r="R4170" s="7" t="str">
        <f t="shared" ref="R4170:R4233" si="81">HYPERLINK("E:\附赠：Excel模板\精美EXCEL模板\财务管理素材与模板\其他模板","E:\附赠：Excel模板\精美EXCEL模板\财务管理素材与模板\其他模板")</f>
        <v>E:\附赠：Excel模板\精美EXCEL模板\财务管理素材与模板\其他模板</v>
      </c>
      <c r="S4170" s="9">
        <v>43600.3821875</v>
      </c>
      <c r="T4170" s="9">
        <v>43390.5193981481</v>
      </c>
    </row>
    <row r="4171" spans="14:20">
      <c r="N4171" s="7" t="str">
        <f>HYPERLINK("E:\附赠：Excel模板\精美EXCEL模板\财务管理素材与模板\其他模板\个税速算.xlt","个税速算.xlt")</f>
        <v>个税速算.xlt</v>
      </c>
      <c r="Q4171">
        <v>0.02</v>
      </c>
      <c r="R4171" s="7" t="str">
        <f t="shared" si="81"/>
        <v>E:\附赠：Excel模板\精美EXCEL模板\财务管理素材与模板\其他模板</v>
      </c>
      <c r="S4171" s="9">
        <v>43600.3821875</v>
      </c>
      <c r="T4171" s="9">
        <v>43390.5194444444</v>
      </c>
    </row>
    <row r="4172" spans="14:20">
      <c r="N4172" s="7" t="str">
        <f>HYPERLINK("E:\附赠：Excel模板\精美EXCEL模板\财务管理素材与模板\其他模板\产品销售分析与预测.xlt","产品销售分析与预测.xlt")</f>
        <v>产品销售分析与预测.xlt</v>
      </c>
      <c r="Q4172">
        <v>0.08</v>
      </c>
      <c r="R4172" s="7" t="str">
        <f t="shared" si="81"/>
        <v>E:\附赠：Excel模板\精美EXCEL模板\财务管理素材与模板\其他模板</v>
      </c>
      <c r="S4172" s="9">
        <v>43600.3821875</v>
      </c>
      <c r="T4172" s="9">
        <v>43390.5194444444</v>
      </c>
    </row>
    <row r="4173" spans="14:20">
      <c r="N4173" s="7" t="str">
        <f>HYPERLINK("E:\附赠：Excel模板\精美EXCEL模板\财务管理素材与模板\其他模板\产品销售额预测分析表.xlt","产品销售额预测分析表.xlt")</f>
        <v>产品销售额预测分析表.xlt</v>
      </c>
      <c r="Q4173">
        <v>0.01</v>
      </c>
      <c r="R4173" s="7" t="str">
        <f t="shared" si="81"/>
        <v>E:\附赠：Excel模板\精美EXCEL模板\财务管理素材与模板\其他模板</v>
      </c>
      <c r="S4173" s="9">
        <v>43600.3821875</v>
      </c>
      <c r="T4173" s="9">
        <v>43390.5194444444</v>
      </c>
    </row>
    <row r="4174" spans="14:20">
      <c r="N4174" s="7" t="str">
        <f>HYPERLINK("E:\附赠：Excel模板\精美EXCEL模板\财务管理素材与模板\其他模板\企业产品清单.xlt","企业产品清单.xlt")</f>
        <v>企业产品清单.xlt</v>
      </c>
      <c r="Q4174">
        <v>0.04</v>
      </c>
      <c r="R4174" s="7" t="str">
        <f t="shared" si="81"/>
        <v>E:\附赠：Excel模板\精美EXCEL模板\财务管理素材与模板\其他模板</v>
      </c>
      <c r="S4174" s="9">
        <v>43600.3821875</v>
      </c>
      <c r="T4174" s="9">
        <v>43390.5194212963</v>
      </c>
    </row>
    <row r="4175" spans="14:20">
      <c r="N4175" s="7" t="str">
        <f>HYPERLINK("E:\附赠：Excel模板\精美EXCEL模板\财务管理素材与模板\其他模板\企业人力资源信息调查表.xlt","企业人力资源信息调查表.xlt")</f>
        <v>企业人力资源信息调查表.xlt</v>
      </c>
      <c r="Q4175">
        <v>0.03</v>
      </c>
      <c r="R4175" s="7" t="str">
        <f t="shared" si="81"/>
        <v>E:\附赠：Excel模板\精美EXCEL模板\财务管理素材与模板\其他模板</v>
      </c>
      <c r="S4175" s="9">
        <v>43600.3821875</v>
      </c>
      <c r="T4175" s="9">
        <v>43390.5194212963</v>
      </c>
    </row>
    <row r="4176" spans="14:20">
      <c r="N4176" s="7" t="str">
        <f>HYPERLINK("E:\附赠：Excel模板\精美EXCEL模板\财务管理素材与模板\其他模板\企业内部刊物阅览管理.xlt","企业内部刊物阅览管理.xlt")</f>
        <v>企业内部刊物阅览管理.xlt</v>
      </c>
      <c r="Q4176">
        <v>0.15</v>
      </c>
      <c r="R4176" s="7" t="str">
        <f t="shared" si="81"/>
        <v>E:\附赠：Excel模板\精美EXCEL模板\财务管理素材与模板\其他模板</v>
      </c>
      <c r="S4176" s="9">
        <v>43600.3821875</v>
      </c>
      <c r="T4176" s="9">
        <v>43390.5194212963</v>
      </c>
    </row>
    <row r="4177" spans="14:20">
      <c r="N4177" s="7" t="str">
        <f>HYPERLINK("E:\附赠：Excel模板\精美EXCEL模板\财务管理素材与模板\其他模板\企业原料采购申请表.xlt","企业原料采购申请表.xlt")</f>
        <v>企业原料采购申请表.xlt</v>
      </c>
      <c r="Q4177">
        <v>0.02</v>
      </c>
      <c r="R4177" s="7" t="str">
        <f t="shared" si="81"/>
        <v>E:\附赠：Excel模板\精美EXCEL模板\财务管理素材与模板\其他模板</v>
      </c>
      <c r="S4177" s="9">
        <v>43600.3821875</v>
      </c>
      <c r="T4177" s="9">
        <v>43390.5193981481</v>
      </c>
    </row>
    <row r="4178" spans="14:20">
      <c r="N4178" s="7" t="str">
        <f>HYPERLINK("E:\附赠：Excel模板\精美EXCEL模板\财务管理素材与模板\其他模板\企业原料采购登记表.xlt","企业原料采购登记表.xlt")</f>
        <v>企业原料采购登记表.xlt</v>
      </c>
      <c r="Q4178">
        <v>0.02</v>
      </c>
      <c r="R4178" s="7" t="str">
        <f t="shared" si="81"/>
        <v>E:\附赠：Excel模板\精美EXCEL模板\财务管理素材与模板\其他模板</v>
      </c>
      <c r="S4178" s="9">
        <v>43600.3821875</v>
      </c>
      <c r="T4178" s="9">
        <v>43390.5193981481</v>
      </c>
    </row>
    <row r="4179" spans="14:20">
      <c r="N4179" s="7" t="str">
        <f>HYPERLINK("E:\附赠：Excel模板\精美EXCEL模板\财务管理素材与模板\其他模板\企业员工年假表.xlt","企业员工年假表.xlt")</f>
        <v>企业员工年假表.xlt</v>
      </c>
      <c r="Q4179">
        <v>0.02</v>
      </c>
      <c r="R4179" s="7" t="str">
        <f t="shared" si="81"/>
        <v>E:\附赠：Excel模板\精美EXCEL模板\财务管理素材与模板\其他模板</v>
      </c>
      <c r="S4179" s="9">
        <v>43600.3821875</v>
      </c>
      <c r="T4179" s="9">
        <v>43390.5193981481</v>
      </c>
    </row>
    <row r="4180" spans="14:20">
      <c r="N4180" s="7" t="str">
        <f>HYPERLINK("E:\附赠：Excel模板\精美EXCEL模板\财务管理素材与模板\其他模板\企业客户交易评估系统.xlt","企业客户交易评估系统.xlt")</f>
        <v>企业客户交易评估系统.xlt</v>
      </c>
      <c r="Q4180">
        <v>0.03</v>
      </c>
      <c r="R4180" s="7" t="str">
        <f t="shared" si="81"/>
        <v>E:\附赠：Excel模板\精美EXCEL模板\财务管理素材与模板\其他模板</v>
      </c>
      <c r="S4180" s="9">
        <v>43600.3821875</v>
      </c>
      <c r="T4180" s="9">
        <v>43390.5194212963</v>
      </c>
    </row>
    <row r="4181" spans="14:20">
      <c r="N4181" s="7" t="str">
        <f>HYPERLINK("E:\附赠：Excel模板\精美EXCEL模板\财务管理素材与模板\其他模板\企业客户资料统计表.xlt","企业客户资料统计表.xlt")</f>
        <v>企业客户资料统计表.xlt</v>
      </c>
      <c r="Q4181">
        <v>0.02</v>
      </c>
      <c r="R4181" s="7" t="str">
        <f t="shared" si="81"/>
        <v>E:\附赠：Excel模板\精美EXCEL模板\财务管理素材与模板\其他模板</v>
      </c>
      <c r="S4181" s="9">
        <v>43600.3821875</v>
      </c>
      <c r="T4181" s="9">
        <v>43390.5194212963</v>
      </c>
    </row>
    <row r="4182" spans="14:20">
      <c r="N4182" s="7" t="str">
        <f>HYPERLINK("E:\附赠：Excel模板\精美EXCEL模板\财务管理素材与模板\其他模板\企业市场调查问卷.xlt","企业市场调查问卷.xlt")</f>
        <v>企业市场调查问卷.xlt</v>
      </c>
      <c r="Q4182">
        <v>0.07</v>
      </c>
      <c r="R4182" s="7" t="str">
        <f t="shared" si="81"/>
        <v>E:\附赠：Excel模板\精美EXCEL模板\财务管理素材与模板\其他模板</v>
      </c>
      <c r="S4182" s="9">
        <v>43600.3821875</v>
      </c>
      <c r="T4182" s="9">
        <v>43390.5194212963</v>
      </c>
    </row>
    <row r="4183" spans="14:20">
      <c r="N4183" s="7" t="str">
        <f>HYPERLINK("E:\附赠：Excel模板\精美EXCEL模板\财务管理素材与模板\其他模板\企业招聘员工程序表.xlt","企业招聘员工程序表.xlt")</f>
        <v>企业招聘员工程序表.xlt</v>
      </c>
      <c r="Q4183">
        <v>0.02</v>
      </c>
      <c r="R4183" s="7" t="str">
        <f t="shared" si="81"/>
        <v>E:\附赠：Excel模板\精美EXCEL模板\财务管理素材与模板\其他模板</v>
      </c>
      <c r="S4183" s="9">
        <v>43600.3821875</v>
      </c>
      <c r="T4183" s="9">
        <v>43390.5193981481</v>
      </c>
    </row>
    <row r="4184" spans="14:20">
      <c r="N4184" s="7" t="str">
        <f>HYPERLINK("E:\附赠：Excel模板\精美EXCEL模板\财务管理素材与模板\其他模板\企业新进员工培训成绩统计表.xlt","企业新进员工培训成绩统计表.xlt")</f>
        <v>企业新进员工培训成绩统计表.xlt</v>
      </c>
      <c r="Q4184">
        <v>0.02</v>
      </c>
      <c r="R4184" s="7" t="str">
        <f t="shared" si="81"/>
        <v>E:\附赠：Excel模板\精美EXCEL模板\财务管理素材与模板\其他模板</v>
      </c>
      <c r="S4184" s="9">
        <v>43600.3821875</v>
      </c>
      <c r="T4184" s="9">
        <v>43390.5193981481</v>
      </c>
    </row>
    <row r="4185" spans="14:20">
      <c r="N4185" s="7" t="str">
        <f>HYPERLINK("E:\附赠：Excel模板\精美EXCEL模板\财务管理素材与模板\其他模板\企业新进员工登记表.xlt","企业新进员工登记表.xlt")</f>
        <v>企业新进员工登记表.xlt</v>
      </c>
      <c r="Q4185">
        <v>0.02</v>
      </c>
      <c r="R4185" s="7" t="str">
        <f t="shared" si="81"/>
        <v>E:\附赠：Excel模板\精美EXCEL模板\财务管理素材与模板\其他模板</v>
      </c>
      <c r="S4185" s="9">
        <v>43600.3821875</v>
      </c>
      <c r="T4185" s="9">
        <v>43390.5194212963</v>
      </c>
    </row>
    <row r="4186" spans="14:20">
      <c r="N4186" s="7" t="str">
        <f>HYPERLINK("E:\附赠：Excel模板\精美EXCEL模板\财务管理素材与模板\其他模板\企业生产方案选择表.xlt","企业生产方案选择表.xlt")</f>
        <v>企业生产方案选择表.xlt</v>
      </c>
      <c r="Q4186">
        <v>0.02</v>
      </c>
      <c r="R4186" s="7" t="str">
        <f t="shared" si="81"/>
        <v>E:\附赠：Excel模板\精美EXCEL模板\财务管理素材与模板\其他模板</v>
      </c>
      <c r="S4186" s="9">
        <v>43600.3821875</v>
      </c>
      <c r="T4186" s="9">
        <v>43390.5194212963</v>
      </c>
    </row>
    <row r="4187" spans="14:20">
      <c r="N4187" s="7" t="str">
        <f>HYPERLINK("E:\附赠：Excel模板\精美EXCEL模板\财务管理素材与模板\其他模板\企业重大会议日程安排提醒表.xlt","企业重大会议日程安排提醒表.xlt")</f>
        <v>企业重大会议日程安排提醒表.xlt</v>
      </c>
      <c r="Q4187">
        <v>0.02</v>
      </c>
      <c r="R4187" s="7" t="str">
        <f t="shared" si="81"/>
        <v>E:\附赠：Excel模板\精美EXCEL模板\财务管理素材与模板\其他模板</v>
      </c>
      <c r="S4187" s="9">
        <v>43600.3821875</v>
      </c>
      <c r="T4187" s="9">
        <v>43390.5193981481</v>
      </c>
    </row>
    <row r="4188" spans="14:20">
      <c r="N4188" s="7" t="str">
        <f>HYPERLINK("E:\附赠：Excel模板\精美EXCEL模板\财务管理素材与模板\其他模板\使用DAVERAGE函数计算条目的平均值.xlt","使用DAVERAGE函数计算条目的平均值.xlt")</f>
        <v>使用DAVERAGE函数计算条目的平均值.xlt</v>
      </c>
      <c r="Q4188">
        <v>0.01</v>
      </c>
      <c r="R4188" s="7" t="str">
        <f t="shared" si="81"/>
        <v>E:\附赠：Excel模板\精美EXCEL模板\财务管理素材与模板\其他模板</v>
      </c>
      <c r="S4188" s="9">
        <v>43600.3821875</v>
      </c>
      <c r="T4188" s="9">
        <v>43390.5193981481</v>
      </c>
    </row>
    <row r="4189" spans="14:20">
      <c r="N4189" s="7" t="str">
        <f>HYPERLINK("E:\附赠：Excel模板\精美EXCEL模板\财务管理素材与模板\其他模板\公司文档资料管理.xlt","公司文档资料管理.xlt")</f>
        <v>公司文档资料管理.xlt</v>
      </c>
      <c r="Q4189">
        <v>0.13</v>
      </c>
      <c r="R4189" s="7" t="str">
        <f t="shared" si="81"/>
        <v>E:\附赠：Excel模板\精美EXCEL模板\财务管理素材与模板\其他模板</v>
      </c>
      <c r="S4189" s="9">
        <v>43600.3821875</v>
      </c>
      <c r="T4189" s="9">
        <v>43390.5194444444</v>
      </c>
    </row>
    <row r="4190" spans="14:20">
      <c r="N4190" s="7" t="str">
        <f>HYPERLINK("E:\附赠：Excel模板\精美EXCEL模板\财务管理素材与模板\其他模板\养老金投资计算器.xlt","养老金投资计算器.xlt")</f>
        <v>养老金投资计算器.xlt</v>
      </c>
      <c r="Q4190">
        <v>0.08</v>
      </c>
      <c r="R4190" s="7" t="str">
        <f t="shared" si="81"/>
        <v>E:\附赠：Excel模板\精美EXCEL模板\财务管理素材与模板\其他模板</v>
      </c>
      <c r="S4190" s="9">
        <v>43600.3821875</v>
      </c>
      <c r="T4190" s="9">
        <v>43390.519375</v>
      </c>
    </row>
    <row r="4191" spans="14:20">
      <c r="N4191" s="7" t="str">
        <f>HYPERLINK("E:\附赠：Excel模板\精美EXCEL模板\财务管理素材与模板\其他模板\内部报酬率法投资分析表.xlt","内部报酬率法投资分析表.xlt")</f>
        <v>内部报酬率法投资分析表.xlt</v>
      </c>
      <c r="Q4191">
        <v>0.04</v>
      </c>
      <c r="R4191" s="7" t="str">
        <f t="shared" si="81"/>
        <v>E:\附赠：Excel模板\精美EXCEL模板\财务管理素材与模板\其他模板</v>
      </c>
      <c r="S4191" s="9">
        <v>43600.3821875</v>
      </c>
      <c r="T4191" s="9">
        <v>43390.5194212963</v>
      </c>
    </row>
    <row r="4192" spans="14:20">
      <c r="N4192" s="7" t="str">
        <f>HYPERLINK("E:\附赠：Excel模板\精美EXCEL模板\财务管理素材与模板\其他模板\净现值法投资分析表.xlt","净现值法投资分析表.xlt")</f>
        <v>净现值法投资分析表.xlt</v>
      </c>
      <c r="Q4192">
        <v>0.03</v>
      </c>
      <c r="R4192" s="7" t="str">
        <f t="shared" si="81"/>
        <v>E:\附赠：Excel模板\精美EXCEL模板\财务管理素材与模板\其他模板</v>
      </c>
      <c r="S4192" s="9">
        <v>43600.3821875</v>
      </c>
      <c r="T4192" s="9">
        <v>43390.5194212963</v>
      </c>
    </row>
    <row r="4193" spans="14:20">
      <c r="N4193" s="7" t="str">
        <f>HYPERLINK("E:\附赠：Excel模板\精美EXCEL模板\财务管理素材与模板\其他模板\制作员工通讯录.xlt","制作员工通讯录.xlt")</f>
        <v>制作员工通讯录.xlt</v>
      </c>
      <c r="Q4193">
        <v>0.03</v>
      </c>
      <c r="R4193" s="7" t="str">
        <f t="shared" si="81"/>
        <v>E:\附赠：Excel模板\精美EXCEL模板\财务管理素材与模板\其他模板</v>
      </c>
      <c r="S4193" s="9">
        <v>43600.3821875</v>
      </c>
      <c r="T4193" s="9">
        <v>43390.5193518518</v>
      </c>
    </row>
    <row r="4194" spans="14:20">
      <c r="N4194" s="7" t="str">
        <f>HYPERLINK("E:\附赠：Excel模板\精美EXCEL模板\财务管理素材与模板\其他模板\制作股票收益计算器.xlt","制作股票收益计算器.xlt")</f>
        <v>制作股票收益计算器.xlt</v>
      </c>
      <c r="Q4194">
        <v>0.02</v>
      </c>
      <c r="R4194" s="7" t="str">
        <f t="shared" si="81"/>
        <v>E:\附赠：Excel模板\精美EXCEL模板\财务管理素材与模板\其他模板</v>
      </c>
      <c r="S4194" s="9">
        <v>43600.3821875</v>
      </c>
      <c r="T4194" s="9">
        <v>43390.5193518518</v>
      </c>
    </row>
    <row r="4195" spans="14:20">
      <c r="N4195" s="7" t="str">
        <f>HYPERLINK("E:\附赠：Excel模板\精美EXCEL模板\财务管理素材与模板\其他模板\办公用品领用记录表.xlt","办公用品领用记录表.xlt")</f>
        <v>办公用品领用记录表.xlt</v>
      </c>
      <c r="Q4195">
        <v>0.02</v>
      </c>
      <c r="R4195" s="7" t="str">
        <f t="shared" si="81"/>
        <v>E:\附赠：Excel模板\精美EXCEL模板\财务管理素材与模板\其他模板</v>
      </c>
      <c r="S4195" s="9">
        <v>43600.3821875</v>
      </c>
      <c r="T4195" s="9">
        <v>43390.5194675926</v>
      </c>
    </row>
    <row r="4196" spans="14:20">
      <c r="N4196" s="7" t="str">
        <f>HYPERLINK("E:\附赠：Excel模板\精美EXCEL模板\财务管理素材与模板\其他模板\加班记录表.xlt","加班记录表.xlt")</f>
        <v>加班记录表.xlt</v>
      </c>
      <c r="Q4196">
        <v>0.02</v>
      </c>
      <c r="R4196" s="7" t="str">
        <f t="shared" si="81"/>
        <v>E:\附赠：Excel模板\精美EXCEL模板\财务管理素材与模板\其他模板</v>
      </c>
      <c r="S4196" s="9">
        <v>43600.3821875</v>
      </c>
      <c r="T4196" s="9">
        <v>43390.5194212963</v>
      </c>
    </row>
    <row r="4197" spans="14:20">
      <c r="N4197" s="7" t="str">
        <f>HYPERLINK("E:\附赠：Excel模板\精美EXCEL模板\财务管理素材与模板\其他模板\包含同名同姓员工的销售部员工资料表.xlt","包含同名同姓员工的销售部员工资料表.xlt")</f>
        <v>包含同名同姓员工的销售部员工资料表.xlt</v>
      </c>
      <c r="Q4197">
        <v>0.68</v>
      </c>
      <c r="R4197" s="7" t="str">
        <f t="shared" si="81"/>
        <v>E:\附赠：Excel模板\精美EXCEL模板\财务管理素材与模板\其他模板</v>
      </c>
      <c r="S4197" s="9">
        <v>43600.3821875</v>
      </c>
      <c r="T4197" s="9">
        <v>43390.5194675926</v>
      </c>
    </row>
    <row r="4198" spans="14:20">
      <c r="N4198" s="7" t="str">
        <f>HYPERLINK("E:\附赠：Excel模板\精美EXCEL模板\财务管理素材与模板\其他模板\员工医疗费用统计表.xlt","员工医疗费用统计表.xlt")</f>
        <v>员工医疗费用统计表.xlt</v>
      </c>
      <c r="Q4198">
        <v>0.02</v>
      </c>
      <c r="R4198" s="7" t="str">
        <f t="shared" si="81"/>
        <v>E:\附赠：Excel模板\精美EXCEL模板\财务管理素材与模板\其他模板</v>
      </c>
      <c r="S4198" s="9">
        <v>43600.3821875</v>
      </c>
      <c r="T4198" s="9">
        <v>43390.519375</v>
      </c>
    </row>
    <row r="4199" spans="14:20">
      <c r="N4199" s="7" t="str">
        <f>HYPERLINK("E:\附赠：Excel模板\精美EXCEL模板\财务管理素材与模板\其他模板\员工名片印制申请单据.xlt","员工名片印制申请单据.xlt")</f>
        <v>员工名片印制申请单据.xlt</v>
      </c>
      <c r="Q4199">
        <v>0.01</v>
      </c>
      <c r="R4199" s="7" t="str">
        <f t="shared" si="81"/>
        <v>E:\附赠：Excel模板\精美EXCEL模板\财务管理素材与模板\其他模板</v>
      </c>
      <c r="S4199" s="9">
        <v>43600.3821875</v>
      </c>
      <c r="T4199" s="9">
        <v>43390.519375</v>
      </c>
    </row>
    <row r="4200" spans="14:20">
      <c r="N4200" s="7" t="str">
        <f>HYPERLINK("E:\附赠：Excel模板\精美EXCEL模板\财务管理素材与模板\其他模板\员工工资数据表.xlt","员工工资数据表.xlt")</f>
        <v>员工工资数据表.xlt</v>
      </c>
      <c r="Q4200">
        <v>0.03</v>
      </c>
      <c r="R4200" s="7" t="str">
        <f t="shared" si="81"/>
        <v>E:\附赠：Excel模板\精美EXCEL模板\财务管理素材与模板\其他模板</v>
      </c>
      <c r="S4200" s="9">
        <v>43600.3821875</v>
      </c>
      <c r="T4200" s="9">
        <v>43390.519375</v>
      </c>
    </row>
    <row r="4201" spans="14:20">
      <c r="N4201" s="7" t="str">
        <f>HYPERLINK("E:\附赠：Excel模板\精美EXCEL模板\财务管理素材与模板\其他模板\员工离职程序表.xlt","员工离职程序表.xlt")</f>
        <v>员工离职程序表.xlt</v>
      </c>
      <c r="Q4201">
        <v>0.03</v>
      </c>
      <c r="R4201" s="7" t="str">
        <f t="shared" si="81"/>
        <v>E:\附赠：Excel模板\精美EXCEL模板\财务管理素材与模板\其他模板</v>
      </c>
      <c r="S4201" s="9">
        <v>43600.3821875</v>
      </c>
      <c r="T4201" s="9">
        <v>43390.519375</v>
      </c>
    </row>
    <row r="4202" spans="14:20">
      <c r="N4202" s="7" t="str">
        <f>HYPERLINK("E:\附赠：Excel模板\精美EXCEL模板\财务管理素材与模板\其他模板\员工过往薪资记录表.xlt","员工过往薪资记录表.xlt")</f>
        <v>员工过往薪资记录表.xlt</v>
      </c>
      <c r="Q4202">
        <v>0.02</v>
      </c>
      <c r="R4202" s="7" t="str">
        <f t="shared" si="81"/>
        <v>E:\附赠：Excel模板\精美EXCEL模板\财务管理素材与模板\其他模板</v>
      </c>
      <c r="S4202" s="9">
        <v>43600.3821875</v>
      </c>
      <c r="T4202" s="9">
        <v>43390.519375</v>
      </c>
    </row>
    <row r="4203" spans="14:20">
      <c r="N4203" s="7" t="str">
        <f>HYPERLINK("E:\附赠：Excel模板\精美EXCEL模板\财务管理素材与模板\其他模板\商品分期付款决策.xlt","商品分期付款决策.xlt")</f>
        <v>商品分期付款决策.xlt</v>
      </c>
      <c r="Q4203">
        <v>0.03</v>
      </c>
      <c r="R4203" s="7" t="str">
        <f t="shared" si="81"/>
        <v>E:\附赠：Excel模板\精美EXCEL模板\财务管理素材与模板\其他模板</v>
      </c>
      <c r="S4203" s="9">
        <v>43600.3821875</v>
      </c>
      <c r="T4203" s="9">
        <v>43390.5193981481</v>
      </c>
    </row>
    <row r="4204" spans="14:20">
      <c r="N4204" s="7" t="str">
        <f>HYPERLINK("E:\附赠：Excel模板\精美EXCEL模板\财务管理素材与模板\其他模板\商品库存需求分析表.xlt","商品库存需求分析表.xlt")</f>
        <v>商品库存需求分析表.xlt</v>
      </c>
      <c r="Q4204">
        <v>0.03</v>
      </c>
      <c r="R4204" s="7" t="str">
        <f t="shared" si="81"/>
        <v>E:\附赠：Excel模板\精美EXCEL模板\财务管理素材与模板\其他模板</v>
      </c>
      <c r="S4204" s="9">
        <v>43600.3821875</v>
      </c>
      <c r="T4204" s="9">
        <v>43390.5193981481</v>
      </c>
    </row>
    <row r="4205" spans="14:20">
      <c r="N4205" s="7" t="str">
        <f>HYPERLINK("E:\附赠：Excel模板\精美EXCEL模板\财务管理素材与模板\其他模板\回收期法投资分析表.xlt","回收期法投资分析表.xlt")</f>
        <v>回收期法投资分析表.xlt</v>
      </c>
      <c r="Q4205">
        <v>0.05</v>
      </c>
      <c r="R4205" s="7" t="str">
        <f t="shared" si="81"/>
        <v>E:\附赠：Excel模板\精美EXCEL模板\财务管理素材与模板\其他模板</v>
      </c>
      <c r="S4205" s="9">
        <v>43600.3821875</v>
      </c>
      <c r="T4205" s="9">
        <v>43390.5194444444</v>
      </c>
    </row>
    <row r="4206" spans="14:20">
      <c r="N4206" s="7" t="str">
        <f>HYPERLINK("E:\附赠：Excel模板\精美EXCEL模板\财务管理素材与模板\其他模板\固定资产清查盘点统计表.xlt","固定资产清查盘点统计表.xlt")</f>
        <v>固定资产清查盘点统计表.xlt</v>
      </c>
      <c r="Q4206">
        <v>0.04</v>
      </c>
      <c r="R4206" s="7" t="str">
        <f t="shared" si="81"/>
        <v>E:\附赠：Excel模板\精美EXCEL模板\财务管理素材与模板\其他模板</v>
      </c>
      <c r="S4206" s="9">
        <v>43600.3821875</v>
      </c>
      <c r="T4206" s="9">
        <v>43390.5194444444</v>
      </c>
    </row>
    <row r="4207" spans="14:20">
      <c r="N4207" s="7" t="str">
        <f>HYPERLINK("E:\附赠：Excel模板\精美EXCEL模板\财务管理素材与模板\其他模板\在住房贷款中运用财务函数.xlt","在住房贷款中运用财务函数.xlt")</f>
        <v>在住房贷款中运用财务函数.xlt</v>
      </c>
      <c r="Q4207">
        <v>0.02</v>
      </c>
      <c r="R4207" s="7" t="str">
        <f t="shared" si="81"/>
        <v>E:\附赠：Excel模板\精美EXCEL模板\财务管理素材与模板\其他模板</v>
      </c>
      <c r="S4207" s="9">
        <v>43600.3821875</v>
      </c>
      <c r="T4207" s="9">
        <v>43390.5193518518</v>
      </c>
    </row>
    <row r="4208" spans="14:20">
      <c r="N4208" s="7" t="str">
        <f>HYPERLINK("E:\附赠：Excel模板\精美EXCEL模板\财务管理素材与模板\其他模板\在员工季度考核中使用查询函数.xlt","在员工季度考核中使用查询函数.xlt")</f>
        <v>在员工季度考核中使用查询函数.xlt</v>
      </c>
      <c r="Q4208">
        <v>0.02</v>
      </c>
      <c r="R4208" s="7" t="str">
        <f t="shared" si="81"/>
        <v>E:\附赠：Excel模板\精美EXCEL模板\财务管理素材与模板\其他模板</v>
      </c>
      <c r="S4208" s="9">
        <v>43600.3821875</v>
      </c>
      <c r="T4208" s="9">
        <v>43390.5193518518</v>
      </c>
    </row>
    <row r="4209" spans="14:20">
      <c r="N4209" s="7" t="str">
        <f>HYPERLINK("E:\附赠：Excel模板\精美EXCEL模板\财务管理素材与模板\其他模板\在贷款经营表中运用财务函数.xlt","在贷款经营表中运用财务函数.xlt")</f>
        <v>在贷款经营表中运用财务函数.xlt</v>
      </c>
      <c r="Q4209">
        <v>0.02</v>
      </c>
      <c r="R4209" s="7" t="str">
        <f t="shared" si="81"/>
        <v>E:\附赠：Excel模板\精美EXCEL模板\财务管理素材与模板\其他模板</v>
      </c>
      <c r="S4209" s="9">
        <v>43600.3821875</v>
      </c>
      <c r="T4209" s="9">
        <v>43390.5193518518</v>
      </c>
    </row>
    <row r="4210" spans="14:20">
      <c r="N4210" s="7" t="str">
        <f>HYPERLINK("E:\附赠：Excel模板\精美EXCEL模板\财务管理素材与模板\其他模板\学生信息表.xlt","学生信息表.xlt")</f>
        <v>学生信息表.xlt</v>
      </c>
      <c r="Q4210">
        <v>0.02</v>
      </c>
      <c r="R4210" s="7" t="str">
        <f t="shared" si="81"/>
        <v>E:\附赠：Excel模板\精美EXCEL模板\财务管理素材与模板\其他模板</v>
      </c>
      <c r="S4210" s="9">
        <v>43600.3821875</v>
      </c>
      <c r="T4210" s="9">
        <v>43390.519375</v>
      </c>
    </row>
    <row r="4211" spans="14:20">
      <c r="N4211" s="7" t="str">
        <f>HYPERLINK("E:\附赠：Excel模板\精美EXCEL模板\财务管理素材与模板\其他模板\工作任务分配时间表.xlt","工作任务分配时间表.xlt")</f>
        <v>工作任务分配时间表.xlt</v>
      </c>
      <c r="Q4211">
        <v>0.03</v>
      </c>
      <c r="R4211" s="7" t="str">
        <f t="shared" si="81"/>
        <v>E:\附赠：Excel模板\精美EXCEL模板\财务管理素材与模板\其他模板</v>
      </c>
      <c r="S4211" s="9">
        <v>43600.3821875</v>
      </c>
      <c r="T4211" s="9">
        <v>43390.5194444444</v>
      </c>
    </row>
    <row r="4212" spans="14:20">
      <c r="N4212" s="7" t="str">
        <f>HYPERLINK("E:\附赠：Excel模板\精美EXCEL模板\财务管理素材与模板\其他模板\市场调查问卷数据管理.xlt","市场调查问卷数据管理.xlt")</f>
        <v>市场调查问卷数据管理.xlt</v>
      </c>
      <c r="Q4212">
        <v>0.08</v>
      </c>
      <c r="R4212" s="7" t="str">
        <f t="shared" si="81"/>
        <v>E:\附赠：Excel模板\精美EXCEL模板\财务管理素材与模板\其他模板</v>
      </c>
      <c r="S4212" s="9">
        <v>43600.3821875</v>
      </c>
      <c r="T4212" s="9">
        <v>43390.5193981481</v>
      </c>
    </row>
    <row r="4213" spans="14:20">
      <c r="N4213" s="7" t="str">
        <f>HYPERLINK("E:\附赠：Excel模板\精美EXCEL模板\财务管理素材与模板\其他模板\年度收支预算表.xlt","年度收支预算表.xlt")</f>
        <v>年度收支预算表.xlt</v>
      </c>
      <c r="Q4213">
        <v>0.05</v>
      </c>
      <c r="R4213" s="7" t="str">
        <f t="shared" si="81"/>
        <v>E:\附赠：Excel模板\精美EXCEL模板\财务管理素材与模板\其他模板</v>
      </c>
      <c r="S4213" s="9">
        <v>43600.3821875</v>
      </c>
      <c r="T4213" s="9">
        <v>43390.5194212963</v>
      </c>
    </row>
    <row r="4214" spans="14:20">
      <c r="N4214" s="7" t="str">
        <f>HYPERLINK("E:\附赠：Excel模板\精美EXCEL模板\财务管理素材与模板\其他模板\广告预算分配方案.xlt","广告预算分配方案.xlt")</f>
        <v>广告预算分配方案.xlt</v>
      </c>
      <c r="Q4214">
        <v>0.02</v>
      </c>
      <c r="R4214" s="7" t="str">
        <f t="shared" si="81"/>
        <v>E:\附赠：Excel模板\精美EXCEL模板\财务管理素材与模板\其他模板</v>
      </c>
      <c r="S4214" s="9">
        <v>43600.3821875</v>
      </c>
      <c r="T4214" s="9">
        <v>43390.5194444444</v>
      </c>
    </row>
    <row r="4215" spans="14:20">
      <c r="N4215" s="7" t="str">
        <f>HYPERLINK("E:\附赠：Excel模板\精美EXCEL模板\财务管理素材与模板\其他模板\房屋贷款计算器.xlt","房屋贷款计算器.xlt")</f>
        <v>房屋贷款计算器.xlt</v>
      </c>
      <c r="Q4215">
        <v>0.04</v>
      </c>
      <c r="R4215" s="7" t="str">
        <f t="shared" si="81"/>
        <v>E:\附赠：Excel模板\精美EXCEL模板\财务管理素材与模板\其他模板</v>
      </c>
      <c r="S4215" s="9">
        <v>43600.3821875</v>
      </c>
      <c r="T4215" s="9">
        <v>43390.5194444444</v>
      </c>
    </row>
    <row r="4216" spans="14:20">
      <c r="N4216" s="7" t="str">
        <f>HYPERLINK("E:\附赠：Excel模板\精美EXCEL模板\财务管理素材与模板\其他模板\投资收益模拟测算器.XLT","投资收益模拟测算器.XLT")</f>
        <v>投资收益模拟测算器.XLT</v>
      </c>
      <c r="Q4216">
        <v>0.08</v>
      </c>
      <c r="R4216" s="7" t="str">
        <f t="shared" si="81"/>
        <v>E:\附赠：Excel模板\精美EXCEL模板\财务管理素材与模板\其他模板</v>
      </c>
      <c r="S4216" s="9">
        <v>43600.3821875</v>
      </c>
      <c r="T4216" s="9">
        <v>43390.5193981481</v>
      </c>
    </row>
    <row r="4217" spans="14:20">
      <c r="N4217" s="7" t="str">
        <f>HYPERLINK("E:\附赠：Excel模板\精美EXCEL模板\财务管理素材与模板\其他模板\报价单.xlt","报价单.xlt")</f>
        <v>报价单.xlt</v>
      </c>
      <c r="Q4217">
        <v>0.03</v>
      </c>
      <c r="R4217" s="7" t="str">
        <f t="shared" si="81"/>
        <v>E:\附赠：Excel模板\精美EXCEL模板\财务管理素材与模板\其他模板</v>
      </c>
      <c r="S4217" s="9">
        <v>43600.3821875</v>
      </c>
      <c r="T4217" s="9">
        <v>43390.5194444444</v>
      </c>
    </row>
    <row r="4218" spans="14:20">
      <c r="N4218" s="7" t="str">
        <f>HYPERLINK("E:\附赠：Excel模板\精美EXCEL模板\财务管理素材与模板\其他模板\月偿还额单变量模拟运算表.xlt","月偿还额单变量模拟运算表.xlt")</f>
        <v>月偿还额单变量模拟运算表.xlt</v>
      </c>
      <c r="Q4218">
        <v>0.01</v>
      </c>
      <c r="R4218" s="7" t="str">
        <f t="shared" si="81"/>
        <v>E:\附赠：Excel模板\精美EXCEL模板\财务管理素材与模板\其他模板</v>
      </c>
      <c r="S4218" s="9">
        <v>43600.3821875</v>
      </c>
      <c r="T4218" s="9">
        <v>43390.519375</v>
      </c>
    </row>
    <row r="4219" spans="14:20">
      <c r="N4219" s="7" t="str">
        <f>HYPERLINK("E:\附赠：Excel模板\精美EXCEL模板\财务管理素材与模板\其他模板\月偿还额双变量模拟运算表.xlt","月偿还额双变量模拟运算表.xlt")</f>
        <v>月偿还额双变量模拟运算表.xlt</v>
      </c>
      <c r="Q4219">
        <v>0.02</v>
      </c>
      <c r="R4219" s="7" t="str">
        <f t="shared" si="81"/>
        <v>E:\附赠：Excel模板\精美EXCEL模板\财务管理素材与模板\其他模板</v>
      </c>
      <c r="S4219" s="9">
        <v>43600.3821875</v>
      </c>
      <c r="T4219" s="9">
        <v>43390.519375</v>
      </c>
    </row>
    <row r="4220" spans="14:20">
      <c r="N4220" s="7" t="str">
        <f>HYPERLINK("E:\附赠：Excel模板\精美EXCEL模板\财务管理素材与模板\其他模板\有关节假日的计算.xlt","有关节假日的计算.xlt")</f>
        <v>有关节假日的计算.xlt</v>
      </c>
      <c r="Q4220">
        <v>0.02</v>
      </c>
      <c r="R4220" s="7" t="str">
        <f t="shared" si="81"/>
        <v>E:\附赠：Excel模板\精美EXCEL模板\财务管理素材与模板\其他模板</v>
      </c>
      <c r="S4220" s="9">
        <v>43600.3821875</v>
      </c>
      <c r="T4220" s="9">
        <v>43390.519375</v>
      </c>
    </row>
    <row r="4221" spans="14:20">
      <c r="N4221" s="7" t="str">
        <f>HYPERLINK("E:\附赠：Excel模板\精美EXCEL模板\财务管理素材与模板\其他模板\根据产品销售情况动态统计库存以及奖金提成.xlt","根据产品销售情况动态统计库存以及奖金提成.xlt")</f>
        <v>根据产品销售情况动态统计库存以及奖金提成.xlt</v>
      </c>
      <c r="Q4221">
        <v>0.02</v>
      </c>
      <c r="R4221" s="7" t="str">
        <f t="shared" si="81"/>
        <v>E:\附赠：Excel模板\精美EXCEL模板\财务管理素材与模板\其他模板</v>
      </c>
      <c r="S4221" s="9">
        <v>43600.3821875</v>
      </c>
      <c r="T4221" s="9">
        <v>43390.5194444444</v>
      </c>
    </row>
    <row r="4222" spans="14:20">
      <c r="N4222" s="7" t="str">
        <f>HYPERLINK("E:\附赠：Excel模板\精美EXCEL模板\财务管理素材与模板\其他模板\火车站寄存包裹收费的计算.xlt","火车站寄存包裹收费的计算.xlt")</f>
        <v>火车站寄存包裹收费的计算.xlt</v>
      </c>
      <c r="Q4222">
        <v>0.02</v>
      </c>
      <c r="R4222" s="7" t="str">
        <f t="shared" si="81"/>
        <v>E:\附赠：Excel模板\精美EXCEL模板\财务管理素材与模板\其他模板</v>
      </c>
      <c r="S4222" s="9">
        <v>43600.3821875</v>
      </c>
      <c r="T4222" s="9">
        <v>43390.5194212963</v>
      </c>
    </row>
    <row r="4223" spans="14:20">
      <c r="N4223" s="7" t="str">
        <f>HYPERLINK("E:\附赠：Excel模板\精美EXCEL模板\财务管理素材与模板\其他模板\现值指数法投资分析表.xlt","现值指数法投资分析表.xlt")</f>
        <v>现值指数法投资分析表.xlt</v>
      </c>
      <c r="Q4223">
        <v>0.04</v>
      </c>
      <c r="R4223" s="7" t="str">
        <f t="shared" si="81"/>
        <v>E:\附赠：Excel模板\精美EXCEL模板\财务管理素材与模板\其他模板</v>
      </c>
      <c r="S4223" s="9">
        <v>43600.3821875</v>
      </c>
      <c r="T4223" s="9">
        <v>43390.519375</v>
      </c>
    </row>
    <row r="4224" spans="14:20">
      <c r="N4224" s="7" t="str">
        <f>HYPERLINK("E:\附赠：Excel模板\精美EXCEL模板\财务管理素材与模板\其他模板\电子邮件发送企业产品清单.xlt","电子邮件发送企业产品清单.xlt")</f>
        <v>电子邮件发送企业产品清单.xlt</v>
      </c>
      <c r="Q4224">
        <v>0.06</v>
      </c>
      <c r="R4224" s="7" t="str">
        <f t="shared" si="81"/>
        <v>E:\附赠：Excel模板\精美EXCEL模板\财务管理素材与模板\其他模板</v>
      </c>
      <c r="S4224" s="9">
        <v>43600.3821875</v>
      </c>
      <c r="T4224" s="9">
        <v>43390.5194444444</v>
      </c>
    </row>
    <row r="4225" spans="14:20">
      <c r="N4225" s="7" t="str">
        <f>HYPERLINK("E:\附赠：Excel模板\精美EXCEL模板\财务管理素材与模板\其他模板\绘制员工考核图表.xlt","绘制员工考核图表.xlt")</f>
        <v>绘制员工考核图表.xlt</v>
      </c>
      <c r="Q4225">
        <v>0.02</v>
      </c>
      <c r="R4225" s="7" t="str">
        <f t="shared" si="81"/>
        <v>E:\附赠：Excel模板\精美EXCEL模板\财务管理素材与模板\其他模板</v>
      </c>
      <c r="S4225" s="9">
        <v>43600.3821990741</v>
      </c>
      <c r="T4225" s="9">
        <v>43390.5194212963</v>
      </c>
    </row>
    <row r="4226" spans="14:20">
      <c r="N4226" s="7" t="str">
        <f>HYPERLINK("E:\附赠：Excel模板\精美EXCEL模板\财务管理素材与模板\其他模板\绘制商品的区域销售图表.xlt","绘制商品的区域销售图表.xlt")</f>
        <v>绘制商品的区域销售图表.xlt</v>
      </c>
      <c r="Q4226">
        <v>0.02</v>
      </c>
      <c r="R4226" s="7" t="str">
        <f t="shared" si="81"/>
        <v>E:\附赠：Excel模板\精美EXCEL模板\财务管理素材与模板\其他模板</v>
      </c>
      <c r="S4226" s="9">
        <v>43600.3821990741</v>
      </c>
      <c r="T4226" s="9">
        <v>43390.5194212963</v>
      </c>
    </row>
    <row r="4227" spans="14:20">
      <c r="N4227" s="7" t="str">
        <f>HYPERLINK("E:\附赠：Excel模板\精美EXCEL模板\财务管理素材与模板\其他模板\绘制年度支出比例图.xlt","绘制年度支出比例图.xlt")</f>
        <v>绘制年度支出比例图.xlt</v>
      </c>
      <c r="Q4227">
        <v>0.02</v>
      </c>
      <c r="R4227" s="7" t="str">
        <f t="shared" si="81"/>
        <v>E:\附赠：Excel模板\精美EXCEL模板\财务管理素材与模板\其他模板</v>
      </c>
      <c r="S4227" s="9">
        <v>43600.3821990741</v>
      </c>
      <c r="T4227" s="9">
        <v>43390.5194444444</v>
      </c>
    </row>
    <row r="4228" spans="14:20">
      <c r="N4228" s="7" t="str">
        <f>HYPERLINK("E:\附赠：Excel模板\精美EXCEL模板\财务管理素材与模板\其他模板\股票行情.xlt","股票行情.xlt")</f>
        <v>股票行情.xlt</v>
      </c>
      <c r="Q4228">
        <v>0.03</v>
      </c>
      <c r="R4228" s="7" t="str">
        <f t="shared" si="81"/>
        <v>E:\附赠：Excel模板\精美EXCEL模板\财务管理素材与模板\其他模板</v>
      </c>
      <c r="S4228" s="9">
        <v>43600.3821990741</v>
      </c>
      <c r="T4228" s="9">
        <v>43390.5194444444</v>
      </c>
    </row>
    <row r="4229" spans="14:20">
      <c r="N4229" s="7" t="str">
        <f>HYPERLINK("E:\附赠：Excel模板\精美EXCEL模板\财务管理素材与模板\其他模板\访问登记表.xlt","访问登记表.xlt")</f>
        <v>访问登记表.xlt</v>
      </c>
      <c r="Q4229">
        <v>0.02</v>
      </c>
      <c r="R4229" s="7" t="str">
        <f t="shared" si="81"/>
        <v>E:\附赠：Excel模板\精美EXCEL模板\财务管理素材与模板\其他模板</v>
      </c>
      <c r="S4229" s="9">
        <v>43600.3821990741</v>
      </c>
      <c r="T4229" s="9">
        <v>43390.5194444444</v>
      </c>
    </row>
    <row r="4230" spans="14:20">
      <c r="N4230" s="7" t="str">
        <f>HYPERLINK("E:\附赠：Excel模板\精美EXCEL模板\财务管理素材与模板\其他模板\货币换算.xlt","货币换算.xlt")</f>
        <v>货币换算.xlt</v>
      </c>
      <c r="Q4230">
        <v>0.03</v>
      </c>
      <c r="R4230" s="7" t="str">
        <f t="shared" si="81"/>
        <v>E:\附赠：Excel模板\精美EXCEL模板\财务管理素材与模板\其他模板</v>
      </c>
      <c r="S4230" s="9">
        <v>43600.3821990741</v>
      </c>
      <c r="T4230" s="9">
        <v>43390.5194212963</v>
      </c>
    </row>
    <row r="4231" spans="14:20">
      <c r="N4231" s="7" t="str">
        <f>HYPERLINK("E:\附赠：Excel模板\精美EXCEL模板\财务管理素材与模板\其他模板\车辆使用管理.xlt","车辆使用管理.xlt")</f>
        <v>车辆使用管理.xlt</v>
      </c>
      <c r="Q4231">
        <v>0.02</v>
      </c>
      <c r="R4231" s="7" t="str">
        <f t="shared" si="81"/>
        <v>E:\附赠：Excel模板\精美EXCEL模板\财务管理素材与模板\其他模板</v>
      </c>
      <c r="S4231" s="9">
        <v>43600.3821990741</v>
      </c>
      <c r="T4231" s="9">
        <v>43390.5194444444</v>
      </c>
    </row>
    <row r="4232" spans="14:20">
      <c r="N4232" s="7" t="str">
        <f>HYPERLINK("E:\附赠：Excel模板\精美EXCEL模板\财务管理素材与模板\其他模板\运用逻辑函数判断闰年.xlt","运用逻辑函数判断闰年.xlt")</f>
        <v>运用逻辑函数判断闰年.xlt</v>
      </c>
      <c r="Q4232">
        <v>0.01</v>
      </c>
      <c r="R4232" s="7" t="str">
        <f t="shared" si="81"/>
        <v>E:\附赠：Excel模板\精美EXCEL模板\财务管理素材与模板\其他模板</v>
      </c>
      <c r="S4232" s="9">
        <v>43600.3821990741</v>
      </c>
      <c r="T4232" s="9">
        <v>43390.519375</v>
      </c>
    </row>
    <row r="4233" spans="14:20">
      <c r="N4233" s="7" t="str">
        <f>HYPERLINK("E:\附赠：Excel模板\精美EXCEL模板\财务管理素材与模板\其他模板\通讯录.XLT","通讯录.XLT")</f>
        <v>通讯录.XLT</v>
      </c>
      <c r="Q4233">
        <v>0.02</v>
      </c>
      <c r="R4233" s="7" t="str">
        <f t="shared" si="81"/>
        <v>E:\附赠：Excel模板\精美EXCEL模板\财务管理素材与模板\其他模板</v>
      </c>
      <c r="S4233" s="9">
        <v>43600.3821990741</v>
      </c>
      <c r="T4233" s="9">
        <v>43390.5193981481</v>
      </c>
    </row>
    <row r="4234" spans="14:20">
      <c r="N4234" s="7" t="str">
        <f>HYPERLINK("E:\附赠：Excel模板\精美EXCEL模板\财务管理素材与模板\其他模板\通讯费年度计划表.xlt","通讯费年度计划表.xlt")</f>
        <v>通讯费年度计划表.xlt</v>
      </c>
      <c r="Q4234">
        <v>0.03</v>
      </c>
      <c r="R4234" s="7" t="str">
        <f t="shared" ref="R4234:R4239" si="82">HYPERLINK("E:\附赠：Excel模板\精美EXCEL模板\财务管理素材与模板\其他模板","E:\附赠：Excel模板\精美EXCEL模板\财务管理素材与模板\其他模板")</f>
        <v>E:\附赠：Excel模板\精美EXCEL模板\财务管理素材与模板\其他模板</v>
      </c>
      <c r="S4234" s="9">
        <v>43600.3821990741</v>
      </c>
      <c r="T4234" s="9">
        <v>43390.5193981481</v>
      </c>
    </row>
    <row r="4235" spans="14:20">
      <c r="N4235" s="7" t="str">
        <f>HYPERLINK("E:\附赠：Excel模板\精美EXCEL模板\财务管理素材与模板\其他模板\销售报表分析.xlt","销售报表分析.xlt")</f>
        <v>销售报表分析.xlt</v>
      </c>
      <c r="Q4235">
        <v>0.08</v>
      </c>
      <c r="R4235" s="7" t="str">
        <f t="shared" si="82"/>
        <v>E:\附赠：Excel模板\精美EXCEL模板\财务管理素材与模板\其他模板</v>
      </c>
      <c r="S4235" s="9">
        <v>43600.3821990741</v>
      </c>
      <c r="T4235" s="9">
        <v>43390.519375</v>
      </c>
    </row>
    <row r="4236" spans="14:20">
      <c r="N4236" s="7" t="str">
        <f>HYPERLINK("E:\附赠：Excel模板\精美EXCEL模板\财务管理素材与模板\其他模板\销售数据汇总分析.xlt","销售数据汇总分析.xlt")</f>
        <v>销售数据汇总分析.xlt</v>
      </c>
      <c r="Q4236">
        <v>0.03</v>
      </c>
      <c r="R4236" s="7" t="str">
        <f t="shared" si="82"/>
        <v>E:\附赠：Excel模板\精美EXCEL模板\财务管理素材与模板\其他模板</v>
      </c>
      <c r="S4236" s="9">
        <v>43600.3821990741</v>
      </c>
      <c r="T4236" s="9">
        <v>43390.519375</v>
      </c>
    </row>
    <row r="4237" spans="14:20">
      <c r="N4237" s="7" t="str">
        <f>HYPERLINK("E:\附赠：Excel模板\精美EXCEL模板\财务管理素材与模板\其他模板\销售记录单的编辑.xlt","销售记录单的编辑.xlt")</f>
        <v>销售记录单的编辑.xlt</v>
      </c>
      <c r="Q4237">
        <v>0.13</v>
      </c>
      <c r="R4237" s="7" t="str">
        <f t="shared" si="82"/>
        <v>E:\附赠：Excel模板\精美EXCEL模板\财务管理素材与模板\其他模板</v>
      </c>
      <c r="S4237" s="9">
        <v>43600.3821990741</v>
      </c>
      <c r="T4237" s="9">
        <v>43390.519375</v>
      </c>
    </row>
    <row r="4238" spans="14:20">
      <c r="N4238" s="7" t="str">
        <f>HYPERLINK("E:\附赠：Excel模板\精美EXCEL模板\财务管理素材与模板\其他模板\销售额预测.xlt","销售额预测.xlt")</f>
        <v>销售额预测.xlt</v>
      </c>
      <c r="Q4238">
        <v>0.03</v>
      </c>
      <c r="R4238" s="7" t="str">
        <f t="shared" si="82"/>
        <v>E:\附赠：Excel模板\精美EXCEL模板\财务管理素材与模板\其他模板</v>
      </c>
      <c r="S4238" s="9">
        <v>43600.3821990741</v>
      </c>
      <c r="T4238" s="9">
        <v>43390.519375</v>
      </c>
    </row>
    <row r="4239" spans="14:20">
      <c r="N4239" s="7" t="str">
        <f>HYPERLINK("E:\附赠：Excel模板\精美EXCEL模板\财务管理素材与模板\其他模板\驱动.xlt","驱动.xlt")</f>
        <v>驱动.xlt</v>
      </c>
      <c r="Q4239">
        <v>0.02</v>
      </c>
      <c r="R4239" s="7" t="str">
        <f t="shared" si="82"/>
        <v>E:\附赠：Excel模板\精美EXCEL模板\财务管理素材与模板\其他模板</v>
      </c>
      <c r="S4239" s="9">
        <v>43600.3821990741</v>
      </c>
      <c r="T4239" s="9">
        <v>43390.5193981481</v>
      </c>
    </row>
    <row r="4240" spans="14:20">
      <c r="N4240" t="s">
        <v>15</v>
      </c>
      <c r="Q4240" t="s">
        <v>15</v>
      </c>
      <c r="R4240" t="s">
        <v>15</v>
      </c>
      <c r="S4240" t="s">
        <v>15</v>
      </c>
      <c r="T4240" t="s">
        <v>15</v>
      </c>
    </row>
  </sheetData>
  <conditionalFormatting sqref="S2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{6af013ff-d7ee-4176-9f8f-022c43fe3a1f}</x14:id>
        </ext>
      </extLst>
    </cfRule>
  </conditionalFormatting>
  <conditionalFormatting sqref="T2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{7dfe69ff-e817-4526-ba85-8337458114bb}</x14:id>
        </ext>
      </extLst>
    </cfRule>
    <cfRule type="dataBar" priority="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{cc1628ad-30b3-403b-a32b-927c8bc9fbb0}</x14:id>
        </ext>
      </extLst>
    </cfRule>
  </conditionalFormatting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TestBtn" r:id="rId3">
              <controlPr print="0" defaultSize="0">
                <anchor moveWithCells="1">
                  <from>
                    <xdr:col>27</xdr:col>
                    <xdr:colOff>260350</xdr:colOff>
                    <xdr:row>0</xdr:row>
                    <xdr:rowOff>0</xdr:rowOff>
                  </from>
                  <to>
                    <xdr:col>27</xdr:col>
                    <xdr:colOff>2762250</xdr:colOff>
                    <xdr:row>0</xdr:row>
                    <xdr:rowOff>279400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af013ff-d7ee-4176-9f8f-022c43fe3a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S2</xm:sqref>
        </x14:conditionalFormatting>
        <x14:conditionalFormatting xmlns:xm="http://schemas.microsoft.com/office/excel/2006/main">
          <x14:cfRule type="dataBar" id="{7dfe69ff-e817-4526-ba85-8337458114b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c1628ad-30b3-403b-a32b-927c8bc9fbb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T2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文件管理系统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张鹏飞</dc:creator>
  <cp:lastModifiedBy>pfzhang</cp:lastModifiedBy>
  <dcterms:created xsi:type="dcterms:W3CDTF">2019-05-23T15:11:00Z</dcterms:created>
  <dcterms:modified xsi:type="dcterms:W3CDTF">2019-05-23T15:15:13Z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2052-11.1.0.8612</vt:lpwstr>
  </property>
</Properties>
</file>