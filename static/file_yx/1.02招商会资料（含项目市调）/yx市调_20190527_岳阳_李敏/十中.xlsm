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21600" windowHeight="10490"/>
  </bookViews>
  <sheets>
    <sheet name="Sheet1" sheetId="1" r:id="rId1"/>
  </sheets>
  <calcPr calcId="144525"/>
</workbook>
</file>

<file path=xl/sharedStrings.xml><?xml version="1.0" encoding="utf-8"?>
<sst xmlns="http://schemas.openxmlformats.org/spreadsheetml/2006/main" count="56" uniqueCount="40">
  <si>
    <t>岳阳市第十中学</t>
  </si>
  <si>
    <t>初中</t>
  </si>
  <si>
    <t>http://www.yysz.net/xinwen/ZouJinShiZhong/166.html</t>
  </si>
  <si>
    <t>岳阳市第九中学</t>
  </si>
  <si>
    <t>http://9z.yysedu.cn/html/yysdjzx/xxjj.html</t>
  </si>
  <si>
    <t>岳阳市岳阳楼区五里小学</t>
  </si>
  <si>
    <t>http://www.yueyang.gov.cn/2238/2239/11935/11939/content_517712.html</t>
  </si>
  <si>
    <t>岳阳市第十四中学</t>
  </si>
  <si>
    <t>截至2014年1月 1862</t>
  </si>
  <si>
    <t>高中</t>
  </si>
  <si>
    <t>https://baike.baidu.com/item/岳阳市第十四中学/4307026?fr=aladdin</t>
  </si>
  <si>
    <t>岳阳市第四中学</t>
  </si>
  <si>
    <t>最少3000</t>
  </si>
  <si>
    <t xml:space="preserve"> </t>
  </si>
  <si>
    <t>朝阳小学</t>
  </si>
  <si>
    <t>http://jiaoyu91219077.e-fa.cn/</t>
  </si>
  <si>
    <t>十五中片区规划测算</t>
  </si>
  <si>
    <t>十五中</t>
  </si>
  <si>
    <t>北岗小学</t>
  </si>
  <si>
    <t>小学3000</t>
  </si>
  <si>
    <t>十九中</t>
  </si>
  <si>
    <t>需加档学生数(超出3000)</t>
  </si>
  <si>
    <t>实际咨询费</t>
  </si>
  <si>
    <t>有证打折价</t>
  </si>
  <si>
    <t>九中片区规划测算</t>
  </si>
  <si>
    <t>九中</t>
  </si>
  <si>
    <t>十四中</t>
  </si>
  <si>
    <t>金鹗小学</t>
  </si>
  <si>
    <t>小学</t>
  </si>
  <si>
    <t>白杨坡小学</t>
  </si>
  <si>
    <t>外国语学校</t>
  </si>
  <si>
    <t>https://j.map.baidu.com/B-Eg-</t>
  </si>
  <si>
    <t>1.九中片区，很难选来址，市调张威是知道的</t>
  </si>
  <si>
    <t>片区内 公园、湖泊、山体 很多，各校区距离很近，学生居住不集中，离校较远</t>
  </si>
  <si>
    <t>客户第一意向是十中，现在只能勉强锁定九中了。</t>
  </si>
  <si>
    <t>十四中、外国语学校都是高中</t>
  </si>
  <si>
    <t>青岛开发区第四初级中学</t>
  </si>
  <si>
    <t>官网网址：www.cjkt.com 账号：18815291233 密码：123456</t>
  </si>
  <si>
    <t>https://cloud.189.cn/u/676584409</t>
  </si>
  <si>
    <t>高考真题资源@新高考整理.zip (108.76M)好老师学院分享于2019-04-08 19:56:21 举报</t>
  </si>
</sst>
</file>

<file path=xl/styles.xml><?xml version="1.0" encoding="utf-8"?>
<styleSheet xmlns="http://schemas.openxmlformats.org/spreadsheetml/2006/main">
  <numFmts count="5">
    <numFmt numFmtId="44" formatCode="_ &quot;￥&quot;* #,##0.00_ ;_ &quot;￥&quot;* \-#,##0.00_ ;_ &quot;￥&quot;* &quot;-&quot;??_ ;_ @_ "/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176" formatCode="0\ &quot;万&quot;"/>
  </numFmts>
  <fonts count="22">
    <font>
      <sz val="11"/>
      <color theme="1"/>
      <name val="宋体"/>
      <charset val="134"/>
      <scheme val="minor"/>
    </font>
    <font>
      <u/>
      <sz val="11"/>
      <color theme="10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rgb="FFFA7D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65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A7D00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17" fillId="22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0" fillId="15" borderId="3" applyNumberFormat="0" applyFont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9" fillId="0" borderId="2" applyNumberFormat="0" applyFill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14" fillId="0" borderId="6" applyNumberFormat="0" applyFill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13" fillId="18" borderId="5" applyNumberFormat="0" applyAlignment="0" applyProtection="0">
      <alignment vertical="center"/>
    </xf>
    <xf numFmtId="0" fontId="12" fillId="18" borderId="4" applyNumberFormat="0" applyAlignment="0" applyProtection="0">
      <alignment vertical="center"/>
    </xf>
    <xf numFmtId="0" fontId="8" fillId="9" borderId="1" applyNumberFormat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7" fillId="33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1" fillId="0" borderId="0" xfId="10">
      <alignment vertical="center"/>
    </xf>
    <xf numFmtId="0" fontId="0" fillId="2" borderId="0" xfId="0" applyFill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176" fontId="0" fillId="0" borderId="0" xfId="0" applyNumberForma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6" Type="http://schemas.openxmlformats.org/officeDocument/2006/relationships/hyperlink" Target="mailto:&#39640;&#32771;&#30495;&#39064;&#36164;&#28304;@&#26032;&#39640;&#32771;&#25972;&#29702;.zip%20(108.76M)&#22909;&#32769;&#24072;&#23398;&#38498;&#20998;&#20139;&#20110;2019-04-08%2019:56:21%20&#20030;&#25253;" TargetMode="External"/><Relationship Id="rId5" Type="http://schemas.openxmlformats.org/officeDocument/2006/relationships/hyperlink" Target="http://jiaoyu91219077.e-fa.cn/" TargetMode="External"/><Relationship Id="rId4" Type="http://schemas.openxmlformats.org/officeDocument/2006/relationships/hyperlink" Target="https://baike.baidu.com/item/&#23731;&#38451;&#24066;&#31532;&#21313;&#22235;&#20013;&#23398;/4307026?fr=aladdin" TargetMode="External"/><Relationship Id="rId3" Type="http://schemas.openxmlformats.org/officeDocument/2006/relationships/hyperlink" Target="http://www.yueyang.gov.cn/2238/2239/11935/11939/content_517712.html" TargetMode="External"/><Relationship Id="rId2" Type="http://schemas.openxmlformats.org/officeDocument/2006/relationships/hyperlink" Target="http://www.yysz.net/xinwen/ZouJinShiZhong/166.html" TargetMode="External"/><Relationship Id="rId1" Type="http://schemas.openxmlformats.org/officeDocument/2006/relationships/hyperlink" Target="http://9z.yysedu.cn/html/yysdjzx/xxjj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2:G64"/>
  <sheetViews>
    <sheetView showGridLines="0" tabSelected="1" topLeftCell="A22" workbookViewId="0">
      <selection activeCell="C48" sqref="C48"/>
    </sheetView>
  </sheetViews>
  <sheetFormatPr defaultColWidth="9" defaultRowHeight="14" outlineLevelCol="6"/>
  <cols>
    <col min="1" max="1" width="24.3636363636364" customWidth="1"/>
    <col min="2" max="2" width="20" customWidth="1"/>
    <col min="3" max="3" width="9.27272727272727" customWidth="1"/>
    <col min="5" max="5" width="9" customWidth="1"/>
  </cols>
  <sheetData>
    <row r="2" spans="1:5">
      <c r="A2" t="s">
        <v>0</v>
      </c>
      <c r="B2">
        <v>2200</v>
      </c>
      <c r="C2" t="s">
        <v>1</v>
      </c>
      <c r="E2" s="1" t="s">
        <v>2</v>
      </c>
    </row>
    <row r="3" spans="5:5">
      <c r="E3" s="1"/>
    </row>
    <row r="4" spans="1:5">
      <c r="A4" t="s">
        <v>3</v>
      </c>
      <c r="B4">
        <v>3169</v>
      </c>
      <c r="C4" t="s">
        <v>1</v>
      </c>
      <c r="E4" s="1" t="s">
        <v>4</v>
      </c>
    </row>
    <row r="5" spans="5:5">
      <c r="E5" s="1"/>
    </row>
    <row r="6" spans="1:5">
      <c r="A6" t="s">
        <v>5</v>
      </c>
      <c r="B6">
        <v>469</v>
      </c>
      <c r="E6" s="1" t="s">
        <v>6</v>
      </c>
    </row>
    <row r="8" spans="1:5">
      <c r="A8" t="s">
        <v>7</v>
      </c>
      <c r="B8" t="s">
        <v>8</v>
      </c>
      <c r="C8" t="s">
        <v>9</v>
      </c>
      <c r="D8">
        <v>3000</v>
      </c>
      <c r="E8" s="1" t="s">
        <v>10</v>
      </c>
    </row>
    <row r="9" spans="1:3">
      <c r="A9" t="s">
        <v>11</v>
      </c>
      <c r="B9" t="s">
        <v>12</v>
      </c>
      <c r="C9" t="s">
        <v>13</v>
      </c>
    </row>
    <row r="10" spans="1:5">
      <c r="A10" t="s">
        <v>14</v>
      </c>
      <c r="B10">
        <v>4369</v>
      </c>
      <c r="E10" s="1" t="s">
        <v>15</v>
      </c>
    </row>
    <row r="22" spans="1:3">
      <c r="A22" s="2" t="s">
        <v>16</v>
      </c>
      <c r="B22" s="2"/>
      <c r="C22" s="2"/>
    </row>
    <row r="23" spans="1:3">
      <c r="A23" t="s">
        <v>17</v>
      </c>
      <c r="B23">
        <v>2300</v>
      </c>
      <c r="C23" t="s">
        <v>9</v>
      </c>
    </row>
    <row r="24" spans="1:3">
      <c r="A24" t="s">
        <v>18</v>
      </c>
      <c r="B24">
        <f>2300/4*3</f>
        <v>1725</v>
      </c>
      <c r="C24" t="s">
        <v>19</v>
      </c>
    </row>
    <row r="25" spans="1:3">
      <c r="A25" t="s">
        <v>20</v>
      </c>
      <c r="B25">
        <v>1800</v>
      </c>
      <c r="C25" t="s">
        <v>1</v>
      </c>
    </row>
    <row r="26" ht="5" customHeight="1"/>
    <row r="27" spans="1:2">
      <c r="A27" s="3" t="s">
        <v>21</v>
      </c>
      <c r="B27" s="3">
        <f>SUM(B23:B25)-3000</f>
        <v>2825</v>
      </c>
    </row>
    <row r="28" ht="5" customHeight="1"/>
    <row r="29" spans="1:2">
      <c r="A29" s="4" t="s">
        <v>22</v>
      </c>
      <c r="B29" s="5">
        <f>40+ROUNDDOWN(B27/500,)*5</f>
        <v>65</v>
      </c>
    </row>
    <row r="30" spans="1:2">
      <c r="A30" s="4" t="s">
        <v>23</v>
      </c>
      <c r="B30" s="5">
        <f>B29*0.8</f>
        <v>52</v>
      </c>
    </row>
    <row r="31" ht="5" customHeight="1"/>
    <row r="33" spans="1:3">
      <c r="A33" s="2" t="s">
        <v>24</v>
      </c>
      <c r="B33" s="2"/>
      <c r="C33" s="2"/>
    </row>
    <row r="34" spans="1:6">
      <c r="A34" t="s">
        <v>25</v>
      </c>
      <c r="B34">
        <v>3100</v>
      </c>
      <c r="C34" t="s">
        <v>1</v>
      </c>
      <c r="E34">
        <v>3100</v>
      </c>
      <c r="F34" t="s">
        <v>1</v>
      </c>
    </row>
    <row r="35" ht="5" customHeight="1"/>
    <row r="36" spans="1:6">
      <c r="A36" t="s">
        <v>26</v>
      </c>
      <c r="C36" t="s">
        <v>9</v>
      </c>
      <c r="E36">
        <v>2300</v>
      </c>
      <c r="F36" t="s">
        <v>9</v>
      </c>
    </row>
    <row r="37" spans="1:7">
      <c r="A37" t="s">
        <v>27</v>
      </c>
      <c r="C37" t="s">
        <v>28</v>
      </c>
      <c r="E37">
        <v>1200</v>
      </c>
      <c r="F37" t="s">
        <v>28</v>
      </c>
      <c r="G37">
        <f>1100/4*3</f>
        <v>825</v>
      </c>
    </row>
    <row r="38" spans="1:5">
      <c r="A38" t="s">
        <v>29</v>
      </c>
      <c r="E38">
        <v>2000</v>
      </c>
    </row>
    <row r="39" ht="5" customHeight="1"/>
    <row r="40" spans="1:6">
      <c r="A40" t="s">
        <v>30</v>
      </c>
      <c r="B40">
        <v>2200</v>
      </c>
      <c r="C40" t="s">
        <v>9</v>
      </c>
      <c r="E40">
        <v>2200</v>
      </c>
      <c r="F40" t="s">
        <v>9</v>
      </c>
    </row>
    <row r="41" spans="1:6">
      <c r="A41" t="s">
        <v>14</v>
      </c>
      <c r="B41" s="4">
        <f>E41*0.75</f>
        <v>3375</v>
      </c>
      <c r="C41" t="s">
        <v>28</v>
      </c>
      <c r="E41">
        <v>4500</v>
      </c>
      <c r="F41" t="s">
        <v>28</v>
      </c>
    </row>
    <row r="42" ht="5" customHeight="1"/>
    <row r="43" spans="1:2">
      <c r="A43" s="3" t="s">
        <v>21</v>
      </c>
      <c r="B43" s="3">
        <f>SUM(B34:B41)-3000</f>
        <v>5675</v>
      </c>
    </row>
    <row r="44" ht="5" customHeight="1"/>
    <row r="45" spans="1:2">
      <c r="A45" s="4" t="s">
        <v>22</v>
      </c>
      <c r="B45" s="5">
        <f>40+ROUNDDOWN(B43/500,)*5</f>
        <v>95</v>
      </c>
    </row>
    <row r="46" spans="1:2">
      <c r="A46" s="4" t="s">
        <v>23</v>
      </c>
      <c r="B46" s="5">
        <f>B45*0.8</f>
        <v>76</v>
      </c>
    </row>
    <row r="47" spans="1:2">
      <c r="A47" s="4"/>
      <c r="B47" s="5"/>
    </row>
    <row r="49" spans="1:1">
      <c r="A49" t="s">
        <v>31</v>
      </c>
    </row>
    <row r="53" spans="1:1">
      <c r="A53" t="s">
        <v>32</v>
      </c>
    </row>
    <row r="54" spans="1:1">
      <c r="A54" t="s">
        <v>33</v>
      </c>
    </row>
    <row r="55" spans="1:1">
      <c r="A55" t="s">
        <v>34</v>
      </c>
    </row>
    <row r="56" spans="1:1">
      <c r="A56" t="s">
        <v>35</v>
      </c>
    </row>
    <row r="59" spans="1:1">
      <c r="A59" t="s">
        <v>36</v>
      </c>
    </row>
    <row r="60" spans="1:1">
      <c r="A60" t="s">
        <v>37</v>
      </c>
    </row>
    <row r="63" spans="1:1">
      <c r="A63" t="s">
        <v>38</v>
      </c>
    </row>
    <row r="64" spans="1:1">
      <c r="A64" s="1" t="s">
        <v>39</v>
      </c>
    </row>
  </sheetData>
  <hyperlinks>
    <hyperlink ref="E4" r:id="rId1" display="http://9z.yysedu.cn/html/yysdjzx/xxjj.html"/>
    <hyperlink ref="E2" r:id="rId2" display="http://www.yysz.net/xinwen/ZouJinShiZhong/166.html"/>
    <hyperlink ref="E6" r:id="rId3" display="http://www.yueyang.gov.cn/2238/2239/11935/11939/content_517712.html"/>
    <hyperlink ref="E8" r:id="rId4" display="https://baike.baidu.com/item/岳阳市第十四中学/4307026?fr=aladdin"/>
    <hyperlink ref="E10" r:id="rId5" display="http://jiaoyu91219077.e-fa.cn/"/>
    <hyperlink ref="A64" r:id="rId6" display="高考真题资源@新高考整理.zip (108.76M)好老师学院分享于2019-04-08 19:56:21 举报"/>
  </hyperlinks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张鹏飞</dc:creator>
  <cp:lastModifiedBy>pfzhang</cp:lastModifiedBy>
  <dcterms:created xsi:type="dcterms:W3CDTF">2019-05-28T14:25:00Z</dcterms:created>
  <dcterms:modified xsi:type="dcterms:W3CDTF">2019-06-03T07:05:51Z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2052-11.1.0.8612</vt:lpwstr>
  </property>
</Properties>
</file>